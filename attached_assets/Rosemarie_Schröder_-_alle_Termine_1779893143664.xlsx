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rik\Downloads\"/>
    </mc:Choice>
  </mc:AlternateContent>
  <xr:revisionPtr revIDLastSave="0" documentId="13_ncr:1_{3FCD4F69-9014-41AC-9676-FF043DC8F75F}" xr6:coauthVersionLast="47" xr6:coauthVersionMax="47" xr10:uidLastSave="{00000000-0000-0000-0000-000000000000}"/>
  <bookViews>
    <workbookView xWindow="-98" yWindow="-98" windowWidth="24196" windowHeight="14476" xr2:uid="{35951F3C-B5A4-401B-BDEA-0773C1E9BB89}"/>
  </bookViews>
  <sheets>
    <sheet name="Tabelle1" sheetId="1" r:id="rId1"/>
  </sheets>
  <externalReferences>
    <externalReference r:id="rId2"/>
  </externalReferences>
  <definedNames>
    <definedName name="ListeKunden">OFFSET([1]Kundenübersicht!$E$4,0,0,MAX(ROW([1]Kundenübersicht!A1048576:A996)*([1]Kundenübersicht!A1048576:A996&lt;&gt;""))-3)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<sst xmlns="http://schemas.openxmlformats.org/spreadsheetml/2006/main" count="181" uniqueCount="45">
  <si>
    <t>FILTER FÜR ABRECHNUNG!</t>
  </si>
  <si>
    <t>Kunde</t>
  </si>
  <si>
    <t>Datum</t>
  </si>
  <si>
    <t>Start</t>
  </si>
  <si>
    <t>Ende</t>
  </si>
  <si>
    <t>Stunden</t>
  </si>
  <si>
    <t>Kilometer</t>
  </si>
  <si>
    <t>Senioren Engel</t>
  </si>
  <si>
    <t>Art</t>
  </si>
  <si>
    <t>Budget</t>
  </si>
  <si>
    <t>Pflegekasse - Name</t>
  </si>
  <si>
    <t>Pflegekasse - IK</t>
  </si>
  <si>
    <t>Versichertennummer</t>
  </si>
  <si>
    <t>Pflegegrad</t>
  </si>
  <si>
    <t>Durchgeführt</t>
  </si>
  <si>
    <t>Leistungsnachweis</t>
  </si>
  <si>
    <t>Ablage</t>
  </si>
  <si>
    <t>€/h</t>
  </si>
  <si>
    <t>Umsatz</t>
  </si>
  <si>
    <t>Umsatz Km</t>
  </si>
  <si>
    <t>Vertragstyp</t>
  </si>
  <si>
    <t>Abgerechnet</t>
  </si>
  <si>
    <t>Bezahlt</t>
  </si>
  <si>
    <t>Monat/Jahr</t>
  </si>
  <si>
    <t>Budgettopf</t>
  </si>
  <si>
    <t>00001|Rosemarie|Schröder</t>
  </si>
  <si>
    <t>Hauswirtschaft</t>
  </si>
  <si>
    <t>Entlastungsleistung</t>
  </si>
  <si>
    <t>Barmer Pflegekasse</t>
  </si>
  <si>
    <t>Z817157321</t>
  </si>
  <si>
    <t>PG 1</t>
  </si>
  <si>
    <t>Ja</t>
  </si>
  <si>
    <t>Unterschrieben</t>
  </si>
  <si>
    <t>Link</t>
  </si>
  <si>
    <t>Rosemarie Schröder</t>
  </si>
  <si>
    <t>Janet Klitzsch</t>
  </si>
  <si>
    <t>Neu</t>
  </si>
  <si>
    <t>01.2026</t>
  </si>
  <si>
    <t>Christiane Fiebag</t>
  </si>
  <si>
    <t>Alltagsbegleitung</t>
  </si>
  <si>
    <t>02.2026</t>
  </si>
  <si>
    <t>Naji El Ali</t>
  </si>
  <si>
    <t>Marcel Fiebag</t>
  </si>
  <si>
    <t>03.2026</t>
  </si>
  <si>
    <t>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</si>
</sst>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mm/yyyy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Pontano Sans"/>
    </font>
    <font>
      <b/>
      <sz val="11"/>
      <color theme="1"/>
      <name val="Pontano Sans"/>
    </font>
    <font>
      <u/>
      <sz val="11"/>
      <color theme="10"/>
      <name val="Pontano Sans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ashed">
        <color theme="0" tint="-0.499984740745262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theme="0" tint="-0.499984740745262"/>
      </top>
      <bottom style="dashed">
        <color theme="0" tint="-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8" fontId="3" fillId="2" borderId="0" xfId="0" applyNumberFormat="1" applyFont="1" applyFill="1" applyAlignment="1">
      <alignment horizontal="right"/>
    </xf>
    <xf numFmtId="9" fontId="3" fillId="2" borderId="0" xfId="0" applyNumberFormat="1" applyFont="1" applyFill="1"/>
    <xf numFmtId="8" fontId="3" fillId="2" borderId="0" xfId="0" applyNumberFormat="1" applyFont="1" applyFill="1"/>
    <xf numFmtId="0" fontId="3" fillId="0" borderId="0" xfId="0" applyFont="1"/>
    <xf numFmtId="0" fontId="3" fillId="2" borderId="0" xfId="0" applyFont="1" applyFill="1" applyAlignment="1">
      <alignment horizontal="left"/>
    </xf>
    <xf numFmtId="0" fontId="2" fillId="0" borderId="1" xfId="0" applyFont="1" applyBorder="1"/>
    <xf numFmtId="4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4" fillId="0" borderId="2" xfId="1" applyFont="1" applyBorder="1"/>
    <xf numFmtId="8" fontId="2" fillId="0" borderId="1" xfId="0" applyNumberFormat="1" applyFont="1" applyBorder="1" applyAlignment="1">
      <alignment horizontal="right"/>
    </xf>
    <xf numFmtId="8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/>
    <xf numFmtId="8" fontId="2" fillId="0" borderId="0" xfId="0" applyNumberFormat="1" applyFont="1"/>
    <xf numFmtId="14" fontId="2" fillId="0" borderId="3" xfId="0" applyNumberFormat="1" applyFont="1" applyBorder="1"/>
    <xf numFmtId="0" fontId="2" fillId="0" borderId="3" xfId="0" applyFont="1" applyBorder="1"/>
    <xf numFmtId="0" fontId="2" fillId="3" borderId="1" xfId="0" applyFont="1" applyFill="1" applyBorder="1"/>
    <xf numFmtId="14" fontId="2" fillId="3" borderId="1" xfId="0" applyNumberFormat="1" applyFont="1" applyFill="1" applyBorder="1"/>
    <xf numFmtId="20" fontId="2" fillId="3" borderId="1" xfId="0" applyNumberFormat="1" applyFont="1" applyFill="1" applyBorder="1"/>
  </cellXfs>
  <cellStyles count="2">
    <cellStyle name="Link" xfId="1" builtinId="8"/>
    <cellStyle name="Standard" xfId="0" builtinId="0"/>
  </cellStyles>
  <dxfs count="10"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niorenengelalltagsbegleit-my.sharepoint.com/personal/kontakt_seniorenengel-alltagsbegleitung_de/Documents/Senioren%20Engel%20Alltagsbegleitung/05_Kunden/Angebots-%20und%20Kunden&#252;bersicht.xlsm" TargetMode="External"/><Relationship Id="rId1" Type="http://schemas.openxmlformats.org/officeDocument/2006/relationships/externalLinkPath" Target="https://seniorenengelalltagsbegleit-my.sharepoint.com/personal/kontakt_seniorenengel-alltagsbegleitung_de/Documents/Senioren%20Engel%20Alltagsbegleitung/05_Kunden/Angebots-%20und%20Kunden&#252;bersich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fragen"/>
      <sheetName val="Dashboard"/>
      <sheetName val="Kundenübersicht"/>
      <sheetName val="Budgets"/>
      <sheetName val="Verfügbarkeiten"/>
      <sheetName val="Budgetrechner_Einzelkunde"/>
      <sheetName val="Budget_Kunde"/>
      <sheetName val="Abrechnung -&gt;"/>
      <sheetName val="Lexware_Auszahlungen"/>
      <sheetName val="Controlling_MA_Leistungen"/>
      <sheetName val="MA_übertrag"/>
      <sheetName val="Tracking Rechnungen"/>
      <sheetName val="Mitarbeiter"/>
      <sheetName val="Tabelle1"/>
      <sheetName val="Tabelle3"/>
      <sheetName val="Leistungsübersicht"/>
      <sheetName val="Rechnung"/>
      <sheetName val="Alt -&gt;"/>
      <sheetName val="Pflegekassen"/>
      <sheetName val="Kundenübersicht_inaktiv"/>
      <sheetName val="BusinessCase - Fahrtdienst"/>
      <sheetName val="Business Case - §37 Beratung"/>
    </sheetNames>
    <sheetDataSet>
      <sheetData sheetId="0"/>
      <sheetData sheetId="1"/>
      <sheetData sheetId="2">
        <row r="4">
          <cell r="E4" t="str">
            <v>00001|Rosemarie|Schröder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:i:/g/personal/kontakt_seniorenengel-alltagsbegleitung_de/IQCSbFlZFsKdRLPnNPDLYjqpAc53-yykTwnKuT1ttBY1xq0%3fe=2Aq6zX" TargetMode="External"/><Relationship Id="rId2" Type="http://schemas.openxmlformats.org/officeDocument/2006/relationships/hyperlink" Target="../../:i:/g/personal/kontakt_seniorenengel-alltagsbegleitung_de/IQCSbFlZFsKdRLPnNPDLYjqpAc53-yykTwnKuT1ttBY1xq0%3fe=2Aq6zX" TargetMode="External"/><Relationship Id="rId1" Type="http://schemas.openxmlformats.org/officeDocument/2006/relationships/hyperlink" Target="../../:i:/g/personal/kontakt_seniorenengel-alltagsbegleitung_de/IQAfL0c2ostATqwso-5O-QPhAaHbmg7XcM9WIdn8gfrcp9U%3fe=TzeraC" TargetMode="External"/><Relationship Id="rId4" Type="http://schemas.openxmlformats.org/officeDocument/2006/relationships/hyperlink" Target="../../:i:/g/personal/kontakt_seniorenengel-alltagsbegleitung_de/IQA1UWD2ioW6RIU0ZybX5XhMATKL74r8AuR-36D45Od3FjM%3fe=xavQ8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2B70-41AC-4EB5-9AB8-92DDDC24DB1D}">
  <dimension ref="B1:AI12"/>
  <sheetViews>
    <sheetView tabSelected="1" workbookViewId="0">
      <selection activeCell="A4" sqref="A4:XFD4"/>
    </sheetView>
  </sheetViews>
  <sheetFormatPr baseColWidth="10" defaultRowHeight="14.25" x14ac:dyDescent="0.45"/>
  <cols>
    <col min="10" max="10" width="17.265625" bestFit="1" customWidth="1"/>
    <col min="11" max="11" width="17.6640625" bestFit="1" customWidth="1"/>
    <col min="12" max="12" width="14.265625" bestFit="1" customWidth="1"/>
  </cols>
  <sheetData>
    <row r="1" spans="2:35" s="1" customFormat="1" ht="7.5" customHeight="1" x14ac:dyDescent="0.55000000000000004">
      <c r="L1" s="2"/>
      <c r="R1" s="2"/>
    </row>
    <row r="2" spans="2:35" s="1" customFormat="1" ht="15.75" x14ac:dyDescent="0.55000000000000004"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3"/>
      <c r="N2" s="3"/>
      <c r="O2" s="3"/>
      <c r="P2" s="3"/>
      <c r="Q2" s="3"/>
      <c r="R2" s="5"/>
      <c r="S2" s="5"/>
      <c r="T2" s="5"/>
      <c r="U2" s="6"/>
      <c r="V2" s="7"/>
      <c r="W2" s="3"/>
      <c r="X2" s="3"/>
      <c r="Y2" s="8"/>
      <c r="Z2" s="3" t="s">
        <v>0</v>
      </c>
      <c r="AA2" s="3" t="s">
        <v>0</v>
      </c>
      <c r="AB2" s="3"/>
      <c r="AC2" s="3"/>
      <c r="AD2" s="3"/>
      <c r="AE2" s="3"/>
      <c r="AF2" s="8"/>
      <c r="AG2" s="8"/>
      <c r="AH2" s="8"/>
      <c r="AI2" s="8"/>
    </row>
    <row r="3" spans="2:35" s="1" customFormat="1" ht="15.75" x14ac:dyDescent="0.55000000000000004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9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9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</v>
      </c>
      <c r="X3" s="3" t="s">
        <v>22</v>
      </c>
      <c r="Y3" s="8"/>
      <c r="Z3" s="3" t="s">
        <v>23</v>
      </c>
      <c r="AA3" s="3" t="s">
        <v>23</v>
      </c>
      <c r="AB3" s="3" t="s">
        <v>7</v>
      </c>
      <c r="AC3" s="3"/>
      <c r="AD3" s="3"/>
      <c r="AE3" s="3" t="s">
        <v>24</v>
      </c>
      <c r="AF3" s="8"/>
      <c r="AG3" s="8"/>
      <c r="AH3" s="8"/>
      <c r="AI3" s="8"/>
    </row>
    <row r="4" spans="2:35" s="1" customFormat="1" ht="15.75" x14ac:dyDescent="0.55000000000000004">
      <c r="B4" s="20" t="s">
        <v>25</v>
      </c>
      <c r="C4" s="21">
        <v>46043</v>
      </c>
      <c r="D4" s="22">
        <v>0.375</v>
      </c>
      <c r="E4" s="22">
        <v>0.4375</v>
      </c>
      <c r="F4" s="11">
        <v>1.5</v>
      </c>
      <c r="G4" s="11">
        <v>2.6</v>
      </c>
      <c r="H4" s="20" t="s">
        <v>35</v>
      </c>
      <c r="I4" s="20" t="s">
        <v>26</v>
      </c>
      <c r="J4" s="20" t="s">
        <v>27</v>
      </c>
      <c r="K4" s="10" t="s">
        <v>28</v>
      </c>
      <c r="L4" s="12">
        <v>184940005</v>
      </c>
      <c r="M4" s="12" t="s">
        <v>29</v>
      </c>
      <c r="N4" s="12" t="s">
        <v>30</v>
      </c>
      <c r="O4" s="10" t="s">
        <v>31</v>
      </c>
      <c r="P4" s="10" t="s">
        <v>32</v>
      </c>
      <c r="Q4" s="13" t="s">
        <v>33</v>
      </c>
      <c r="R4" s="14">
        <v>38</v>
      </c>
      <c r="S4" s="15">
        <v>57</v>
      </c>
      <c r="T4" s="15">
        <v>0.90999999999999992</v>
      </c>
      <c r="U4" s="15" t="s">
        <v>36</v>
      </c>
      <c r="V4" s="19" t="s">
        <v>31</v>
      </c>
      <c r="W4" s="18">
        <v>46066</v>
      </c>
      <c r="X4" s="18">
        <v>46079</v>
      </c>
      <c r="Z4" s="10">
        <v>2026</v>
      </c>
      <c r="AA4" s="16" t="s">
        <v>37</v>
      </c>
      <c r="AB4" s="16" t="s">
        <v>35</v>
      </c>
      <c r="AC4" s="16" t="s">
        <v>34</v>
      </c>
      <c r="AD4" s="16" t="s">
        <v>26</v>
      </c>
      <c r="AE4" s="16" t="s">
        <v>27</v>
      </c>
      <c r="AG4" s="17">
        <v>38</v>
      </c>
      <c r="AH4" s="17">
        <v>57</v>
      </c>
      <c r="AI4" s="17">
        <v>0.90999999999999992</v>
      </c>
    </row>
    <row r="5" spans="2:35" s="1" customFormat="1" ht="15.75" x14ac:dyDescent="0.55000000000000004">
      <c r="B5" s="20" t="s">
        <v>25</v>
      </c>
      <c r="C5" s="21">
        <v>46034</v>
      </c>
      <c r="D5" s="22">
        <v>0.375</v>
      </c>
      <c r="E5" s="22">
        <v>0.44791666666666669</v>
      </c>
      <c r="F5" s="11">
        <v>1.7500000000000004</v>
      </c>
      <c r="G5" s="11">
        <v>7.3</v>
      </c>
      <c r="H5" s="20" t="s">
        <v>38</v>
      </c>
      <c r="I5" s="20" t="s">
        <v>39</v>
      </c>
      <c r="J5" s="20" t="s">
        <v>27</v>
      </c>
      <c r="K5" s="10" t="s">
        <v>28</v>
      </c>
      <c r="L5" s="12">
        <v>184940005</v>
      </c>
      <c r="M5" s="12" t="s">
        <v>29</v>
      </c>
      <c r="N5" s="12" t="s">
        <v>30</v>
      </c>
      <c r="O5" s="10" t="s">
        <v>31</v>
      </c>
      <c r="P5" s="10" t="s">
        <v>32</v>
      </c>
      <c r="Q5" s="13"/>
      <c r="R5" s="14">
        <v>42</v>
      </c>
      <c r="S5" s="15">
        <v>73.500000000000014</v>
      </c>
      <c r="T5" s="15">
        <v>2.5549999999999997</v>
      </c>
      <c r="U5" s="15" t="s">
        <v>36</v>
      </c>
      <c r="V5" s="19" t="s">
        <v>31</v>
      </c>
      <c r="W5" s="18">
        <v>46066</v>
      </c>
      <c r="X5" s="18">
        <v>46079</v>
      </c>
      <c r="Z5" s="10">
        <v>2026</v>
      </c>
      <c r="AA5" s="16" t="s">
        <v>37</v>
      </c>
      <c r="AB5" s="16" t="s">
        <v>38</v>
      </c>
      <c r="AC5" s="16" t="s">
        <v>34</v>
      </c>
      <c r="AD5" s="16" t="s">
        <v>39</v>
      </c>
      <c r="AE5" s="16" t="s">
        <v>27</v>
      </c>
      <c r="AG5" s="17">
        <v>42</v>
      </c>
      <c r="AH5" s="17">
        <v>73.500000000000014</v>
      </c>
      <c r="AI5" s="17">
        <v>2.5549999999999997</v>
      </c>
    </row>
    <row r="6" spans="2:35" s="1" customFormat="1" ht="15.75" x14ac:dyDescent="0.55000000000000004">
      <c r="B6" s="20" t="s">
        <v>25</v>
      </c>
      <c r="C6" s="21">
        <v>46057</v>
      </c>
      <c r="D6" s="22">
        <v>0.375</v>
      </c>
      <c r="E6" s="22">
        <v>0.4375</v>
      </c>
      <c r="F6" s="11">
        <v>1.5</v>
      </c>
      <c r="G6" s="11">
        <v>1.8</v>
      </c>
      <c r="H6" s="20" t="s">
        <v>35</v>
      </c>
      <c r="I6" s="20" t="s">
        <v>26</v>
      </c>
      <c r="J6" s="20" t="s">
        <v>27</v>
      </c>
      <c r="K6" s="10" t="s">
        <v>28</v>
      </c>
      <c r="L6" s="12">
        <v>184940005</v>
      </c>
      <c r="M6" s="12" t="s">
        <v>29</v>
      </c>
      <c r="N6" s="12" t="s">
        <v>30</v>
      </c>
      <c r="O6" s="10" t="s">
        <v>31</v>
      </c>
      <c r="P6" s="10" t="s">
        <v>32</v>
      </c>
      <c r="Q6" s="13" t="s">
        <v>33</v>
      </c>
      <c r="R6" s="14">
        <v>38</v>
      </c>
      <c r="S6" s="15">
        <v>57</v>
      </c>
      <c r="T6" s="15">
        <v>0.63</v>
      </c>
      <c r="U6" s="15" t="s">
        <v>36</v>
      </c>
      <c r="V6" s="19" t="s">
        <v>31</v>
      </c>
      <c r="W6" s="18">
        <v>46125</v>
      </c>
      <c r="X6" s="18">
        <v>46136</v>
      </c>
      <c r="Z6" s="10">
        <v>2026</v>
      </c>
      <c r="AA6" s="16" t="s">
        <v>40</v>
      </c>
      <c r="AB6" s="16" t="s">
        <v>35</v>
      </c>
      <c r="AC6" s="16" t="s">
        <v>34</v>
      </c>
      <c r="AD6" s="16" t="s">
        <v>26</v>
      </c>
      <c r="AE6" s="16" t="s">
        <v>27</v>
      </c>
      <c r="AG6" s="17">
        <v>38</v>
      </c>
      <c r="AH6" s="17">
        <v>57</v>
      </c>
      <c r="AI6" s="17">
        <v>0.63</v>
      </c>
    </row>
    <row r="7" spans="2:35" s="1" customFormat="1" ht="15.75" x14ac:dyDescent="0.55000000000000004">
      <c r="B7" s="20" t="s">
        <v>25</v>
      </c>
      <c r="C7" s="21">
        <v>46078</v>
      </c>
      <c r="D7" s="22">
        <v>0.375</v>
      </c>
      <c r="E7" s="22">
        <v>0.4375</v>
      </c>
      <c r="F7" s="11">
        <v>1.5</v>
      </c>
      <c r="G7" s="11">
        <v>1.8</v>
      </c>
      <c r="H7" s="20" t="s">
        <v>35</v>
      </c>
      <c r="I7" s="20" t="s">
        <v>26</v>
      </c>
      <c r="J7" s="20" t="s">
        <v>27</v>
      </c>
      <c r="K7" s="10" t="s">
        <v>28</v>
      </c>
      <c r="L7" s="12">
        <v>184940005</v>
      </c>
      <c r="M7" s="12" t="s">
        <v>29</v>
      </c>
      <c r="N7" s="12" t="s">
        <v>30</v>
      </c>
      <c r="O7" s="10" t="s">
        <v>31</v>
      </c>
      <c r="P7" s="10" t="s">
        <v>32</v>
      </c>
      <c r="Q7" s="13" t="s">
        <v>33</v>
      </c>
      <c r="R7" s="14">
        <v>38</v>
      </c>
      <c r="S7" s="15">
        <v>57</v>
      </c>
      <c r="T7" s="15">
        <v>0.63</v>
      </c>
      <c r="U7" s="15" t="s">
        <v>36</v>
      </c>
      <c r="V7" s="19" t="s">
        <v>31</v>
      </c>
      <c r="W7" s="18">
        <v>46125</v>
      </c>
      <c r="X7" s="18">
        <v>46136</v>
      </c>
      <c r="Z7" s="10">
        <v>2026</v>
      </c>
      <c r="AA7" s="16" t="s">
        <v>40</v>
      </c>
      <c r="AB7" s="16" t="s">
        <v>35</v>
      </c>
      <c r="AC7" s="16" t="s">
        <v>34</v>
      </c>
      <c r="AD7" s="16" t="s">
        <v>26</v>
      </c>
      <c r="AE7" s="16" t="s">
        <v>27</v>
      </c>
      <c r="AG7" s="17">
        <v>38</v>
      </c>
      <c r="AH7" s="17">
        <v>57</v>
      </c>
      <c r="AI7" s="17">
        <v>0.63</v>
      </c>
    </row>
    <row r="8" spans="2:35" s="1" customFormat="1" ht="15.75" x14ac:dyDescent="0.55000000000000004">
      <c r="B8" s="20" t="s">
        <v>25</v>
      </c>
      <c r="C8" s="21">
        <v>46062</v>
      </c>
      <c r="D8" s="22">
        <v>0.5625</v>
      </c>
      <c r="E8" s="22">
        <v>0.625</v>
      </c>
      <c r="F8" s="11">
        <v>1.5</v>
      </c>
      <c r="G8" s="11">
        <v>15</v>
      </c>
      <c r="H8" s="20" t="s">
        <v>41</v>
      </c>
      <c r="I8" s="20" t="s">
        <v>39</v>
      </c>
      <c r="J8" s="20" t="s">
        <v>27</v>
      </c>
      <c r="K8" s="10" t="s">
        <v>28</v>
      </c>
      <c r="L8" s="12">
        <v>184940005</v>
      </c>
      <c r="M8" s="12" t="s">
        <v>29</v>
      </c>
      <c r="N8" s="12" t="s">
        <v>30</v>
      </c>
      <c r="O8" s="10" t="s">
        <v>31</v>
      </c>
      <c r="P8" s="10" t="s">
        <v>32</v>
      </c>
      <c r="Q8" s="13" t="s">
        <v>33</v>
      </c>
      <c r="R8" s="14">
        <v>42</v>
      </c>
      <c r="S8" s="15">
        <v>63</v>
      </c>
      <c r="T8" s="15">
        <v>5.25</v>
      </c>
      <c r="U8" s="15" t="s">
        <v>36</v>
      </c>
      <c r="V8" s="19" t="s">
        <v>31</v>
      </c>
      <c r="W8" s="18">
        <v>46125</v>
      </c>
      <c r="X8" s="18">
        <v>46136</v>
      </c>
      <c r="Z8" s="10">
        <v>2026</v>
      </c>
      <c r="AA8" s="16" t="s">
        <v>40</v>
      </c>
      <c r="AB8" s="16" t="s">
        <v>41</v>
      </c>
      <c r="AC8" s="16" t="s">
        <v>34</v>
      </c>
      <c r="AD8" s="16" t="s">
        <v>39</v>
      </c>
      <c r="AE8" s="16" t="s">
        <v>27</v>
      </c>
      <c r="AG8" s="17">
        <v>42</v>
      </c>
      <c r="AH8" s="17">
        <v>63</v>
      </c>
      <c r="AI8" s="17">
        <v>5.25</v>
      </c>
    </row>
    <row r="9" spans="2:35" s="1" customFormat="1" ht="15.75" x14ac:dyDescent="0.55000000000000004">
      <c r="B9" s="20" t="s">
        <v>25</v>
      </c>
      <c r="C9" s="21">
        <v>46099</v>
      </c>
      <c r="D9" s="22">
        <v>0.59375</v>
      </c>
      <c r="E9" s="22">
        <v>0.61458333333333337</v>
      </c>
      <c r="F9" s="11">
        <v>0.50000000000000089</v>
      </c>
      <c r="G9" s="11">
        <v>10.9</v>
      </c>
      <c r="H9" s="20" t="s">
        <v>42</v>
      </c>
      <c r="I9" s="20" t="s">
        <v>26</v>
      </c>
      <c r="J9" s="20" t="s">
        <v>27</v>
      </c>
      <c r="K9" s="10" t="s">
        <v>28</v>
      </c>
      <c r="L9" s="12">
        <v>184940005</v>
      </c>
      <c r="M9" s="12" t="s">
        <v>29</v>
      </c>
      <c r="N9" s="12" t="s">
        <v>30</v>
      </c>
      <c r="O9" s="10" t="s">
        <v>31</v>
      </c>
      <c r="P9" s="10" t="s">
        <v>32</v>
      </c>
      <c r="Q9" s="13" t="s">
        <v>33</v>
      </c>
      <c r="R9" s="14">
        <v>38</v>
      </c>
      <c r="S9" s="15">
        <v>19.000000000000036</v>
      </c>
      <c r="T9" s="15">
        <v>3.8149999999999999</v>
      </c>
      <c r="U9" s="15" t="s">
        <v>36</v>
      </c>
      <c r="V9" s="19" t="s">
        <v>31</v>
      </c>
      <c r="W9" s="18">
        <v>46125</v>
      </c>
      <c r="X9" s="18">
        <v>46136</v>
      </c>
      <c r="Z9" s="10">
        <v>2026</v>
      </c>
      <c r="AA9" s="16" t="s">
        <v>43</v>
      </c>
      <c r="AB9" s="16" t="s">
        <v>42</v>
      </c>
      <c r="AC9" s="16" t="s">
        <v>34</v>
      </c>
      <c r="AD9" s="16" t="s">
        <v>26</v>
      </c>
      <c r="AE9" s="16" t="s">
        <v>27</v>
      </c>
      <c r="AG9" s="17">
        <v>38</v>
      </c>
      <c r="AH9" s="17">
        <v>19.000000000000036</v>
      </c>
      <c r="AI9" s="17">
        <v>3.8149999999999999</v>
      </c>
    </row>
    <row r="10" spans="2:35" s="1" customFormat="1" ht="15.75" x14ac:dyDescent="0.55000000000000004">
      <c r="B10" s="20" t="s">
        <v>25</v>
      </c>
      <c r="C10" s="21">
        <v>46099</v>
      </c>
      <c r="D10" s="22">
        <v>0.64583333333333337</v>
      </c>
      <c r="E10" s="22">
        <v>0.66666666666666663</v>
      </c>
      <c r="F10" s="11">
        <v>0.49999999999999822</v>
      </c>
      <c r="G10" s="11">
        <v>2.9</v>
      </c>
      <c r="H10" s="20" t="s">
        <v>42</v>
      </c>
      <c r="I10" s="20" t="s">
        <v>26</v>
      </c>
      <c r="J10" s="20" t="s">
        <v>27</v>
      </c>
      <c r="K10" s="10" t="s">
        <v>28</v>
      </c>
      <c r="L10" s="12">
        <v>184940005</v>
      </c>
      <c r="M10" s="12" t="s">
        <v>29</v>
      </c>
      <c r="N10" s="12" t="s">
        <v>30</v>
      </c>
      <c r="O10" s="10" t="s">
        <v>31</v>
      </c>
      <c r="P10" s="10" t="s">
        <v>32</v>
      </c>
      <c r="Q10" s="13" t="s">
        <v>33</v>
      </c>
      <c r="R10" s="14">
        <v>38</v>
      </c>
      <c r="S10" s="15">
        <v>18.999999999999932</v>
      </c>
      <c r="T10" s="15">
        <v>1.0149999999999999</v>
      </c>
      <c r="U10" s="15" t="s">
        <v>36</v>
      </c>
      <c r="V10" s="19" t="s">
        <v>31</v>
      </c>
      <c r="W10" s="18">
        <v>46125</v>
      </c>
      <c r="X10" s="18">
        <v>46136</v>
      </c>
      <c r="Z10" s="10">
        <v>2026</v>
      </c>
      <c r="AA10" s="16" t="s">
        <v>43</v>
      </c>
      <c r="AB10" s="16" t="s">
        <v>42</v>
      </c>
      <c r="AC10" s="16" t="s">
        <v>34</v>
      </c>
      <c r="AD10" s="16" t="s">
        <v>26</v>
      </c>
      <c r="AE10" s="16" t="s">
        <v>27</v>
      </c>
      <c r="AG10" s="17">
        <v>38</v>
      </c>
      <c r="AH10" s="17">
        <v>18.999999999999932</v>
      </c>
      <c r="AI10" s="17">
        <v>1.0149999999999999</v>
      </c>
    </row>
    <row r="11" spans="2:35" s="1" customFormat="1" ht="15.75" x14ac:dyDescent="0.55000000000000004">
      <c r="B11" s="20" t="s">
        <v>25</v>
      </c>
      <c r="C11" s="21">
        <v>46127</v>
      </c>
      <c r="D11" s="22">
        <v>0.375</v>
      </c>
      <c r="E11" s="22">
        <v>0.45833333333333331</v>
      </c>
      <c r="F11" s="11">
        <v>1.9999999999999996</v>
      </c>
      <c r="G11" s="11">
        <v>1.8</v>
      </c>
      <c r="H11" s="20" t="s">
        <v>35</v>
      </c>
      <c r="I11" s="20" t="s">
        <v>26</v>
      </c>
      <c r="J11" s="20" t="s">
        <v>27</v>
      </c>
      <c r="K11" s="10" t="s">
        <v>28</v>
      </c>
      <c r="L11" s="12">
        <v>184940005</v>
      </c>
      <c r="M11" s="12" t="s">
        <v>29</v>
      </c>
      <c r="N11" s="12" t="s">
        <v>30</v>
      </c>
      <c r="O11" s="10" t="s">
        <v>31</v>
      </c>
      <c r="P11" s="10" t="s">
        <v>32</v>
      </c>
      <c r="Q11" s="13" t="s">
        <v>33</v>
      </c>
      <c r="R11" s="14">
        <v>38</v>
      </c>
      <c r="S11" s="15">
        <v>75.999999999999986</v>
      </c>
      <c r="T11" s="15">
        <v>0.63</v>
      </c>
      <c r="U11" s="15" t="s">
        <v>36</v>
      </c>
      <c r="V11" s="19" t="s">
        <v>31</v>
      </c>
      <c r="W11" s="18">
        <v>46164</v>
      </c>
      <c r="X11" s="18"/>
      <c r="Z11" s="10">
        <v>2026</v>
      </c>
      <c r="AA11" s="16" t="s">
        <v>44</v>
      </c>
      <c r="AB11" s="16" t="s">
        <v>35</v>
      </c>
      <c r="AC11" s="16" t="s">
        <v>34</v>
      </c>
      <c r="AD11" s="16" t="s">
        <v>26</v>
      </c>
      <c r="AE11" s="16" t="s">
        <v>27</v>
      </c>
      <c r="AG11" s="17">
        <v>38</v>
      </c>
      <c r="AH11" s="17">
        <v>75.999999999999986</v>
      </c>
      <c r="AI11" s="17">
        <v>0.63</v>
      </c>
    </row>
    <row r="12" spans="2:35" s="1" customFormat="1" ht="15.75" x14ac:dyDescent="0.55000000000000004">
      <c r="B12" s="20" t="s">
        <v>25</v>
      </c>
      <c r="C12" s="21">
        <v>46141</v>
      </c>
      <c r="D12" s="22">
        <v>0.375</v>
      </c>
      <c r="E12" s="22">
        <v>0.41666666666666669</v>
      </c>
      <c r="F12" s="11">
        <v>1.0000000000000004</v>
      </c>
      <c r="G12" s="11">
        <v>1.8</v>
      </c>
      <c r="H12" s="20" t="s">
        <v>35</v>
      </c>
      <c r="I12" s="20" t="s">
        <v>26</v>
      </c>
      <c r="J12" s="20" t="s">
        <v>27</v>
      </c>
      <c r="K12" s="10" t="s">
        <v>28</v>
      </c>
      <c r="L12" s="12">
        <v>184940005</v>
      </c>
      <c r="M12" s="12" t="s">
        <v>29</v>
      </c>
      <c r="N12" s="12" t="s">
        <v>30</v>
      </c>
      <c r="O12" s="10" t="s">
        <v>31</v>
      </c>
      <c r="P12" s="10" t="s">
        <v>32</v>
      </c>
      <c r="Q12" s="13" t="s">
        <v>33</v>
      </c>
      <c r="R12" s="14">
        <v>38</v>
      </c>
      <c r="S12" s="15">
        <v>38.000000000000014</v>
      </c>
      <c r="T12" s="15">
        <v>0.63</v>
      </c>
      <c r="U12" s="15" t="s">
        <v>36</v>
      </c>
      <c r="V12" s="19" t="s">
        <v>31</v>
      </c>
      <c r="W12" s="18">
        <v>46164</v>
      </c>
      <c r="X12" s="18"/>
      <c r="Z12" s="10">
        <v>2026</v>
      </c>
      <c r="AA12" s="16" t="s">
        <v>44</v>
      </c>
      <c r="AB12" s="16" t="s">
        <v>35</v>
      </c>
      <c r="AC12" s="16" t="s">
        <v>34</v>
      </c>
      <c r="AD12" s="16" t="s">
        <v>26</v>
      </c>
      <c r="AE12" s="16" t="s">
        <v>27</v>
      </c>
      <c r="AG12" s="17">
        <v>38</v>
      </c>
      <c r="AH12" s="17">
        <v>38.000000000000014</v>
      </c>
      <c r="AI12" s="17">
        <v>0.63</v>
      </c>
    </row>
  </sheetData>
  <conditionalFormatting sqref="P8:Q12 P6:P7">
    <cfRule type="cellIs" dxfId="9" priority="9" operator="equal">
      <formula>"Unterschrieben"</formula>
    </cfRule>
    <cfRule type="cellIs" dxfId="8" priority="10" operator="equal">
      <formula>"Fehlt"</formula>
    </cfRule>
  </conditionalFormatting>
  <conditionalFormatting sqref="P4:Q4">
    <cfRule type="cellIs" dxfId="7" priority="7" operator="equal">
      <formula>"Unterschrieben"</formula>
    </cfRule>
    <cfRule type="cellIs" dxfId="6" priority="8" operator="equal">
      <formula>"Fehlt"</formula>
    </cfRule>
  </conditionalFormatting>
  <conditionalFormatting sqref="Q5">
    <cfRule type="cellIs" dxfId="5" priority="5" operator="equal">
      <formula>"Unterschrieben"</formula>
    </cfRule>
    <cfRule type="cellIs" dxfId="4" priority="6" operator="equal">
      <formula>"Fehlt"</formula>
    </cfRule>
  </conditionalFormatting>
  <conditionalFormatting sqref="P5">
    <cfRule type="cellIs" dxfId="3" priority="3" operator="equal">
      <formula>"Unterschrieben"</formula>
    </cfRule>
    <cfRule type="cellIs" dxfId="2" priority="4" operator="equal">
      <formula>"Fehlt"</formula>
    </cfRule>
  </conditionalFormatting>
  <conditionalFormatting sqref="P6:Q7">
    <cfRule type="cellIs" dxfId="1" priority="1" operator="equal">
      <formula>"Unterschrieben"</formula>
    </cfRule>
    <cfRule type="cellIs" dxfId="0" priority="2" operator="equal">
      <formula>"Fehlt"</formula>
    </cfRule>
  </conditionalFormatting>
  <dataValidations count="1">
    <dataValidation type="list" allowBlank="1" showInputMessage="1" showErrorMessage="1" sqref="P4:P12" xr:uid="{83003286-9456-49C7-B9B5-DA308FF74D55}">
      <formula1>"Unterschrieben,Fehlt"</formula1>
    </dataValidation>
  </dataValidations>
  <hyperlinks>
    <hyperlink ref="Q4" r:id="rId1" xr:uid="{936ABF94-F287-4F02-A112-E10167D6BC6B}"/>
    <hyperlink ref="Q6" r:id="rId2" xr:uid="{8D4F59EB-43CD-4D36-9D2F-28C56B1CC6DC}"/>
    <hyperlink ref="Q7" r:id="rId3" xr:uid="{F2DA3B14-E2ED-425F-90FF-DC1F365E39C1}"/>
    <hyperlink ref="Q8" r:id="rId4" xr:uid="{7290ABDA-6C67-4E66-A6D7-2C497385D722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Alrik Degenkolb</dc:creator>
  <cp:lastModifiedBy>Alrik Degenkolb</cp:lastModifiedBy>
  <dcterms:created xsi:type="dcterms:W3CDTF">2026-05-26T18:14:30Z</dcterms:created>
  <dcterms:modified xsi:type="dcterms:W3CDTF">2026-05-26T18:17:55Z</dcterms:modified>
</cp:coreProperties>
</file>