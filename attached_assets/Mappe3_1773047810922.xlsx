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8_{971C0131-F03E-4EFB-A2DB-FEA62C705A95}" xr6:coauthVersionLast="47" xr6:coauthVersionMax="47" xr10:uidLastSave="{00000000-0000-0000-0000-000000000000}"/>
  <bookViews>
    <workbookView xWindow="-120" yWindow="-120" windowWidth="29040" windowHeight="15720" xr2:uid="{9C66AB7E-9A88-4D51-8912-B14C891F485F}"/>
  </bookViews>
  <sheets>
    <sheet name="Tabelle1" sheetId="1" r:id="rId1"/>
  </sheets>
  <externalReferences>
    <externalReference r:id="rId2"/>
  </externalReferences>
  <definedNames>
    <definedName name="ListeKunden">OFFSET([1]Kundenübersicht!$E$4,0,0,MAX(ROW([1]Kundenübersicht!A1048576:A996)*([1]Kundenübersicht!A1048576:A996&lt;&gt;""))-3)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51" i="1" l="1"/>
  <c r="AL651" i="1"/>
  <c r="AM651" i="1" s="1"/>
  <c r="AJ651" i="1"/>
  <c r="AI651" i="1"/>
  <c r="AH651" i="1"/>
  <c r="AG651" i="1"/>
  <c r="AF651" i="1"/>
  <c r="AE651" i="1"/>
  <c r="Z651" i="1"/>
  <c r="W651" i="1"/>
  <c r="U651" i="1"/>
  <c r="V651" i="1" s="1"/>
  <c r="R651" i="1"/>
  <c r="N651" i="1"/>
  <c r="M651" i="1"/>
  <c r="L651" i="1"/>
  <c r="K651" i="1"/>
  <c r="F651" i="1"/>
  <c r="AN650" i="1"/>
  <c r="AL650" i="1"/>
  <c r="AM650" i="1" s="1"/>
  <c r="AJ650" i="1"/>
  <c r="AI650" i="1"/>
  <c r="AH650" i="1"/>
  <c r="AG650" i="1"/>
  <c r="AF650" i="1"/>
  <c r="AE650" i="1"/>
  <c r="Z650" i="1"/>
  <c r="W650" i="1"/>
  <c r="U650" i="1"/>
  <c r="V650" i="1" s="1"/>
  <c r="R650" i="1"/>
  <c r="N650" i="1"/>
  <c r="M650" i="1"/>
  <c r="L650" i="1"/>
  <c r="K650" i="1"/>
  <c r="F650" i="1"/>
  <c r="AN649" i="1"/>
  <c r="AM649" i="1"/>
  <c r="AL649" i="1"/>
  <c r="AJ649" i="1"/>
  <c r="AI649" i="1"/>
  <c r="AH649" i="1"/>
  <c r="AG649" i="1"/>
  <c r="AF649" i="1"/>
  <c r="AE649" i="1"/>
  <c r="Z649" i="1"/>
  <c r="W649" i="1"/>
  <c r="V649" i="1"/>
  <c r="U649" i="1"/>
  <c r="R649" i="1"/>
  <c r="N649" i="1"/>
  <c r="M649" i="1"/>
  <c r="L649" i="1"/>
  <c r="K649" i="1"/>
  <c r="F649" i="1"/>
  <c r="AN648" i="1"/>
  <c r="AM648" i="1"/>
  <c r="AL648" i="1"/>
  <c r="AJ648" i="1"/>
  <c r="AI648" i="1"/>
  <c r="AH648" i="1"/>
  <c r="AG648" i="1"/>
  <c r="AF648" i="1"/>
  <c r="AE648" i="1"/>
  <c r="Z648" i="1"/>
  <c r="W648" i="1"/>
  <c r="U648" i="1"/>
  <c r="V648" i="1" s="1"/>
  <c r="R648" i="1"/>
  <c r="N648" i="1"/>
  <c r="M648" i="1"/>
  <c r="L648" i="1"/>
  <c r="K648" i="1"/>
  <c r="F648" i="1"/>
  <c r="AN647" i="1"/>
  <c r="AM647" i="1"/>
  <c r="AL647" i="1"/>
  <c r="AJ647" i="1"/>
  <c r="AI647" i="1"/>
  <c r="AH647" i="1"/>
  <c r="AG647" i="1"/>
  <c r="AF647" i="1"/>
  <c r="AE647" i="1"/>
  <c r="Z647" i="1"/>
  <c r="W647" i="1"/>
  <c r="V647" i="1"/>
  <c r="U647" i="1"/>
  <c r="R647" i="1"/>
  <c r="N647" i="1"/>
  <c r="M647" i="1"/>
  <c r="L647" i="1"/>
  <c r="K647" i="1"/>
  <c r="F647" i="1"/>
  <c r="AN646" i="1"/>
  <c r="AM646" i="1"/>
  <c r="AL646" i="1"/>
  <c r="AJ646" i="1"/>
  <c r="AI646" i="1"/>
  <c r="AH646" i="1"/>
  <c r="AG646" i="1"/>
  <c r="AF646" i="1"/>
  <c r="AE646" i="1"/>
  <c r="Z646" i="1"/>
  <c r="W646" i="1"/>
  <c r="U646" i="1"/>
  <c r="R646" i="1"/>
  <c r="N646" i="1"/>
  <c r="M646" i="1"/>
  <c r="L646" i="1"/>
  <c r="K646" i="1"/>
  <c r="F646" i="1"/>
  <c r="V646" i="1" s="1"/>
  <c r="AN645" i="1"/>
  <c r="AL645" i="1"/>
  <c r="AM645" i="1" s="1"/>
  <c r="AJ645" i="1"/>
  <c r="AI645" i="1"/>
  <c r="AH645" i="1"/>
  <c r="AG645" i="1"/>
  <c r="AF645" i="1"/>
  <c r="AE645" i="1"/>
  <c r="Z645" i="1"/>
  <c r="W645" i="1"/>
  <c r="V645" i="1"/>
  <c r="U645" i="1"/>
  <c r="R645" i="1"/>
  <c r="N645" i="1"/>
  <c r="M645" i="1"/>
  <c r="L645" i="1"/>
  <c r="K645" i="1"/>
  <c r="F645" i="1"/>
  <c r="AN644" i="1"/>
  <c r="AL644" i="1"/>
  <c r="AM644" i="1" s="1"/>
  <c r="AJ644" i="1"/>
  <c r="AI644" i="1"/>
  <c r="AH644" i="1"/>
  <c r="AG644" i="1"/>
  <c r="AF644" i="1"/>
  <c r="AE644" i="1"/>
  <c r="Z644" i="1"/>
  <c r="W644" i="1"/>
  <c r="U644" i="1"/>
  <c r="R644" i="1"/>
  <c r="N644" i="1"/>
  <c r="M644" i="1"/>
  <c r="L644" i="1"/>
  <c r="K644" i="1"/>
  <c r="F644" i="1"/>
  <c r="V644" i="1" s="1"/>
  <c r="AN643" i="1"/>
  <c r="AL643" i="1"/>
  <c r="AM643" i="1" s="1"/>
  <c r="AJ643" i="1"/>
  <c r="AI643" i="1"/>
  <c r="AH643" i="1"/>
  <c r="AG643" i="1"/>
  <c r="AF643" i="1"/>
  <c r="AE643" i="1"/>
  <c r="Z643" i="1"/>
  <c r="W643" i="1"/>
  <c r="U643" i="1"/>
  <c r="V643" i="1" s="1"/>
  <c r="R643" i="1"/>
  <c r="N643" i="1"/>
  <c r="M643" i="1"/>
  <c r="L643" i="1"/>
  <c r="K643" i="1"/>
  <c r="F643" i="1"/>
  <c r="AN642" i="1"/>
  <c r="AL642" i="1"/>
  <c r="AM642" i="1" s="1"/>
  <c r="AJ642" i="1"/>
  <c r="AI642" i="1"/>
  <c r="AH642" i="1"/>
  <c r="AG642" i="1"/>
  <c r="AF642" i="1"/>
  <c r="AE642" i="1"/>
  <c r="Z642" i="1"/>
  <c r="W642" i="1"/>
  <c r="U642" i="1"/>
  <c r="V642" i="1" s="1"/>
  <c r="R642" i="1"/>
  <c r="N642" i="1"/>
  <c r="M642" i="1"/>
  <c r="L642" i="1"/>
  <c r="K642" i="1"/>
  <c r="F642" i="1"/>
  <c r="AN641" i="1"/>
  <c r="AM641" i="1"/>
  <c r="AL641" i="1"/>
  <c r="AJ641" i="1"/>
  <c r="AI641" i="1"/>
  <c r="AH641" i="1"/>
  <c r="AG641" i="1"/>
  <c r="AF641" i="1"/>
  <c r="AE641" i="1"/>
  <c r="Z641" i="1"/>
  <c r="W641" i="1"/>
  <c r="U641" i="1"/>
  <c r="V641" i="1" s="1"/>
  <c r="R641" i="1"/>
  <c r="N641" i="1"/>
  <c r="M641" i="1"/>
  <c r="L641" i="1"/>
  <c r="K641" i="1"/>
  <c r="F641" i="1"/>
  <c r="AN640" i="1"/>
  <c r="AM640" i="1"/>
  <c r="AL640" i="1"/>
  <c r="AJ640" i="1"/>
  <c r="AI640" i="1"/>
  <c r="AH640" i="1"/>
  <c r="AG640" i="1"/>
  <c r="AF640" i="1"/>
  <c r="AE640" i="1"/>
  <c r="Z640" i="1"/>
  <c r="W640" i="1"/>
  <c r="U640" i="1"/>
  <c r="V640" i="1" s="1"/>
  <c r="R640" i="1"/>
  <c r="N640" i="1"/>
  <c r="M640" i="1"/>
  <c r="L640" i="1"/>
  <c r="K640" i="1"/>
  <c r="F640" i="1"/>
  <c r="AN639" i="1"/>
  <c r="AM639" i="1"/>
  <c r="AL639" i="1"/>
  <c r="AJ639" i="1"/>
  <c r="AI639" i="1"/>
  <c r="AH639" i="1"/>
  <c r="AG639" i="1"/>
  <c r="AF639" i="1"/>
  <c r="AE639" i="1"/>
  <c r="Z639" i="1"/>
  <c r="W639" i="1"/>
  <c r="V639" i="1"/>
  <c r="U639" i="1"/>
  <c r="R639" i="1"/>
  <c r="N639" i="1"/>
  <c r="M639" i="1"/>
  <c r="L639" i="1"/>
  <c r="K639" i="1"/>
  <c r="F639" i="1"/>
  <c r="AN638" i="1"/>
  <c r="AM638" i="1"/>
  <c r="AL638" i="1"/>
  <c r="AJ638" i="1"/>
  <c r="AI638" i="1"/>
  <c r="AH638" i="1"/>
  <c r="AG638" i="1"/>
  <c r="AF638" i="1"/>
  <c r="AE638" i="1"/>
  <c r="Z638" i="1"/>
  <c r="W638" i="1"/>
  <c r="V638" i="1"/>
  <c r="U638" i="1"/>
  <c r="R638" i="1"/>
  <c r="N638" i="1"/>
  <c r="M638" i="1"/>
  <c r="L638" i="1"/>
  <c r="K638" i="1"/>
  <c r="F638" i="1"/>
  <c r="AN637" i="1"/>
  <c r="AL637" i="1"/>
  <c r="AM637" i="1" s="1"/>
  <c r="AJ637" i="1"/>
  <c r="AI637" i="1"/>
  <c r="AH637" i="1"/>
  <c r="AG637" i="1"/>
  <c r="AF637" i="1"/>
  <c r="AE637" i="1"/>
  <c r="Z637" i="1"/>
  <c r="W637" i="1"/>
  <c r="V637" i="1"/>
  <c r="U637" i="1"/>
  <c r="R637" i="1"/>
  <c r="N637" i="1"/>
  <c r="M637" i="1"/>
  <c r="L637" i="1"/>
  <c r="K637" i="1"/>
  <c r="F637" i="1"/>
  <c r="AN636" i="1"/>
  <c r="AL636" i="1"/>
  <c r="AJ636" i="1"/>
  <c r="AI636" i="1"/>
  <c r="AH636" i="1"/>
  <c r="AG636" i="1"/>
  <c r="AF636" i="1"/>
  <c r="AE636" i="1"/>
  <c r="Z636" i="1"/>
  <c r="W636" i="1"/>
  <c r="U636" i="1"/>
  <c r="R636" i="1"/>
  <c r="N636" i="1"/>
  <c r="M636" i="1"/>
  <c r="L636" i="1"/>
  <c r="K636" i="1"/>
  <c r="F636" i="1"/>
  <c r="V636" i="1" s="1"/>
  <c r="AN635" i="1"/>
  <c r="AL635" i="1"/>
  <c r="AM635" i="1" s="1"/>
  <c r="AJ635" i="1"/>
  <c r="AI635" i="1"/>
  <c r="AH635" i="1"/>
  <c r="AG635" i="1"/>
  <c r="AF635" i="1"/>
  <c r="AE635" i="1"/>
  <c r="Z635" i="1"/>
  <c r="W635" i="1"/>
  <c r="U635" i="1"/>
  <c r="V635" i="1" s="1"/>
  <c r="R635" i="1"/>
  <c r="N635" i="1"/>
  <c r="M635" i="1"/>
  <c r="L635" i="1"/>
  <c r="K635" i="1"/>
  <c r="F635" i="1"/>
  <c r="AN634" i="1"/>
  <c r="AL634" i="1"/>
  <c r="AM634" i="1" s="1"/>
  <c r="AJ634" i="1"/>
  <c r="AI634" i="1"/>
  <c r="AH634" i="1"/>
  <c r="AG634" i="1"/>
  <c r="AF634" i="1"/>
  <c r="AE634" i="1"/>
  <c r="Z634" i="1"/>
  <c r="W634" i="1"/>
  <c r="U634" i="1"/>
  <c r="V634" i="1" s="1"/>
  <c r="R634" i="1"/>
  <c r="N634" i="1"/>
  <c r="M634" i="1"/>
  <c r="L634" i="1"/>
  <c r="K634" i="1"/>
  <c r="F634" i="1"/>
  <c r="AN633" i="1"/>
  <c r="AM633" i="1"/>
  <c r="AL633" i="1"/>
  <c r="AJ633" i="1"/>
  <c r="AI633" i="1"/>
  <c r="AH633" i="1"/>
  <c r="AG633" i="1"/>
  <c r="AF633" i="1"/>
  <c r="AE633" i="1"/>
  <c r="Z633" i="1"/>
  <c r="W633" i="1"/>
  <c r="U633" i="1"/>
  <c r="V633" i="1" s="1"/>
  <c r="R633" i="1"/>
  <c r="N633" i="1"/>
  <c r="M633" i="1"/>
  <c r="L633" i="1"/>
  <c r="K633" i="1"/>
  <c r="F633" i="1"/>
  <c r="AN632" i="1"/>
  <c r="AM632" i="1"/>
  <c r="AL632" i="1"/>
  <c r="AJ632" i="1"/>
  <c r="AI632" i="1"/>
  <c r="AH632" i="1"/>
  <c r="AG632" i="1"/>
  <c r="AF632" i="1"/>
  <c r="AE632" i="1"/>
  <c r="Z632" i="1"/>
  <c r="W632" i="1"/>
  <c r="U632" i="1"/>
  <c r="V632" i="1" s="1"/>
  <c r="R632" i="1"/>
  <c r="N632" i="1"/>
  <c r="M632" i="1"/>
  <c r="L632" i="1"/>
  <c r="K632" i="1"/>
  <c r="F632" i="1"/>
  <c r="AN631" i="1"/>
  <c r="AM631" i="1"/>
  <c r="AL631" i="1"/>
  <c r="AJ631" i="1"/>
  <c r="AI631" i="1"/>
  <c r="AH631" i="1"/>
  <c r="AG631" i="1"/>
  <c r="AF631" i="1"/>
  <c r="AE631" i="1"/>
  <c r="Z631" i="1"/>
  <c r="W631" i="1"/>
  <c r="V631" i="1"/>
  <c r="U631" i="1"/>
  <c r="R631" i="1"/>
  <c r="N631" i="1"/>
  <c r="M631" i="1"/>
  <c r="L631" i="1"/>
  <c r="K631" i="1"/>
  <c r="F631" i="1"/>
  <c r="AN630" i="1"/>
  <c r="AM630" i="1"/>
  <c r="AL630" i="1"/>
  <c r="AJ630" i="1"/>
  <c r="AI630" i="1"/>
  <c r="AH630" i="1"/>
  <c r="AG630" i="1"/>
  <c r="AF630" i="1"/>
  <c r="AE630" i="1"/>
  <c r="Z630" i="1"/>
  <c r="W630" i="1"/>
  <c r="V630" i="1"/>
  <c r="U630" i="1"/>
  <c r="R630" i="1"/>
  <c r="N630" i="1"/>
  <c r="M630" i="1"/>
  <c r="L630" i="1"/>
  <c r="K630" i="1"/>
  <c r="F630" i="1"/>
  <c r="AN629" i="1"/>
  <c r="AL629" i="1"/>
  <c r="AM629" i="1" s="1"/>
  <c r="AJ629" i="1"/>
  <c r="AI629" i="1"/>
  <c r="AH629" i="1"/>
  <c r="AG629" i="1"/>
  <c r="AF629" i="1"/>
  <c r="AE629" i="1"/>
  <c r="Z629" i="1"/>
  <c r="W629" i="1"/>
  <c r="V629" i="1"/>
  <c r="U629" i="1"/>
  <c r="R629" i="1"/>
  <c r="N629" i="1"/>
  <c r="M629" i="1"/>
  <c r="L629" i="1"/>
  <c r="K629" i="1"/>
  <c r="F629" i="1"/>
  <c r="AN628" i="1"/>
  <c r="AL628" i="1"/>
  <c r="AM628" i="1" s="1"/>
  <c r="AJ628" i="1"/>
  <c r="AI628" i="1"/>
  <c r="AH628" i="1"/>
  <c r="AG628" i="1"/>
  <c r="AF628" i="1"/>
  <c r="AE628" i="1"/>
  <c r="Z628" i="1"/>
  <c r="W628" i="1"/>
  <c r="U628" i="1"/>
  <c r="R628" i="1"/>
  <c r="N628" i="1"/>
  <c r="M628" i="1"/>
  <c r="L628" i="1"/>
  <c r="K628" i="1"/>
  <c r="F628" i="1"/>
  <c r="V628" i="1" s="1"/>
  <c r="AN627" i="1"/>
  <c r="AL627" i="1"/>
  <c r="AM627" i="1" s="1"/>
  <c r="AJ627" i="1"/>
  <c r="AI627" i="1"/>
  <c r="AH627" i="1"/>
  <c r="AG627" i="1"/>
  <c r="AF627" i="1"/>
  <c r="AE627" i="1"/>
  <c r="Z627" i="1"/>
  <c r="W627" i="1"/>
  <c r="U627" i="1"/>
  <c r="V627" i="1" s="1"/>
  <c r="R627" i="1"/>
  <c r="N627" i="1"/>
  <c r="M627" i="1"/>
  <c r="L627" i="1"/>
  <c r="K627" i="1"/>
  <c r="F627" i="1"/>
  <c r="AN626" i="1"/>
  <c r="AM626" i="1"/>
  <c r="AL626" i="1"/>
  <c r="AJ626" i="1"/>
  <c r="AI626" i="1"/>
  <c r="AH626" i="1"/>
  <c r="AG626" i="1"/>
  <c r="AF626" i="1"/>
  <c r="AE626" i="1"/>
  <c r="Z626" i="1"/>
  <c r="W626" i="1"/>
  <c r="U626" i="1"/>
  <c r="V626" i="1" s="1"/>
  <c r="R626" i="1"/>
  <c r="N626" i="1"/>
  <c r="M626" i="1"/>
  <c r="L626" i="1"/>
  <c r="K626" i="1"/>
  <c r="F626" i="1"/>
  <c r="AN625" i="1"/>
  <c r="AM625" i="1"/>
  <c r="AL625" i="1"/>
  <c r="AJ625" i="1"/>
  <c r="AI625" i="1"/>
  <c r="AH625" i="1"/>
  <c r="AG625" i="1"/>
  <c r="AF625" i="1"/>
  <c r="AE625" i="1"/>
  <c r="Z625" i="1"/>
  <c r="W625" i="1"/>
  <c r="U625" i="1"/>
  <c r="V625" i="1" s="1"/>
  <c r="R625" i="1"/>
  <c r="N625" i="1"/>
  <c r="M625" i="1"/>
  <c r="L625" i="1"/>
  <c r="K625" i="1"/>
  <c r="F625" i="1"/>
  <c r="AN624" i="1"/>
  <c r="AM624" i="1"/>
  <c r="AL624" i="1"/>
  <c r="AJ624" i="1"/>
  <c r="AI624" i="1"/>
  <c r="AH624" i="1"/>
  <c r="AG624" i="1"/>
  <c r="AF624" i="1"/>
  <c r="AE624" i="1"/>
  <c r="Z624" i="1"/>
  <c r="W624" i="1"/>
  <c r="U624" i="1"/>
  <c r="V624" i="1" s="1"/>
  <c r="R624" i="1"/>
  <c r="N624" i="1"/>
  <c r="M624" i="1"/>
  <c r="L624" i="1"/>
  <c r="K624" i="1"/>
  <c r="F624" i="1"/>
  <c r="AN623" i="1"/>
  <c r="AM623" i="1"/>
  <c r="AL623" i="1"/>
  <c r="AJ623" i="1"/>
  <c r="AI623" i="1"/>
  <c r="AH623" i="1"/>
  <c r="AG623" i="1"/>
  <c r="AF623" i="1"/>
  <c r="AE623" i="1"/>
  <c r="Z623" i="1"/>
  <c r="W623" i="1"/>
  <c r="V623" i="1"/>
  <c r="U623" i="1"/>
  <c r="R623" i="1"/>
  <c r="N623" i="1"/>
  <c r="M623" i="1"/>
  <c r="L623" i="1"/>
  <c r="K623" i="1"/>
  <c r="F623" i="1"/>
  <c r="AN622" i="1"/>
  <c r="AM622" i="1"/>
  <c r="AL622" i="1"/>
  <c r="AJ622" i="1"/>
  <c r="AI622" i="1"/>
  <c r="AH622" i="1"/>
  <c r="AG622" i="1"/>
  <c r="AF622" i="1"/>
  <c r="AE622" i="1"/>
  <c r="Z622" i="1"/>
  <c r="W622" i="1"/>
  <c r="V622" i="1"/>
  <c r="U622" i="1"/>
  <c r="R622" i="1"/>
  <c r="N622" i="1"/>
  <c r="M622" i="1"/>
  <c r="L622" i="1"/>
  <c r="K622" i="1"/>
  <c r="F622" i="1"/>
  <c r="AN621" i="1"/>
  <c r="AL621" i="1"/>
  <c r="AM621" i="1" s="1"/>
  <c r="AJ621" i="1"/>
  <c r="AI621" i="1"/>
  <c r="AH621" i="1"/>
  <c r="AG621" i="1"/>
  <c r="AF621" i="1"/>
  <c r="AE621" i="1"/>
  <c r="Z621" i="1"/>
  <c r="W621" i="1"/>
  <c r="V621" i="1"/>
  <c r="U621" i="1"/>
  <c r="R621" i="1"/>
  <c r="N621" i="1"/>
  <c r="M621" i="1"/>
  <c r="L621" i="1"/>
  <c r="K621" i="1"/>
  <c r="F621" i="1"/>
  <c r="AN620" i="1"/>
  <c r="AL620" i="1"/>
  <c r="AM620" i="1" s="1"/>
  <c r="AJ620" i="1"/>
  <c r="AI620" i="1"/>
  <c r="AH620" i="1"/>
  <c r="AG620" i="1"/>
  <c r="AF620" i="1"/>
  <c r="AE620" i="1"/>
  <c r="Z620" i="1"/>
  <c r="W620" i="1"/>
  <c r="V620" i="1"/>
  <c r="U620" i="1"/>
  <c r="R620" i="1"/>
  <c r="N620" i="1"/>
  <c r="M620" i="1"/>
  <c r="L620" i="1"/>
  <c r="K620" i="1"/>
  <c r="AN619" i="1"/>
  <c r="AM619" i="1"/>
  <c r="AL619" i="1"/>
  <c r="AJ619" i="1"/>
  <c r="AI619" i="1"/>
  <c r="AH619" i="1"/>
  <c r="AG619" i="1"/>
  <c r="AF619" i="1"/>
  <c r="AE619" i="1"/>
  <c r="Z619" i="1"/>
  <c r="W619" i="1"/>
  <c r="V619" i="1"/>
  <c r="U619" i="1"/>
  <c r="R619" i="1"/>
  <c r="N619" i="1"/>
  <c r="M619" i="1"/>
  <c r="L619" i="1"/>
  <c r="K619" i="1"/>
  <c r="AN618" i="1"/>
  <c r="AM618" i="1"/>
  <c r="AL618" i="1"/>
  <c r="AJ618" i="1"/>
  <c r="AI618" i="1"/>
  <c r="AH618" i="1"/>
  <c r="AG618" i="1"/>
  <c r="AF618" i="1"/>
  <c r="AE618" i="1"/>
  <c r="Z618" i="1"/>
  <c r="W618" i="1"/>
  <c r="U618" i="1"/>
  <c r="V618" i="1" s="1"/>
  <c r="R618" i="1"/>
  <c r="N618" i="1"/>
  <c r="M618" i="1"/>
  <c r="L618" i="1"/>
  <c r="K618" i="1"/>
  <c r="AN617" i="1"/>
  <c r="AL617" i="1"/>
  <c r="AM617" i="1" s="1"/>
  <c r="AJ617" i="1"/>
  <c r="AI617" i="1"/>
  <c r="AH617" i="1"/>
  <c r="AG617" i="1"/>
  <c r="AF617" i="1"/>
  <c r="AE617" i="1"/>
  <c r="Z617" i="1"/>
  <c r="W617" i="1"/>
  <c r="U617" i="1"/>
  <c r="V617" i="1" s="1"/>
  <c r="R617" i="1"/>
  <c r="N617" i="1"/>
  <c r="M617" i="1"/>
  <c r="L617" i="1"/>
  <c r="K617" i="1"/>
  <c r="AN616" i="1"/>
  <c r="AL616" i="1"/>
  <c r="AJ616" i="1"/>
  <c r="AI616" i="1"/>
  <c r="AH616" i="1"/>
  <c r="AG616" i="1"/>
  <c r="AF616" i="1"/>
  <c r="AE616" i="1"/>
  <c r="Z616" i="1"/>
  <c r="W616" i="1"/>
  <c r="U616" i="1"/>
  <c r="R616" i="1"/>
  <c r="N616" i="1"/>
  <c r="M616" i="1"/>
  <c r="L616" i="1"/>
  <c r="K616" i="1"/>
  <c r="F616" i="1"/>
  <c r="V616" i="1" s="1"/>
  <c r="AN615" i="1"/>
  <c r="AL615" i="1"/>
  <c r="AM615" i="1" s="1"/>
  <c r="AJ615" i="1"/>
  <c r="AI615" i="1"/>
  <c r="AH615" i="1"/>
  <c r="AG615" i="1"/>
  <c r="AF615" i="1"/>
  <c r="AE615" i="1"/>
  <c r="Z615" i="1"/>
  <c r="W615" i="1"/>
  <c r="U615" i="1"/>
  <c r="V615" i="1" s="1"/>
  <c r="R615" i="1"/>
  <c r="N615" i="1"/>
  <c r="M615" i="1"/>
  <c r="L615" i="1"/>
  <c r="K615" i="1"/>
  <c r="F615" i="1"/>
  <c r="AN614" i="1"/>
  <c r="AL614" i="1"/>
  <c r="AM614" i="1" s="1"/>
  <c r="AJ614" i="1"/>
  <c r="AI614" i="1"/>
  <c r="AH614" i="1"/>
  <c r="AG614" i="1"/>
  <c r="AF614" i="1"/>
  <c r="AE614" i="1"/>
  <c r="Z614" i="1"/>
  <c r="W614" i="1"/>
  <c r="U614" i="1"/>
  <c r="V614" i="1" s="1"/>
  <c r="R614" i="1"/>
  <c r="N614" i="1"/>
  <c r="M614" i="1"/>
  <c r="L614" i="1"/>
  <c r="K614" i="1"/>
  <c r="F614" i="1"/>
  <c r="AN613" i="1"/>
  <c r="AM613" i="1"/>
  <c r="AL613" i="1"/>
  <c r="AJ613" i="1"/>
  <c r="AI613" i="1"/>
  <c r="AH613" i="1"/>
  <c r="AG613" i="1"/>
  <c r="AF613" i="1"/>
  <c r="AE613" i="1"/>
  <c r="Z613" i="1"/>
  <c r="W613" i="1"/>
  <c r="U613" i="1"/>
  <c r="V613" i="1" s="1"/>
  <c r="R613" i="1"/>
  <c r="N613" i="1"/>
  <c r="M613" i="1"/>
  <c r="L613" i="1"/>
  <c r="K613" i="1"/>
  <c r="F613" i="1"/>
  <c r="AN612" i="1"/>
  <c r="AM612" i="1"/>
  <c r="AL612" i="1"/>
  <c r="AJ612" i="1"/>
  <c r="AI612" i="1"/>
  <c r="AH612" i="1"/>
  <c r="AG612" i="1"/>
  <c r="AF612" i="1"/>
  <c r="AE612" i="1"/>
  <c r="Z612" i="1"/>
  <c r="W612" i="1"/>
  <c r="U612" i="1"/>
  <c r="V612" i="1" s="1"/>
  <c r="R612" i="1"/>
  <c r="N612" i="1"/>
  <c r="M612" i="1"/>
  <c r="L612" i="1"/>
  <c r="K612" i="1"/>
  <c r="F612" i="1"/>
  <c r="AN611" i="1"/>
  <c r="AM611" i="1"/>
  <c r="AL611" i="1"/>
  <c r="AJ611" i="1"/>
  <c r="AI611" i="1"/>
  <c r="AH611" i="1"/>
  <c r="AG611" i="1"/>
  <c r="AF611" i="1"/>
  <c r="AE611" i="1"/>
  <c r="Z611" i="1"/>
  <c r="W611" i="1"/>
  <c r="V611" i="1"/>
  <c r="U611" i="1"/>
  <c r="R611" i="1"/>
  <c r="N611" i="1"/>
  <c r="M611" i="1"/>
  <c r="L611" i="1"/>
  <c r="K611" i="1"/>
  <c r="F611" i="1"/>
  <c r="AN610" i="1"/>
  <c r="AM610" i="1"/>
  <c r="AL610" i="1"/>
  <c r="AJ610" i="1"/>
  <c r="AI610" i="1"/>
  <c r="AH610" i="1"/>
  <c r="AG610" i="1"/>
  <c r="AF610" i="1"/>
  <c r="AE610" i="1"/>
  <c r="Z610" i="1"/>
  <c r="W610" i="1"/>
  <c r="V610" i="1"/>
  <c r="U610" i="1"/>
  <c r="R610" i="1"/>
  <c r="N610" i="1"/>
  <c r="M610" i="1"/>
  <c r="L610" i="1"/>
  <c r="K610" i="1"/>
  <c r="F610" i="1"/>
  <c r="AN609" i="1"/>
  <c r="AL609" i="1"/>
  <c r="AM609" i="1" s="1"/>
  <c r="AJ609" i="1"/>
  <c r="AI609" i="1"/>
  <c r="AH609" i="1"/>
  <c r="AG609" i="1"/>
  <c r="AF609" i="1"/>
  <c r="AE609" i="1"/>
  <c r="Z609" i="1"/>
  <c r="W609" i="1"/>
  <c r="V609" i="1"/>
  <c r="U609" i="1"/>
  <c r="R609" i="1"/>
  <c r="N609" i="1"/>
  <c r="M609" i="1"/>
  <c r="L609" i="1"/>
  <c r="K609" i="1"/>
  <c r="F609" i="1"/>
  <c r="AN608" i="1"/>
  <c r="AL608" i="1"/>
  <c r="AJ608" i="1"/>
  <c r="AI608" i="1"/>
  <c r="AH608" i="1"/>
  <c r="AG608" i="1"/>
  <c r="AF608" i="1"/>
  <c r="AE608" i="1"/>
  <c r="Z608" i="1"/>
  <c r="W608" i="1"/>
  <c r="U608" i="1"/>
  <c r="R608" i="1"/>
  <c r="N608" i="1"/>
  <c r="M608" i="1"/>
  <c r="L608" i="1"/>
  <c r="K608" i="1"/>
  <c r="F608" i="1"/>
  <c r="V608" i="1" s="1"/>
  <c r="AN607" i="1"/>
  <c r="AL607" i="1"/>
  <c r="AM607" i="1" s="1"/>
  <c r="AJ607" i="1"/>
  <c r="AI607" i="1"/>
  <c r="AH607" i="1"/>
  <c r="AG607" i="1"/>
  <c r="AF607" i="1"/>
  <c r="AE607" i="1"/>
  <c r="Z607" i="1"/>
  <c r="W607" i="1"/>
  <c r="U607" i="1"/>
  <c r="V607" i="1" s="1"/>
  <c r="R607" i="1"/>
  <c r="N607" i="1"/>
  <c r="M607" i="1"/>
  <c r="L607" i="1"/>
  <c r="K607" i="1"/>
  <c r="F607" i="1"/>
  <c r="AN606" i="1"/>
  <c r="AL606" i="1"/>
  <c r="AM606" i="1" s="1"/>
  <c r="AJ606" i="1"/>
  <c r="AI606" i="1"/>
  <c r="AH606" i="1"/>
  <c r="AG606" i="1"/>
  <c r="AF606" i="1"/>
  <c r="AE606" i="1"/>
  <c r="Z606" i="1"/>
  <c r="W606" i="1"/>
  <c r="U606" i="1"/>
  <c r="V606" i="1" s="1"/>
  <c r="R606" i="1"/>
  <c r="N606" i="1"/>
  <c r="M606" i="1"/>
  <c r="L606" i="1"/>
  <c r="K606" i="1"/>
  <c r="F606" i="1"/>
  <c r="AN605" i="1"/>
  <c r="AM605" i="1"/>
  <c r="AL605" i="1"/>
  <c r="AJ605" i="1"/>
  <c r="AI605" i="1"/>
  <c r="AH605" i="1"/>
  <c r="AG605" i="1"/>
  <c r="AF605" i="1"/>
  <c r="AE605" i="1"/>
  <c r="Z605" i="1"/>
  <c r="W605" i="1"/>
  <c r="U605" i="1"/>
  <c r="V605" i="1" s="1"/>
  <c r="R605" i="1"/>
  <c r="N605" i="1"/>
  <c r="M605" i="1"/>
  <c r="L605" i="1"/>
  <c r="K605" i="1"/>
  <c r="F605" i="1"/>
  <c r="AN604" i="1"/>
  <c r="AM604" i="1"/>
  <c r="AL604" i="1"/>
  <c r="AJ604" i="1"/>
  <c r="AI604" i="1"/>
  <c r="AH604" i="1"/>
  <c r="AG604" i="1"/>
  <c r="AF604" i="1"/>
  <c r="AE604" i="1"/>
  <c r="Z604" i="1"/>
  <c r="W604" i="1"/>
  <c r="U604" i="1"/>
  <c r="V604" i="1" s="1"/>
  <c r="R604" i="1"/>
  <c r="N604" i="1"/>
  <c r="M604" i="1"/>
  <c r="L604" i="1"/>
  <c r="K604" i="1"/>
  <c r="F604" i="1"/>
  <c r="AN603" i="1"/>
  <c r="AM603" i="1"/>
  <c r="AL603" i="1"/>
  <c r="AJ603" i="1"/>
  <c r="AI603" i="1"/>
  <c r="AH603" i="1"/>
  <c r="AG603" i="1"/>
  <c r="AF603" i="1"/>
  <c r="AE603" i="1"/>
  <c r="Z603" i="1"/>
  <c r="W603" i="1"/>
  <c r="V603" i="1"/>
  <c r="U603" i="1"/>
  <c r="R603" i="1"/>
  <c r="N603" i="1"/>
  <c r="M603" i="1"/>
  <c r="L603" i="1"/>
  <c r="K603" i="1"/>
  <c r="F603" i="1"/>
  <c r="AN602" i="1"/>
  <c r="AM602" i="1"/>
  <c r="AL602" i="1"/>
  <c r="AJ602" i="1"/>
  <c r="AI602" i="1"/>
  <c r="AH602" i="1"/>
  <c r="AG602" i="1"/>
  <c r="AF602" i="1"/>
  <c r="AE602" i="1"/>
  <c r="Z602" i="1"/>
  <c r="W602" i="1"/>
  <c r="V602" i="1"/>
  <c r="U602" i="1"/>
  <c r="R602" i="1"/>
  <c r="N602" i="1"/>
  <c r="M602" i="1"/>
  <c r="L602" i="1"/>
  <c r="K602" i="1"/>
  <c r="F602" i="1"/>
  <c r="AN601" i="1"/>
  <c r="AL601" i="1"/>
  <c r="AM601" i="1" s="1"/>
  <c r="AJ601" i="1"/>
  <c r="AI601" i="1"/>
  <c r="AH601" i="1"/>
  <c r="AG601" i="1"/>
  <c r="AF601" i="1"/>
  <c r="AE601" i="1"/>
  <c r="Z601" i="1"/>
  <c r="W601" i="1"/>
  <c r="V601" i="1"/>
  <c r="U601" i="1"/>
  <c r="R601" i="1"/>
  <c r="N601" i="1"/>
  <c r="M601" i="1"/>
  <c r="L601" i="1"/>
  <c r="K601" i="1"/>
  <c r="F601" i="1"/>
  <c r="AN600" i="1"/>
  <c r="AL600" i="1"/>
  <c r="AM600" i="1" s="1"/>
  <c r="AJ600" i="1"/>
  <c r="AI600" i="1"/>
  <c r="AH600" i="1"/>
  <c r="AG600" i="1"/>
  <c r="AF600" i="1"/>
  <c r="AE600" i="1"/>
  <c r="Z600" i="1"/>
  <c r="W600" i="1"/>
  <c r="U600" i="1"/>
  <c r="R600" i="1"/>
  <c r="N600" i="1"/>
  <c r="M600" i="1"/>
  <c r="L600" i="1"/>
  <c r="K600" i="1"/>
  <c r="F600" i="1"/>
  <c r="V600" i="1" s="1"/>
  <c r="AN599" i="1"/>
  <c r="AL599" i="1"/>
  <c r="AM599" i="1" s="1"/>
  <c r="AJ599" i="1"/>
  <c r="AI599" i="1"/>
  <c r="AH599" i="1"/>
  <c r="AG599" i="1"/>
  <c r="AF599" i="1"/>
  <c r="AE599" i="1"/>
  <c r="Z599" i="1"/>
  <c r="W599" i="1"/>
  <c r="U599" i="1"/>
  <c r="V599" i="1" s="1"/>
  <c r="R599" i="1"/>
  <c r="N599" i="1"/>
  <c r="M599" i="1"/>
  <c r="L599" i="1"/>
  <c r="K599" i="1"/>
  <c r="F599" i="1"/>
  <c r="AN598" i="1"/>
  <c r="AL598" i="1"/>
  <c r="AM598" i="1" s="1"/>
  <c r="AJ598" i="1"/>
  <c r="AI598" i="1"/>
  <c r="AH598" i="1"/>
  <c r="AG598" i="1"/>
  <c r="AF598" i="1"/>
  <c r="AE598" i="1"/>
  <c r="Z598" i="1"/>
  <c r="W598" i="1"/>
  <c r="U598" i="1"/>
  <c r="V598" i="1" s="1"/>
  <c r="R598" i="1"/>
  <c r="N598" i="1"/>
  <c r="M598" i="1"/>
  <c r="L598" i="1"/>
  <c r="K598" i="1"/>
  <c r="F598" i="1"/>
  <c r="AN597" i="1"/>
  <c r="AM597" i="1"/>
  <c r="AL597" i="1"/>
  <c r="AJ597" i="1"/>
  <c r="AI597" i="1"/>
  <c r="AH597" i="1"/>
  <c r="AG597" i="1"/>
  <c r="AF597" i="1"/>
  <c r="AE597" i="1"/>
  <c r="Z597" i="1"/>
  <c r="W597" i="1"/>
  <c r="U597" i="1"/>
  <c r="V597" i="1" s="1"/>
  <c r="R597" i="1"/>
  <c r="N597" i="1"/>
  <c r="M597" i="1"/>
  <c r="L597" i="1"/>
  <c r="K597" i="1"/>
  <c r="F597" i="1"/>
  <c r="AN596" i="1"/>
  <c r="AM596" i="1"/>
  <c r="AL596" i="1"/>
  <c r="AJ596" i="1"/>
  <c r="AI596" i="1"/>
  <c r="AH596" i="1"/>
  <c r="AG596" i="1"/>
  <c r="AF596" i="1"/>
  <c r="AE596" i="1"/>
  <c r="Z596" i="1"/>
  <c r="W596" i="1"/>
  <c r="U596" i="1"/>
  <c r="V596" i="1" s="1"/>
  <c r="R596" i="1"/>
  <c r="N596" i="1"/>
  <c r="M596" i="1"/>
  <c r="L596" i="1"/>
  <c r="K596" i="1"/>
  <c r="F596" i="1"/>
  <c r="AN595" i="1"/>
  <c r="AM595" i="1"/>
  <c r="AL595" i="1"/>
  <c r="AJ595" i="1"/>
  <c r="AI595" i="1"/>
  <c r="AH595" i="1"/>
  <c r="AG595" i="1"/>
  <c r="AF595" i="1"/>
  <c r="AE595" i="1"/>
  <c r="Z595" i="1"/>
  <c r="W595" i="1"/>
  <c r="V595" i="1"/>
  <c r="U595" i="1"/>
  <c r="R595" i="1"/>
  <c r="N595" i="1"/>
  <c r="M595" i="1"/>
  <c r="L595" i="1"/>
  <c r="K595" i="1"/>
  <c r="F595" i="1"/>
  <c r="AN594" i="1"/>
  <c r="AM594" i="1"/>
  <c r="AL594" i="1"/>
  <c r="AJ594" i="1"/>
  <c r="AI594" i="1"/>
  <c r="AH594" i="1"/>
  <c r="AG594" i="1"/>
  <c r="AF594" i="1"/>
  <c r="AE594" i="1"/>
  <c r="Z594" i="1"/>
  <c r="W594" i="1"/>
  <c r="V594" i="1"/>
  <c r="U594" i="1"/>
  <c r="R594" i="1"/>
  <c r="N594" i="1"/>
  <c r="M594" i="1"/>
  <c r="L594" i="1"/>
  <c r="K594" i="1"/>
  <c r="F594" i="1"/>
  <c r="AN593" i="1"/>
  <c r="AL593" i="1"/>
  <c r="AM593" i="1" s="1"/>
  <c r="AJ593" i="1"/>
  <c r="AI593" i="1"/>
  <c r="AH593" i="1"/>
  <c r="AG593" i="1"/>
  <c r="AF593" i="1"/>
  <c r="AE593" i="1"/>
  <c r="Z593" i="1"/>
  <c r="W593" i="1"/>
  <c r="V593" i="1"/>
  <c r="U593" i="1"/>
  <c r="R593" i="1"/>
  <c r="N593" i="1"/>
  <c r="M593" i="1"/>
  <c r="L593" i="1"/>
  <c r="K593" i="1"/>
  <c r="F593" i="1"/>
  <c r="AN592" i="1"/>
  <c r="AL592" i="1"/>
  <c r="AJ592" i="1"/>
  <c r="AI592" i="1"/>
  <c r="AH592" i="1"/>
  <c r="AG592" i="1"/>
  <c r="AF592" i="1"/>
  <c r="AE592" i="1"/>
  <c r="Z592" i="1"/>
  <c r="W592" i="1"/>
  <c r="U592" i="1"/>
  <c r="R592" i="1"/>
  <c r="N592" i="1"/>
  <c r="M592" i="1"/>
  <c r="L592" i="1"/>
  <c r="K592" i="1"/>
  <c r="F592" i="1"/>
  <c r="V592" i="1" s="1"/>
  <c r="AN591" i="1"/>
  <c r="AL591" i="1"/>
  <c r="AM591" i="1" s="1"/>
  <c r="AJ591" i="1"/>
  <c r="AI591" i="1"/>
  <c r="AH591" i="1"/>
  <c r="AG591" i="1"/>
  <c r="AF591" i="1"/>
  <c r="AE591" i="1"/>
  <c r="Z591" i="1"/>
  <c r="W591" i="1"/>
  <c r="U591" i="1"/>
  <c r="V591" i="1" s="1"/>
  <c r="R591" i="1"/>
  <c r="N591" i="1"/>
  <c r="M591" i="1"/>
  <c r="L591" i="1"/>
  <c r="K591" i="1"/>
  <c r="F591" i="1"/>
  <c r="AN590" i="1"/>
  <c r="AL590" i="1"/>
  <c r="AM590" i="1" s="1"/>
  <c r="AJ590" i="1"/>
  <c r="AI590" i="1"/>
  <c r="AH590" i="1"/>
  <c r="AG590" i="1"/>
  <c r="AF590" i="1"/>
  <c r="AE590" i="1"/>
  <c r="Z590" i="1"/>
  <c r="W590" i="1"/>
  <c r="U590" i="1"/>
  <c r="V590" i="1" s="1"/>
  <c r="R590" i="1"/>
  <c r="N590" i="1"/>
  <c r="M590" i="1"/>
  <c r="L590" i="1"/>
  <c r="K590" i="1"/>
  <c r="F590" i="1"/>
  <c r="AN589" i="1"/>
  <c r="AM589" i="1"/>
  <c r="AL589" i="1"/>
  <c r="AJ589" i="1"/>
  <c r="AI589" i="1"/>
  <c r="AH589" i="1"/>
  <c r="AG589" i="1"/>
  <c r="AF589" i="1"/>
  <c r="AE589" i="1"/>
  <c r="Z589" i="1"/>
  <c r="W589" i="1"/>
  <c r="U589" i="1"/>
  <c r="V589" i="1" s="1"/>
  <c r="R589" i="1"/>
  <c r="N589" i="1"/>
  <c r="M589" i="1"/>
  <c r="L589" i="1"/>
  <c r="K589" i="1"/>
  <c r="F589" i="1"/>
  <c r="AN588" i="1"/>
  <c r="AM588" i="1"/>
  <c r="AL588" i="1"/>
  <c r="AJ588" i="1"/>
  <c r="AI588" i="1"/>
  <c r="AH588" i="1"/>
  <c r="AG588" i="1"/>
  <c r="AF588" i="1"/>
  <c r="AE588" i="1"/>
  <c r="Z588" i="1"/>
  <c r="W588" i="1"/>
  <c r="U588" i="1"/>
  <c r="V588" i="1" s="1"/>
  <c r="R588" i="1"/>
  <c r="N588" i="1"/>
  <c r="M588" i="1"/>
  <c r="L588" i="1"/>
  <c r="K588" i="1"/>
  <c r="F588" i="1"/>
  <c r="AN587" i="1"/>
  <c r="AM587" i="1"/>
  <c r="AL587" i="1"/>
  <c r="AJ587" i="1"/>
  <c r="AI587" i="1"/>
  <c r="AH587" i="1"/>
  <c r="AG587" i="1"/>
  <c r="AF587" i="1"/>
  <c r="AE587" i="1"/>
  <c r="Z587" i="1"/>
  <c r="W587" i="1"/>
  <c r="V587" i="1"/>
  <c r="U587" i="1"/>
  <c r="R587" i="1"/>
  <c r="N587" i="1"/>
  <c r="M587" i="1"/>
  <c r="L587" i="1"/>
  <c r="K587" i="1"/>
  <c r="F587" i="1"/>
  <c r="AN586" i="1"/>
  <c r="AM586" i="1"/>
  <c r="AL586" i="1"/>
  <c r="AJ586" i="1"/>
  <c r="AI586" i="1"/>
  <c r="AH586" i="1"/>
  <c r="AG586" i="1"/>
  <c r="AF586" i="1"/>
  <c r="AE586" i="1"/>
  <c r="Z586" i="1"/>
  <c r="W586" i="1"/>
  <c r="V586" i="1"/>
  <c r="U586" i="1"/>
  <c r="R586" i="1"/>
  <c r="N586" i="1"/>
  <c r="M586" i="1"/>
  <c r="L586" i="1"/>
  <c r="K586" i="1"/>
  <c r="F586" i="1"/>
  <c r="AN585" i="1"/>
  <c r="AL585" i="1"/>
  <c r="AM585" i="1" s="1"/>
  <c r="AJ585" i="1"/>
  <c r="AI585" i="1"/>
  <c r="AH585" i="1"/>
  <c r="AG585" i="1"/>
  <c r="AF585" i="1"/>
  <c r="AE585" i="1"/>
  <c r="Z585" i="1"/>
  <c r="W585" i="1"/>
  <c r="V585" i="1"/>
  <c r="U585" i="1"/>
  <c r="R585" i="1"/>
  <c r="N585" i="1"/>
  <c r="M585" i="1"/>
  <c r="L585" i="1"/>
  <c r="K585" i="1"/>
  <c r="F585" i="1"/>
  <c r="AN584" i="1"/>
  <c r="AL584" i="1"/>
  <c r="AM584" i="1" s="1"/>
  <c r="AJ584" i="1"/>
  <c r="AI584" i="1"/>
  <c r="AH584" i="1"/>
  <c r="AG584" i="1"/>
  <c r="AF584" i="1"/>
  <c r="AE584" i="1"/>
  <c r="Z584" i="1"/>
  <c r="W584" i="1"/>
  <c r="U584" i="1"/>
  <c r="R584" i="1"/>
  <c r="N584" i="1"/>
  <c r="M584" i="1"/>
  <c r="L584" i="1"/>
  <c r="K584" i="1"/>
  <c r="F584" i="1"/>
  <c r="V584" i="1" s="1"/>
  <c r="AN583" i="1"/>
  <c r="AL583" i="1"/>
  <c r="AM583" i="1" s="1"/>
  <c r="AJ583" i="1"/>
  <c r="AI583" i="1"/>
  <c r="AH583" i="1"/>
  <c r="AG583" i="1"/>
  <c r="AF583" i="1"/>
  <c r="AE583" i="1"/>
  <c r="Z583" i="1"/>
  <c r="W583" i="1"/>
  <c r="U583" i="1"/>
  <c r="V583" i="1" s="1"/>
  <c r="R583" i="1"/>
  <c r="N583" i="1"/>
  <c r="M583" i="1"/>
  <c r="L583" i="1"/>
  <c r="K583" i="1"/>
  <c r="F583" i="1"/>
  <c r="AN582" i="1"/>
  <c r="AL582" i="1"/>
  <c r="AM582" i="1" s="1"/>
  <c r="AJ582" i="1"/>
  <c r="AI582" i="1"/>
  <c r="AH582" i="1"/>
  <c r="AG582" i="1"/>
  <c r="AF582" i="1"/>
  <c r="AE582" i="1"/>
  <c r="Z582" i="1"/>
  <c r="W582" i="1"/>
  <c r="U582" i="1"/>
  <c r="V582" i="1" s="1"/>
  <c r="R582" i="1"/>
  <c r="N582" i="1"/>
  <c r="M582" i="1"/>
  <c r="L582" i="1"/>
  <c r="K582" i="1"/>
  <c r="F582" i="1"/>
  <c r="AN581" i="1"/>
  <c r="AM581" i="1"/>
  <c r="AL581" i="1"/>
  <c r="AJ581" i="1"/>
  <c r="AI581" i="1"/>
  <c r="AH581" i="1"/>
  <c r="AG581" i="1"/>
  <c r="AF581" i="1"/>
  <c r="AE581" i="1"/>
  <c r="Z581" i="1"/>
  <c r="W581" i="1"/>
  <c r="U581" i="1"/>
  <c r="V581" i="1" s="1"/>
  <c r="R581" i="1"/>
  <c r="N581" i="1"/>
  <c r="M581" i="1"/>
  <c r="L581" i="1"/>
  <c r="K581" i="1"/>
  <c r="F581" i="1"/>
  <c r="AN580" i="1"/>
  <c r="AM580" i="1"/>
  <c r="AL580" i="1"/>
  <c r="AJ580" i="1"/>
  <c r="AI580" i="1"/>
  <c r="AH580" i="1"/>
  <c r="AG580" i="1"/>
  <c r="AF580" i="1"/>
  <c r="AE580" i="1"/>
  <c r="Z580" i="1"/>
  <c r="W580" i="1"/>
  <c r="U580" i="1"/>
  <c r="V580" i="1" s="1"/>
  <c r="R580" i="1"/>
  <c r="N580" i="1"/>
  <c r="M580" i="1"/>
  <c r="L580" i="1"/>
  <c r="K580" i="1"/>
  <c r="F580" i="1"/>
  <c r="AN579" i="1"/>
  <c r="AM579" i="1"/>
  <c r="AL579" i="1"/>
  <c r="AJ579" i="1"/>
  <c r="AI579" i="1"/>
  <c r="AH579" i="1"/>
  <c r="AG579" i="1"/>
  <c r="AF579" i="1"/>
  <c r="AE579" i="1"/>
  <c r="Z579" i="1"/>
  <c r="W579" i="1"/>
  <c r="V579" i="1"/>
  <c r="U579" i="1"/>
  <c r="R579" i="1"/>
  <c r="N579" i="1"/>
  <c r="M579" i="1"/>
  <c r="L579" i="1"/>
  <c r="K579" i="1"/>
  <c r="F579" i="1"/>
  <c r="AN578" i="1"/>
  <c r="AM578" i="1"/>
  <c r="AL578" i="1"/>
  <c r="AJ578" i="1"/>
  <c r="AI578" i="1"/>
  <c r="AH578" i="1"/>
  <c r="AG578" i="1"/>
  <c r="AF578" i="1"/>
  <c r="AE578" i="1"/>
  <c r="Z578" i="1"/>
  <c r="W578" i="1"/>
  <c r="V578" i="1"/>
  <c r="U578" i="1"/>
  <c r="R578" i="1"/>
  <c r="N578" i="1"/>
  <c r="M578" i="1"/>
  <c r="L578" i="1"/>
  <c r="K578" i="1"/>
  <c r="F578" i="1"/>
  <c r="AN577" i="1"/>
  <c r="AL577" i="1"/>
  <c r="AM577" i="1" s="1"/>
  <c r="AJ577" i="1"/>
  <c r="AI577" i="1"/>
  <c r="AH577" i="1"/>
  <c r="AG577" i="1"/>
  <c r="AF577" i="1"/>
  <c r="AE577" i="1"/>
  <c r="Z577" i="1"/>
  <c r="W577" i="1"/>
  <c r="V577" i="1"/>
  <c r="U577" i="1"/>
  <c r="R577" i="1"/>
  <c r="N577" i="1"/>
  <c r="M577" i="1"/>
  <c r="L577" i="1"/>
  <c r="K577" i="1"/>
  <c r="F577" i="1"/>
  <c r="AN576" i="1"/>
  <c r="AL576" i="1"/>
  <c r="AJ576" i="1"/>
  <c r="AI576" i="1"/>
  <c r="AH576" i="1"/>
  <c r="AG576" i="1"/>
  <c r="AF576" i="1"/>
  <c r="AE576" i="1"/>
  <c r="Z576" i="1"/>
  <c r="W576" i="1"/>
  <c r="U576" i="1"/>
  <c r="R576" i="1"/>
  <c r="N576" i="1"/>
  <c r="M576" i="1"/>
  <c r="L576" i="1"/>
  <c r="K576" i="1"/>
  <c r="F576" i="1"/>
  <c r="V576" i="1" s="1"/>
  <c r="AN575" i="1"/>
  <c r="AL575" i="1"/>
  <c r="AM575" i="1" s="1"/>
  <c r="AJ575" i="1"/>
  <c r="AI575" i="1"/>
  <c r="AH575" i="1"/>
  <c r="AG575" i="1"/>
  <c r="AF575" i="1"/>
  <c r="AE575" i="1"/>
  <c r="Z575" i="1"/>
  <c r="W575" i="1"/>
  <c r="U575" i="1"/>
  <c r="V575" i="1" s="1"/>
  <c r="R575" i="1"/>
  <c r="N575" i="1"/>
  <c r="M575" i="1"/>
  <c r="L575" i="1"/>
  <c r="K575" i="1"/>
  <c r="F575" i="1"/>
  <c r="AN574" i="1"/>
  <c r="AL574" i="1"/>
  <c r="AM574" i="1" s="1"/>
  <c r="AJ574" i="1"/>
  <c r="AI574" i="1"/>
  <c r="AH574" i="1"/>
  <c r="AG574" i="1"/>
  <c r="AF574" i="1"/>
  <c r="AE574" i="1"/>
  <c r="Z574" i="1"/>
  <c r="W574" i="1"/>
  <c r="U574" i="1"/>
  <c r="V574" i="1" s="1"/>
  <c r="R574" i="1"/>
  <c r="N574" i="1"/>
  <c r="M574" i="1"/>
  <c r="L574" i="1"/>
  <c r="K574" i="1"/>
  <c r="F574" i="1"/>
  <c r="AN573" i="1"/>
  <c r="AM573" i="1"/>
  <c r="AL573" i="1"/>
  <c r="AJ573" i="1"/>
  <c r="AI573" i="1"/>
  <c r="AH573" i="1"/>
  <c r="AG573" i="1"/>
  <c r="AF573" i="1"/>
  <c r="AE573" i="1"/>
  <c r="Z573" i="1"/>
  <c r="W573" i="1"/>
  <c r="U573" i="1"/>
  <c r="V573" i="1" s="1"/>
  <c r="R573" i="1"/>
  <c r="N573" i="1"/>
  <c r="M573" i="1"/>
  <c r="L573" i="1"/>
  <c r="K573" i="1"/>
  <c r="F573" i="1"/>
  <c r="AN572" i="1"/>
  <c r="AM572" i="1"/>
  <c r="AL572" i="1"/>
  <c r="AJ572" i="1"/>
  <c r="AI572" i="1"/>
  <c r="AH572" i="1"/>
  <c r="AG572" i="1"/>
  <c r="AF572" i="1"/>
  <c r="AE572" i="1"/>
  <c r="Z572" i="1"/>
  <c r="W572" i="1"/>
  <c r="U572" i="1"/>
  <c r="V572" i="1" s="1"/>
  <c r="R572" i="1"/>
  <c r="N572" i="1"/>
  <c r="M572" i="1"/>
  <c r="L572" i="1"/>
  <c r="K572" i="1"/>
  <c r="F572" i="1"/>
  <c r="AN571" i="1"/>
  <c r="AM571" i="1"/>
  <c r="AL571" i="1"/>
  <c r="AJ571" i="1"/>
  <c r="AI571" i="1"/>
  <c r="AH571" i="1"/>
  <c r="AG571" i="1"/>
  <c r="AF571" i="1"/>
  <c r="AE571" i="1"/>
  <c r="Z571" i="1"/>
  <c r="W571" i="1"/>
  <c r="V571" i="1"/>
  <c r="U571" i="1"/>
  <c r="R571" i="1"/>
  <c r="N571" i="1"/>
  <c r="M571" i="1"/>
  <c r="L571" i="1"/>
  <c r="K571" i="1"/>
  <c r="F571" i="1"/>
  <c r="AN570" i="1"/>
  <c r="AM570" i="1"/>
  <c r="AL570" i="1"/>
  <c r="AJ570" i="1"/>
  <c r="AI570" i="1"/>
  <c r="AH570" i="1"/>
  <c r="AG570" i="1"/>
  <c r="AF570" i="1"/>
  <c r="AE570" i="1"/>
  <c r="Z570" i="1"/>
  <c r="W570" i="1"/>
  <c r="V570" i="1"/>
  <c r="U570" i="1"/>
  <c r="R570" i="1"/>
  <c r="N570" i="1"/>
  <c r="M570" i="1"/>
  <c r="L570" i="1"/>
  <c r="K570" i="1"/>
  <c r="F570" i="1"/>
  <c r="AN569" i="1"/>
  <c r="AL569" i="1"/>
  <c r="AM569" i="1" s="1"/>
  <c r="AJ569" i="1"/>
  <c r="AI569" i="1"/>
  <c r="AH569" i="1"/>
  <c r="AG569" i="1"/>
  <c r="AF569" i="1"/>
  <c r="AE569" i="1"/>
  <c r="Z569" i="1"/>
  <c r="W569" i="1"/>
  <c r="V569" i="1"/>
  <c r="U569" i="1"/>
  <c r="R569" i="1"/>
  <c r="N569" i="1"/>
  <c r="M569" i="1"/>
  <c r="L569" i="1"/>
  <c r="K569" i="1"/>
  <c r="F569" i="1"/>
  <c r="AN568" i="1"/>
  <c r="AL568" i="1"/>
  <c r="AJ568" i="1"/>
  <c r="AI568" i="1"/>
  <c r="AH568" i="1"/>
  <c r="AG568" i="1"/>
  <c r="AF568" i="1"/>
  <c r="AE568" i="1"/>
  <c r="Z568" i="1"/>
  <c r="W568" i="1"/>
  <c r="U568" i="1"/>
  <c r="R568" i="1"/>
  <c r="N568" i="1"/>
  <c r="M568" i="1"/>
  <c r="L568" i="1"/>
  <c r="K568" i="1"/>
  <c r="F568" i="1"/>
  <c r="V568" i="1" s="1"/>
  <c r="AN567" i="1"/>
  <c r="AL567" i="1"/>
  <c r="AM567" i="1" s="1"/>
  <c r="AJ567" i="1"/>
  <c r="AI567" i="1"/>
  <c r="AH567" i="1"/>
  <c r="AG567" i="1"/>
  <c r="AF567" i="1"/>
  <c r="AE567" i="1"/>
  <c r="Z567" i="1"/>
  <c r="W567" i="1"/>
  <c r="U567" i="1"/>
  <c r="V567" i="1" s="1"/>
  <c r="R567" i="1"/>
  <c r="N567" i="1"/>
  <c r="M567" i="1"/>
  <c r="L567" i="1"/>
  <c r="K567" i="1"/>
  <c r="F567" i="1"/>
  <c r="AN566" i="1"/>
  <c r="AL566" i="1"/>
  <c r="AM566" i="1" s="1"/>
  <c r="AJ566" i="1"/>
  <c r="AI566" i="1"/>
  <c r="AH566" i="1"/>
  <c r="AG566" i="1"/>
  <c r="AF566" i="1"/>
  <c r="AE566" i="1"/>
  <c r="Z566" i="1"/>
  <c r="W566" i="1"/>
  <c r="U566" i="1"/>
  <c r="V566" i="1" s="1"/>
  <c r="R566" i="1"/>
  <c r="N566" i="1"/>
  <c r="M566" i="1"/>
  <c r="L566" i="1"/>
  <c r="K566" i="1"/>
  <c r="F566" i="1"/>
  <c r="AN565" i="1"/>
  <c r="AM565" i="1"/>
  <c r="AL565" i="1"/>
  <c r="AJ565" i="1"/>
  <c r="AI565" i="1"/>
  <c r="AH565" i="1"/>
  <c r="AG565" i="1"/>
  <c r="AF565" i="1"/>
  <c r="AE565" i="1"/>
  <c r="Z565" i="1"/>
  <c r="W565" i="1"/>
  <c r="U565" i="1"/>
  <c r="V565" i="1" s="1"/>
  <c r="R565" i="1"/>
  <c r="N565" i="1"/>
  <c r="M565" i="1"/>
  <c r="L565" i="1"/>
  <c r="K565" i="1"/>
  <c r="F565" i="1"/>
  <c r="AN564" i="1"/>
  <c r="AM564" i="1"/>
  <c r="AL564" i="1"/>
  <c r="AJ564" i="1"/>
  <c r="AI564" i="1"/>
  <c r="AH564" i="1"/>
  <c r="AG564" i="1"/>
  <c r="AF564" i="1"/>
  <c r="AE564" i="1"/>
  <c r="Z564" i="1"/>
  <c r="W564" i="1"/>
  <c r="U564" i="1"/>
  <c r="V564" i="1" s="1"/>
  <c r="R564" i="1"/>
  <c r="N564" i="1"/>
  <c r="M564" i="1"/>
  <c r="L564" i="1"/>
  <c r="K564" i="1"/>
  <c r="F564" i="1"/>
  <c r="AN563" i="1"/>
  <c r="AM563" i="1"/>
  <c r="AL563" i="1"/>
  <c r="AJ563" i="1"/>
  <c r="AI563" i="1"/>
  <c r="AH563" i="1"/>
  <c r="AG563" i="1"/>
  <c r="AF563" i="1"/>
  <c r="AE563" i="1"/>
  <c r="Z563" i="1"/>
  <c r="W563" i="1"/>
  <c r="V563" i="1"/>
  <c r="U563" i="1"/>
  <c r="R563" i="1"/>
  <c r="N563" i="1"/>
  <c r="M563" i="1"/>
  <c r="L563" i="1"/>
  <c r="K563" i="1"/>
  <c r="F563" i="1"/>
  <c r="AN562" i="1"/>
  <c r="AM562" i="1"/>
  <c r="AL562" i="1"/>
  <c r="AJ562" i="1"/>
  <c r="AI562" i="1"/>
  <c r="AH562" i="1"/>
  <c r="AG562" i="1"/>
  <c r="AF562" i="1"/>
  <c r="AE562" i="1"/>
  <c r="Z562" i="1"/>
  <c r="W562" i="1"/>
  <c r="V562" i="1"/>
  <c r="U562" i="1"/>
  <c r="R562" i="1"/>
  <c r="N562" i="1"/>
  <c r="M562" i="1"/>
  <c r="L562" i="1"/>
  <c r="K562" i="1"/>
  <c r="F562" i="1"/>
  <c r="AN561" i="1"/>
  <c r="AL561" i="1"/>
  <c r="AM561" i="1" s="1"/>
  <c r="AJ561" i="1"/>
  <c r="AI561" i="1"/>
  <c r="AH561" i="1"/>
  <c r="AG561" i="1"/>
  <c r="AF561" i="1"/>
  <c r="AE561" i="1"/>
  <c r="Z561" i="1"/>
  <c r="W561" i="1"/>
  <c r="V561" i="1"/>
  <c r="U561" i="1"/>
  <c r="R561" i="1"/>
  <c r="N561" i="1"/>
  <c r="M561" i="1"/>
  <c r="L561" i="1"/>
  <c r="K561" i="1"/>
  <c r="F561" i="1"/>
  <c r="AN560" i="1"/>
  <c r="AL560" i="1"/>
  <c r="AJ560" i="1"/>
  <c r="AI560" i="1"/>
  <c r="AH560" i="1"/>
  <c r="AG560" i="1"/>
  <c r="AF560" i="1"/>
  <c r="AE560" i="1"/>
  <c r="Z560" i="1"/>
  <c r="W560" i="1"/>
  <c r="U560" i="1"/>
  <c r="R560" i="1"/>
  <c r="N560" i="1"/>
  <c r="M560" i="1"/>
  <c r="L560" i="1"/>
  <c r="K560" i="1"/>
  <c r="F560" i="1"/>
  <c r="V560" i="1" s="1"/>
  <c r="AN559" i="1"/>
  <c r="AL559" i="1"/>
  <c r="AM559" i="1" s="1"/>
  <c r="AJ559" i="1"/>
  <c r="AI559" i="1"/>
  <c r="AH559" i="1"/>
  <c r="AG559" i="1"/>
  <c r="AF559" i="1"/>
  <c r="AE559" i="1"/>
  <c r="Z559" i="1"/>
  <c r="W559" i="1"/>
  <c r="U559" i="1"/>
  <c r="V559" i="1" s="1"/>
  <c r="R559" i="1"/>
  <c r="N559" i="1"/>
  <c r="M559" i="1"/>
  <c r="L559" i="1"/>
  <c r="K559" i="1"/>
  <c r="F559" i="1"/>
  <c r="AN558" i="1"/>
  <c r="AL558" i="1"/>
  <c r="AM558" i="1" s="1"/>
  <c r="AJ558" i="1"/>
  <c r="AI558" i="1"/>
  <c r="AH558" i="1"/>
  <c r="AG558" i="1"/>
  <c r="AF558" i="1"/>
  <c r="AE558" i="1"/>
  <c r="Z558" i="1"/>
  <c r="W558" i="1"/>
  <c r="U558" i="1"/>
  <c r="V558" i="1" s="1"/>
  <c r="R558" i="1"/>
  <c r="N558" i="1"/>
  <c r="M558" i="1"/>
  <c r="L558" i="1"/>
  <c r="K558" i="1"/>
  <c r="F558" i="1"/>
  <c r="AN557" i="1"/>
  <c r="AM557" i="1"/>
  <c r="AL557" i="1"/>
  <c r="AJ557" i="1"/>
  <c r="AI557" i="1"/>
  <c r="AH557" i="1"/>
  <c r="AG557" i="1"/>
  <c r="AF557" i="1"/>
  <c r="AE557" i="1"/>
  <c r="Z557" i="1"/>
  <c r="W557" i="1"/>
  <c r="U557" i="1"/>
  <c r="V557" i="1" s="1"/>
  <c r="R557" i="1"/>
  <c r="N557" i="1"/>
  <c r="M557" i="1"/>
  <c r="L557" i="1"/>
  <c r="K557" i="1"/>
  <c r="F557" i="1"/>
  <c r="AN556" i="1"/>
  <c r="AM556" i="1"/>
  <c r="AL556" i="1"/>
  <c r="AJ556" i="1"/>
  <c r="AI556" i="1"/>
  <c r="AH556" i="1"/>
  <c r="AG556" i="1"/>
  <c r="AF556" i="1"/>
  <c r="AE556" i="1"/>
  <c r="Z556" i="1"/>
  <c r="W556" i="1"/>
  <c r="U556" i="1"/>
  <c r="V556" i="1" s="1"/>
  <c r="R556" i="1"/>
  <c r="N556" i="1"/>
  <c r="M556" i="1"/>
  <c r="L556" i="1"/>
  <c r="K556" i="1"/>
  <c r="F556" i="1"/>
  <c r="AN555" i="1"/>
  <c r="AM555" i="1"/>
  <c r="AL555" i="1"/>
  <c r="AJ555" i="1"/>
  <c r="AI555" i="1"/>
  <c r="AH555" i="1"/>
  <c r="AG555" i="1"/>
  <c r="AF555" i="1"/>
  <c r="AE555" i="1"/>
  <c r="Z555" i="1"/>
  <c r="W555" i="1"/>
  <c r="V555" i="1"/>
  <c r="U555" i="1"/>
  <c r="R555" i="1"/>
  <c r="N555" i="1"/>
  <c r="M555" i="1"/>
  <c r="L555" i="1"/>
  <c r="K555" i="1"/>
  <c r="F555" i="1"/>
  <c r="AN554" i="1"/>
  <c r="AM554" i="1"/>
  <c r="AL554" i="1"/>
  <c r="AJ554" i="1"/>
  <c r="AI554" i="1"/>
  <c r="AH554" i="1"/>
  <c r="AG554" i="1"/>
  <c r="AF554" i="1"/>
  <c r="AE554" i="1"/>
  <c r="Z554" i="1"/>
  <c r="W554" i="1"/>
  <c r="V554" i="1"/>
  <c r="U554" i="1"/>
  <c r="R554" i="1"/>
  <c r="N554" i="1"/>
  <c r="M554" i="1"/>
  <c r="L554" i="1"/>
  <c r="K554" i="1"/>
  <c r="F554" i="1"/>
  <c r="AN553" i="1"/>
  <c r="AL553" i="1"/>
  <c r="AM553" i="1" s="1"/>
  <c r="AJ553" i="1"/>
  <c r="AI553" i="1"/>
  <c r="AH553" i="1"/>
  <c r="AG553" i="1"/>
  <c r="AF553" i="1"/>
  <c r="AE553" i="1"/>
  <c r="Z553" i="1"/>
  <c r="W553" i="1"/>
  <c r="V553" i="1"/>
  <c r="U553" i="1"/>
  <c r="R553" i="1"/>
  <c r="N553" i="1"/>
  <c r="M553" i="1"/>
  <c r="L553" i="1"/>
  <c r="K553" i="1"/>
  <c r="F553" i="1"/>
  <c r="AN552" i="1"/>
  <c r="AL552" i="1"/>
  <c r="AJ552" i="1"/>
  <c r="AI552" i="1"/>
  <c r="AH552" i="1"/>
  <c r="AG552" i="1"/>
  <c r="AF552" i="1"/>
  <c r="AE552" i="1"/>
  <c r="Z552" i="1"/>
  <c r="W552" i="1"/>
  <c r="U552" i="1"/>
  <c r="R552" i="1"/>
  <c r="N552" i="1"/>
  <c r="M552" i="1"/>
  <c r="L552" i="1"/>
  <c r="K552" i="1"/>
  <c r="F552" i="1"/>
  <c r="V552" i="1" s="1"/>
  <c r="AN551" i="1"/>
  <c r="AL551" i="1"/>
  <c r="AM551" i="1" s="1"/>
  <c r="AJ551" i="1"/>
  <c r="AI551" i="1"/>
  <c r="AH551" i="1"/>
  <c r="AG551" i="1"/>
  <c r="AF551" i="1"/>
  <c r="AE551" i="1"/>
  <c r="Z551" i="1"/>
  <c r="W551" i="1"/>
  <c r="U551" i="1"/>
  <c r="V551" i="1" s="1"/>
  <c r="R551" i="1"/>
  <c r="N551" i="1"/>
  <c r="M551" i="1"/>
  <c r="L551" i="1"/>
  <c r="K551" i="1"/>
  <c r="F551" i="1"/>
  <c r="AN550" i="1"/>
  <c r="AL550" i="1"/>
  <c r="AM550" i="1" s="1"/>
  <c r="AJ550" i="1"/>
  <c r="AI550" i="1"/>
  <c r="AH550" i="1"/>
  <c r="AG550" i="1"/>
  <c r="AF550" i="1"/>
  <c r="AE550" i="1"/>
  <c r="Z550" i="1"/>
  <c r="W550" i="1"/>
  <c r="U550" i="1"/>
  <c r="V550" i="1" s="1"/>
  <c r="R550" i="1"/>
  <c r="N550" i="1"/>
  <c r="M550" i="1"/>
  <c r="L550" i="1"/>
  <c r="K550" i="1"/>
  <c r="F550" i="1"/>
  <c r="AN549" i="1"/>
  <c r="AM549" i="1"/>
  <c r="AL549" i="1"/>
  <c r="AJ549" i="1"/>
  <c r="AI549" i="1"/>
  <c r="AH549" i="1"/>
  <c r="AG549" i="1"/>
  <c r="AF549" i="1"/>
  <c r="AE549" i="1"/>
  <c r="Z549" i="1"/>
  <c r="W549" i="1"/>
  <c r="U549" i="1"/>
  <c r="V549" i="1" s="1"/>
  <c r="R549" i="1"/>
  <c r="N549" i="1"/>
  <c r="M549" i="1"/>
  <c r="L549" i="1"/>
  <c r="K549" i="1"/>
  <c r="F549" i="1"/>
  <c r="AN548" i="1"/>
  <c r="AM548" i="1"/>
  <c r="AL548" i="1"/>
  <c r="AJ548" i="1"/>
  <c r="AI548" i="1"/>
  <c r="AH548" i="1"/>
  <c r="AG548" i="1"/>
  <c r="AF548" i="1"/>
  <c r="AE548" i="1"/>
  <c r="Z548" i="1"/>
  <c r="W548" i="1"/>
  <c r="U548" i="1"/>
  <c r="V548" i="1" s="1"/>
  <c r="R548" i="1"/>
  <c r="N548" i="1"/>
  <c r="M548" i="1"/>
  <c r="L548" i="1"/>
  <c r="K548" i="1"/>
  <c r="F548" i="1"/>
  <c r="AN547" i="1"/>
  <c r="AM547" i="1"/>
  <c r="AL547" i="1"/>
  <c r="AJ547" i="1"/>
  <c r="AI547" i="1"/>
  <c r="AH547" i="1"/>
  <c r="AG547" i="1"/>
  <c r="AF547" i="1"/>
  <c r="AE547" i="1"/>
  <c r="Z547" i="1"/>
  <c r="W547" i="1"/>
  <c r="V547" i="1"/>
  <c r="U547" i="1"/>
  <c r="R547" i="1"/>
  <c r="N547" i="1"/>
  <c r="M547" i="1"/>
  <c r="L547" i="1"/>
  <c r="K547" i="1"/>
  <c r="F547" i="1"/>
  <c r="AN546" i="1"/>
  <c r="AM546" i="1"/>
  <c r="AL546" i="1"/>
  <c r="AJ546" i="1"/>
  <c r="AI546" i="1"/>
  <c r="AH546" i="1"/>
  <c r="AG546" i="1"/>
  <c r="AF546" i="1"/>
  <c r="AE546" i="1"/>
  <c r="Z546" i="1"/>
  <c r="W546" i="1"/>
  <c r="V546" i="1"/>
  <c r="U546" i="1"/>
  <c r="R546" i="1"/>
  <c r="N546" i="1"/>
  <c r="M546" i="1"/>
  <c r="L546" i="1"/>
  <c r="K546" i="1"/>
  <c r="F546" i="1"/>
  <c r="AN545" i="1"/>
  <c r="AL545" i="1"/>
  <c r="AM545" i="1" s="1"/>
  <c r="AJ545" i="1"/>
  <c r="AI545" i="1"/>
  <c r="AH545" i="1"/>
  <c r="AG545" i="1"/>
  <c r="AF545" i="1"/>
  <c r="AE545" i="1"/>
  <c r="Z545" i="1"/>
  <c r="W545" i="1"/>
  <c r="V545" i="1"/>
  <c r="U545" i="1"/>
  <c r="R545" i="1"/>
  <c r="N545" i="1"/>
  <c r="M545" i="1"/>
  <c r="L545" i="1"/>
  <c r="K545" i="1"/>
  <c r="F545" i="1"/>
  <c r="AN544" i="1"/>
  <c r="AL544" i="1"/>
  <c r="AJ544" i="1"/>
  <c r="AI544" i="1"/>
  <c r="AH544" i="1"/>
  <c r="AG544" i="1"/>
  <c r="AF544" i="1"/>
  <c r="AE544" i="1"/>
  <c r="Z544" i="1"/>
  <c r="W544" i="1"/>
  <c r="U544" i="1"/>
  <c r="R544" i="1"/>
  <c r="N544" i="1"/>
  <c r="M544" i="1"/>
  <c r="L544" i="1"/>
  <c r="K544" i="1"/>
  <c r="F544" i="1"/>
  <c r="V544" i="1" s="1"/>
  <c r="AN543" i="1"/>
  <c r="AL543" i="1"/>
  <c r="AM543" i="1" s="1"/>
  <c r="AJ543" i="1"/>
  <c r="AI543" i="1"/>
  <c r="AH543" i="1"/>
  <c r="AG543" i="1"/>
  <c r="AF543" i="1"/>
  <c r="AE543" i="1"/>
  <c r="Z543" i="1"/>
  <c r="W543" i="1"/>
  <c r="U543" i="1"/>
  <c r="V543" i="1" s="1"/>
  <c r="R543" i="1"/>
  <c r="N543" i="1"/>
  <c r="M543" i="1"/>
  <c r="L543" i="1"/>
  <c r="K543" i="1"/>
  <c r="F543" i="1"/>
  <c r="AN542" i="1"/>
  <c r="AL542" i="1"/>
  <c r="AM542" i="1" s="1"/>
  <c r="AJ542" i="1"/>
  <c r="AI542" i="1"/>
  <c r="AH542" i="1"/>
  <c r="AG542" i="1"/>
  <c r="AF542" i="1"/>
  <c r="AE542" i="1"/>
  <c r="Z542" i="1"/>
  <c r="W542" i="1"/>
  <c r="U542" i="1"/>
  <c r="V542" i="1" s="1"/>
  <c r="R542" i="1"/>
  <c r="N542" i="1"/>
  <c r="M542" i="1"/>
  <c r="L542" i="1"/>
  <c r="K542" i="1"/>
  <c r="F542" i="1"/>
  <c r="AN541" i="1"/>
  <c r="AM541" i="1"/>
  <c r="AL541" i="1"/>
  <c r="AJ541" i="1"/>
  <c r="AI541" i="1"/>
  <c r="AH541" i="1"/>
  <c r="AG541" i="1"/>
  <c r="AF541" i="1"/>
  <c r="AE541" i="1"/>
  <c r="Z541" i="1"/>
  <c r="W541" i="1"/>
  <c r="U541" i="1"/>
  <c r="V541" i="1" s="1"/>
  <c r="R541" i="1"/>
  <c r="N541" i="1"/>
  <c r="M541" i="1"/>
  <c r="L541" i="1"/>
  <c r="K541" i="1"/>
  <c r="F541" i="1"/>
  <c r="AN540" i="1"/>
  <c r="AM540" i="1"/>
  <c r="AL540" i="1"/>
  <c r="AJ540" i="1"/>
  <c r="AI540" i="1"/>
  <c r="AH540" i="1"/>
  <c r="AG540" i="1"/>
  <c r="AF540" i="1"/>
  <c r="AE540" i="1"/>
  <c r="Z540" i="1"/>
  <c r="W540" i="1"/>
  <c r="U540" i="1"/>
  <c r="V540" i="1" s="1"/>
  <c r="R540" i="1"/>
  <c r="N540" i="1"/>
  <c r="M540" i="1"/>
  <c r="L540" i="1"/>
  <c r="K540" i="1"/>
  <c r="F540" i="1"/>
  <c r="AN539" i="1"/>
  <c r="AM539" i="1"/>
  <c r="AL539" i="1"/>
  <c r="AJ539" i="1"/>
  <c r="AI539" i="1"/>
  <c r="AH539" i="1"/>
  <c r="AG539" i="1"/>
  <c r="AF539" i="1"/>
  <c r="AE539" i="1"/>
  <c r="Z539" i="1"/>
  <c r="W539" i="1"/>
  <c r="V539" i="1"/>
  <c r="U539" i="1"/>
  <c r="R539" i="1"/>
  <c r="N539" i="1"/>
  <c r="M539" i="1"/>
  <c r="L539" i="1"/>
  <c r="K539" i="1"/>
  <c r="F539" i="1"/>
  <c r="AN538" i="1"/>
  <c r="AM538" i="1"/>
  <c r="AL538" i="1"/>
  <c r="AJ538" i="1"/>
  <c r="AI538" i="1"/>
  <c r="AH538" i="1"/>
  <c r="AG538" i="1"/>
  <c r="AF538" i="1"/>
  <c r="AE538" i="1"/>
  <c r="Z538" i="1"/>
  <c r="W538" i="1"/>
  <c r="V538" i="1"/>
  <c r="U538" i="1"/>
  <c r="R538" i="1"/>
  <c r="N538" i="1"/>
  <c r="M538" i="1"/>
  <c r="L538" i="1"/>
  <c r="K538" i="1"/>
  <c r="F538" i="1"/>
  <c r="AN537" i="1"/>
  <c r="AL537" i="1"/>
  <c r="AM537" i="1" s="1"/>
  <c r="AJ537" i="1"/>
  <c r="AI537" i="1"/>
  <c r="AH537" i="1"/>
  <c r="AG537" i="1"/>
  <c r="AF537" i="1"/>
  <c r="AE537" i="1"/>
  <c r="Z537" i="1"/>
  <c r="W537" i="1"/>
  <c r="V537" i="1"/>
  <c r="U537" i="1"/>
  <c r="R537" i="1"/>
  <c r="N537" i="1"/>
  <c r="M537" i="1"/>
  <c r="L537" i="1"/>
  <c r="K537" i="1"/>
  <c r="F537" i="1"/>
  <c r="AN536" i="1"/>
  <c r="AL536" i="1"/>
  <c r="AM536" i="1" s="1"/>
  <c r="AJ536" i="1"/>
  <c r="AI536" i="1"/>
  <c r="AH536" i="1"/>
  <c r="AG536" i="1"/>
  <c r="AF536" i="1"/>
  <c r="AE536" i="1"/>
  <c r="Z536" i="1"/>
  <c r="W536" i="1"/>
  <c r="U536" i="1"/>
  <c r="R536" i="1"/>
  <c r="N536" i="1"/>
  <c r="M536" i="1"/>
  <c r="L536" i="1"/>
  <c r="K536" i="1"/>
  <c r="F536" i="1"/>
  <c r="V536" i="1" s="1"/>
  <c r="AN535" i="1"/>
  <c r="AL535" i="1"/>
  <c r="AM535" i="1" s="1"/>
  <c r="AJ535" i="1"/>
  <c r="AI535" i="1"/>
  <c r="AH535" i="1"/>
  <c r="AG535" i="1"/>
  <c r="AF535" i="1"/>
  <c r="AE535" i="1"/>
  <c r="Z535" i="1"/>
  <c r="W535" i="1"/>
  <c r="U535" i="1"/>
  <c r="V535" i="1" s="1"/>
  <c r="R535" i="1"/>
  <c r="N535" i="1"/>
  <c r="M535" i="1"/>
  <c r="L535" i="1"/>
  <c r="K535" i="1"/>
  <c r="F535" i="1"/>
  <c r="AN534" i="1"/>
  <c r="AL534" i="1"/>
  <c r="AM534" i="1" s="1"/>
  <c r="AJ534" i="1"/>
  <c r="AI534" i="1"/>
  <c r="AH534" i="1"/>
  <c r="AG534" i="1"/>
  <c r="AF534" i="1"/>
  <c r="AE534" i="1"/>
  <c r="Z534" i="1"/>
  <c r="W534" i="1"/>
  <c r="U534" i="1"/>
  <c r="V534" i="1" s="1"/>
  <c r="R534" i="1"/>
  <c r="N534" i="1"/>
  <c r="M534" i="1"/>
  <c r="L534" i="1"/>
  <c r="K534" i="1"/>
  <c r="F534" i="1"/>
  <c r="AN533" i="1"/>
  <c r="AM533" i="1"/>
  <c r="AL533" i="1"/>
  <c r="AJ533" i="1"/>
  <c r="AI533" i="1"/>
  <c r="AH533" i="1"/>
  <c r="AG533" i="1"/>
  <c r="AF533" i="1"/>
  <c r="AE533" i="1"/>
  <c r="Z533" i="1"/>
  <c r="W533" i="1"/>
  <c r="U533" i="1"/>
  <c r="V533" i="1" s="1"/>
  <c r="R533" i="1"/>
  <c r="N533" i="1"/>
  <c r="M533" i="1"/>
  <c r="L533" i="1"/>
  <c r="K533" i="1"/>
  <c r="F533" i="1"/>
  <c r="AN532" i="1"/>
  <c r="AM532" i="1"/>
  <c r="AL532" i="1"/>
  <c r="AJ532" i="1"/>
  <c r="AI532" i="1"/>
  <c r="AH532" i="1"/>
  <c r="AG532" i="1"/>
  <c r="AF532" i="1"/>
  <c r="AE532" i="1"/>
  <c r="Z532" i="1"/>
  <c r="W532" i="1"/>
  <c r="U532" i="1"/>
  <c r="V532" i="1" s="1"/>
  <c r="R532" i="1"/>
  <c r="N532" i="1"/>
  <c r="M532" i="1"/>
  <c r="L532" i="1"/>
  <c r="K532" i="1"/>
  <c r="F532" i="1"/>
  <c r="AN531" i="1"/>
  <c r="AM531" i="1"/>
  <c r="AL531" i="1"/>
  <c r="AJ531" i="1"/>
  <c r="AI531" i="1"/>
  <c r="AH531" i="1"/>
  <c r="AG531" i="1"/>
  <c r="AF531" i="1"/>
  <c r="AE531" i="1"/>
  <c r="Z531" i="1"/>
  <c r="W531" i="1"/>
  <c r="V531" i="1"/>
  <c r="U531" i="1"/>
  <c r="R531" i="1"/>
  <c r="N531" i="1"/>
  <c r="M531" i="1"/>
  <c r="L531" i="1"/>
  <c r="K531" i="1"/>
  <c r="F531" i="1"/>
  <c r="AN530" i="1"/>
  <c r="AM530" i="1"/>
  <c r="AL530" i="1"/>
  <c r="AJ530" i="1"/>
  <c r="AI530" i="1"/>
  <c r="AH530" i="1"/>
  <c r="AG530" i="1"/>
  <c r="AF530" i="1"/>
  <c r="AE530" i="1"/>
  <c r="Z530" i="1"/>
  <c r="W530" i="1"/>
  <c r="V530" i="1"/>
  <c r="U530" i="1"/>
  <c r="R530" i="1"/>
  <c r="N530" i="1"/>
  <c r="M530" i="1"/>
  <c r="L530" i="1"/>
  <c r="K530" i="1"/>
  <c r="F530" i="1"/>
  <c r="AN529" i="1"/>
  <c r="AL529" i="1"/>
  <c r="AM529" i="1" s="1"/>
  <c r="AJ529" i="1"/>
  <c r="AI529" i="1"/>
  <c r="AH529" i="1"/>
  <c r="AG529" i="1"/>
  <c r="AF529" i="1"/>
  <c r="AE529" i="1"/>
  <c r="Z529" i="1"/>
  <c r="X529" i="1"/>
  <c r="W529" i="1"/>
  <c r="U529" i="1"/>
  <c r="V529" i="1" s="1"/>
  <c r="R529" i="1"/>
  <c r="N529" i="1"/>
  <c r="M529" i="1"/>
  <c r="L529" i="1"/>
  <c r="K529" i="1"/>
  <c r="F529" i="1"/>
  <c r="AN528" i="1"/>
  <c r="AM528" i="1"/>
  <c r="AL528" i="1"/>
  <c r="AJ528" i="1"/>
  <c r="AI528" i="1"/>
  <c r="AH528" i="1"/>
  <c r="AG528" i="1"/>
  <c r="AF528" i="1"/>
  <c r="AE528" i="1"/>
  <c r="Z528" i="1"/>
  <c r="W528" i="1"/>
  <c r="U528" i="1"/>
  <c r="V528" i="1" s="1"/>
  <c r="R528" i="1"/>
  <c r="N528" i="1"/>
  <c r="M528" i="1"/>
  <c r="L528" i="1"/>
  <c r="K528" i="1"/>
  <c r="F528" i="1"/>
  <c r="AN527" i="1"/>
  <c r="AM527" i="1"/>
  <c r="AL527" i="1"/>
  <c r="AJ527" i="1"/>
  <c r="AI527" i="1"/>
  <c r="AH527" i="1"/>
  <c r="AG527" i="1"/>
  <c r="AF527" i="1"/>
  <c r="AE527" i="1"/>
  <c r="Z527" i="1"/>
  <c r="W527" i="1"/>
  <c r="U527" i="1"/>
  <c r="V527" i="1" s="1"/>
  <c r="R527" i="1"/>
  <c r="N527" i="1"/>
  <c r="M527" i="1"/>
  <c r="L527" i="1"/>
  <c r="K527" i="1"/>
  <c r="F527" i="1"/>
  <c r="AN526" i="1"/>
  <c r="AM526" i="1"/>
  <c r="AL526" i="1"/>
  <c r="AJ526" i="1"/>
  <c r="AI526" i="1"/>
  <c r="AH526" i="1"/>
  <c r="AG526" i="1"/>
  <c r="AF526" i="1"/>
  <c r="AE526" i="1"/>
  <c r="Z526" i="1"/>
  <c r="W526" i="1"/>
  <c r="V526" i="1"/>
  <c r="U526" i="1"/>
  <c r="R526" i="1"/>
  <c r="N526" i="1"/>
  <c r="M526" i="1"/>
  <c r="L526" i="1"/>
  <c r="K526" i="1"/>
  <c r="F526" i="1"/>
  <c r="AN525" i="1"/>
  <c r="AM525" i="1"/>
  <c r="AL525" i="1"/>
  <c r="AJ525" i="1"/>
  <c r="AI525" i="1"/>
  <c r="AH525" i="1"/>
  <c r="AG525" i="1"/>
  <c r="AF525" i="1"/>
  <c r="AE525" i="1"/>
  <c r="Z525" i="1"/>
  <c r="W525" i="1"/>
  <c r="V525" i="1"/>
  <c r="U525" i="1"/>
  <c r="R525" i="1"/>
  <c r="N525" i="1"/>
  <c r="M525" i="1"/>
  <c r="L525" i="1"/>
  <c r="K525" i="1"/>
  <c r="F525" i="1"/>
  <c r="AN524" i="1"/>
  <c r="AL524" i="1"/>
  <c r="AM524" i="1" s="1"/>
  <c r="AJ524" i="1"/>
  <c r="AI524" i="1"/>
  <c r="AH524" i="1"/>
  <c r="AG524" i="1"/>
  <c r="AF524" i="1"/>
  <c r="AE524" i="1"/>
  <c r="Z524" i="1"/>
  <c r="W524" i="1"/>
  <c r="V524" i="1"/>
  <c r="U524" i="1"/>
  <c r="R524" i="1"/>
  <c r="N524" i="1"/>
  <c r="M524" i="1"/>
  <c r="L524" i="1"/>
  <c r="K524" i="1"/>
  <c r="F524" i="1"/>
  <c r="AN523" i="1"/>
  <c r="AL523" i="1"/>
  <c r="AM523" i="1" s="1"/>
  <c r="AJ523" i="1"/>
  <c r="AI523" i="1"/>
  <c r="AH523" i="1"/>
  <c r="AG523" i="1"/>
  <c r="AF523" i="1"/>
  <c r="AE523" i="1"/>
  <c r="Z523" i="1"/>
  <c r="W523" i="1"/>
  <c r="U523" i="1"/>
  <c r="R523" i="1"/>
  <c r="N523" i="1"/>
  <c r="M523" i="1"/>
  <c r="L523" i="1"/>
  <c r="K523" i="1"/>
  <c r="F523" i="1"/>
  <c r="V523" i="1" s="1"/>
  <c r="AN522" i="1"/>
  <c r="AL522" i="1"/>
  <c r="AM522" i="1" s="1"/>
  <c r="AJ522" i="1"/>
  <c r="AI522" i="1"/>
  <c r="AH522" i="1"/>
  <c r="AG522" i="1"/>
  <c r="AF522" i="1"/>
  <c r="AE522" i="1"/>
  <c r="Z522" i="1"/>
  <c r="W522" i="1"/>
  <c r="U522" i="1"/>
  <c r="V522" i="1" s="1"/>
  <c r="R522" i="1"/>
  <c r="N522" i="1"/>
  <c r="M522" i="1"/>
  <c r="L522" i="1"/>
  <c r="K522" i="1"/>
  <c r="F522" i="1"/>
  <c r="AN521" i="1"/>
  <c r="AL521" i="1"/>
  <c r="AM521" i="1" s="1"/>
  <c r="AJ521" i="1"/>
  <c r="AI521" i="1"/>
  <c r="AH521" i="1"/>
  <c r="AG521" i="1"/>
  <c r="AF521" i="1"/>
  <c r="AE521" i="1"/>
  <c r="Z521" i="1"/>
  <c r="W521" i="1"/>
  <c r="U521" i="1"/>
  <c r="V521" i="1" s="1"/>
  <c r="R521" i="1"/>
  <c r="N521" i="1"/>
  <c r="M521" i="1"/>
  <c r="L521" i="1"/>
  <c r="K521" i="1"/>
  <c r="F521" i="1"/>
  <c r="AN520" i="1"/>
  <c r="AM520" i="1"/>
  <c r="AL520" i="1"/>
  <c r="AJ520" i="1"/>
  <c r="AI520" i="1"/>
  <c r="AH520" i="1"/>
  <c r="AG520" i="1"/>
  <c r="AF520" i="1"/>
  <c r="AE520" i="1"/>
  <c r="Z520" i="1"/>
  <c r="W520" i="1"/>
  <c r="U520" i="1"/>
  <c r="V520" i="1" s="1"/>
  <c r="R520" i="1"/>
  <c r="N520" i="1"/>
  <c r="M520" i="1"/>
  <c r="L520" i="1"/>
  <c r="K520" i="1"/>
  <c r="F520" i="1"/>
  <c r="AN519" i="1"/>
  <c r="AM519" i="1"/>
  <c r="AL519" i="1"/>
  <c r="AJ519" i="1"/>
  <c r="AI519" i="1"/>
  <c r="AH519" i="1"/>
  <c r="AG519" i="1"/>
  <c r="AF519" i="1"/>
  <c r="AE519" i="1"/>
  <c r="Z519" i="1"/>
  <c r="W519" i="1"/>
  <c r="U519" i="1"/>
  <c r="V519" i="1" s="1"/>
  <c r="R519" i="1"/>
  <c r="N519" i="1"/>
  <c r="M519" i="1"/>
  <c r="L519" i="1"/>
  <c r="K519" i="1"/>
  <c r="F519" i="1"/>
  <c r="AN518" i="1"/>
  <c r="AM518" i="1"/>
  <c r="AL518" i="1"/>
  <c r="AJ518" i="1"/>
  <c r="AI518" i="1"/>
  <c r="AH518" i="1"/>
  <c r="AG518" i="1"/>
  <c r="AF518" i="1"/>
  <c r="AE518" i="1"/>
  <c r="Z518" i="1"/>
  <c r="W518" i="1"/>
  <c r="V518" i="1"/>
  <c r="U518" i="1"/>
  <c r="R518" i="1"/>
  <c r="N518" i="1"/>
  <c r="M518" i="1"/>
  <c r="L518" i="1"/>
  <c r="K518" i="1"/>
  <c r="F518" i="1"/>
  <c r="AN517" i="1"/>
  <c r="AM517" i="1"/>
  <c r="AL517" i="1"/>
  <c r="AJ517" i="1"/>
  <c r="AI517" i="1"/>
  <c r="AH517" i="1"/>
  <c r="AG517" i="1"/>
  <c r="AF517" i="1"/>
  <c r="AE517" i="1"/>
  <c r="Z517" i="1"/>
  <c r="W517" i="1"/>
  <c r="V517" i="1"/>
  <c r="U517" i="1"/>
  <c r="R517" i="1"/>
  <c r="N517" i="1"/>
  <c r="M517" i="1"/>
  <c r="L517" i="1"/>
  <c r="K517" i="1"/>
  <c r="F517" i="1"/>
  <c r="AN516" i="1"/>
  <c r="AL516" i="1"/>
  <c r="AM516" i="1" s="1"/>
  <c r="AJ516" i="1"/>
  <c r="AI516" i="1"/>
  <c r="AH516" i="1"/>
  <c r="AG516" i="1"/>
  <c r="AF516" i="1"/>
  <c r="AE516" i="1"/>
  <c r="Z516" i="1"/>
  <c r="W516" i="1"/>
  <c r="V516" i="1"/>
  <c r="U516" i="1"/>
  <c r="R516" i="1"/>
  <c r="N516" i="1"/>
  <c r="M516" i="1"/>
  <c r="L516" i="1"/>
  <c r="K516" i="1"/>
  <c r="F516" i="1"/>
  <c r="AN515" i="1"/>
  <c r="AL515" i="1"/>
  <c r="AJ515" i="1"/>
  <c r="AI515" i="1"/>
  <c r="AH515" i="1"/>
  <c r="AG515" i="1"/>
  <c r="AF515" i="1"/>
  <c r="AE515" i="1"/>
  <c r="Z515" i="1"/>
  <c r="W515" i="1"/>
  <c r="U515" i="1"/>
  <c r="R515" i="1"/>
  <c r="N515" i="1"/>
  <c r="M515" i="1"/>
  <c r="L515" i="1"/>
  <c r="K515" i="1"/>
  <c r="F515" i="1"/>
  <c r="V515" i="1" s="1"/>
  <c r="AN514" i="1"/>
  <c r="AL514" i="1"/>
  <c r="AM514" i="1" s="1"/>
  <c r="AJ514" i="1"/>
  <c r="AI514" i="1"/>
  <c r="AH514" i="1"/>
  <c r="AG514" i="1"/>
  <c r="AF514" i="1"/>
  <c r="AE514" i="1"/>
  <c r="Z514" i="1"/>
  <c r="W514" i="1"/>
  <c r="U514" i="1"/>
  <c r="V514" i="1" s="1"/>
  <c r="R514" i="1"/>
  <c r="N514" i="1"/>
  <c r="M514" i="1"/>
  <c r="L514" i="1"/>
  <c r="K514" i="1"/>
  <c r="F514" i="1"/>
  <c r="AN513" i="1"/>
  <c r="AL513" i="1"/>
  <c r="AM513" i="1" s="1"/>
  <c r="AJ513" i="1"/>
  <c r="AI513" i="1"/>
  <c r="AH513" i="1"/>
  <c r="AG513" i="1"/>
  <c r="AF513" i="1"/>
  <c r="AE513" i="1"/>
  <c r="Z513" i="1"/>
  <c r="W513" i="1"/>
  <c r="U513" i="1"/>
  <c r="V513" i="1" s="1"/>
  <c r="R513" i="1"/>
  <c r="N513" i="1"/>
  <c r="M513" i="1"/>
  <c r="L513" i="1"/>
  <c r="K513" i="1"/>
  <c r="F513" i="1"/>
  <c r="AN512" i="1"/>
  <c r="AM512" i="1"/>
  <c r="AL512" i="1"/>
  <c r="AJ512" i="1"/>
  <c r="AI512" i="1"/>
  <c r="AH512" i="1"/>
  <c r="AG512" i="1"/>
  <c r="AF512" i="1"/>
  <c r="AE512" i="1"/>
  <c r="Z512" i="1"/>
  <c r="W512" i="1"/>
  <c r="U512" i="1"/>
  <c r="V512" i="1" s="1"/>
  <c r="R512" i="1"/>
  <c r="N512" i="1"/>
  <c r="M512" i="1"/>
  <c r="L512" i="1"/>
  <c r="K512" i="1"/>
  <c r="F512" i="1"/>
  <c r="AN511" i="1"/>
  <c r="AM511" i="1"/>
  <c r="AL511" i="1"/>
  <c r="AJ511" i="1"/>
  <c r="AI511" i="1"/>
  <c r="AH511" i="1"/>
  <c r="AG511" i="1"/>
  <c r="AF511" i="1"/>
  <c r="AE511" i="1"/>
  <c r="Z511" i="1"/>
  <c r="W511" i="1"/>
  <c r="U511" i="1"/>
  <c r="V511" i="1" s="1"/>
  <c r="R511" i="1"/>
  <c r="N511" i="1"/>
  <c r="M511" i="1"/>
  <c r="L511" i="1"/>
  <c r="K511" i="1"/>
  <c r="F511" i="1"/>
  <c r="AN510" i="1"/>
  <c r="AM510" i="1"/>
  <c r="AL510" i="1"/>
  <c r="AJ510" i="1"/>
  <c r="AI510" i="1"/>
  <c r="AH510" i="1"/>
  <c r="AG510" i="1"/>
  <c r="AF510" i="1"/>
  <c r="AE510" i="1"/>
  <c r="Z510" i="1"/>
  <c r="W510" i="1"/>
  <c r="V510" i="1"/>
  <c r="U510" i="1"/>
  <c r="R510" i="1"/>
  <c r="N510" i="1"/>
  <c r="M510" i="1"/>
  <c r="L510" i="1"/>
  <c r="K510" i="1"/>
  <c r="F510" i="1"/>
  <c r="AN509" i="1"/>
  <c r="AM509" i="1"/>
  <c r="AL509" i="1"/>
  <c r="AJ509" i="1"/>
  <c r="AI509" i="1"/>
  <c r="AH509" i="1"/>
  <c r="AG509" i="1"/>
  <c r="AF509" i="1"/>
  <c r="AE509" i="1"/>
  <c r="Z509" i="1"/>
  <c r="W509" i="1"/>
  <c r="V509" i="1"/>
  <c r="U509" i="1"/>
  <c r="R509" i="1"/>
  <c r="N509" i="1"/>
  <c r="M509" i="1"/>
  <c r="L509" i="1"/>
  <c r="K509" i="1"/>
  <c r="F509" i="1"/>
  <c r="AN508" i="1"/>
  <c r="AL508" i="1"/>
  <c r="AM508" i="1" s="1"/>
  <c r="AJ508" i="1"/>
  <c r="AI508" i="1"/>
  <c r="AH508" i="1"/>
  <c r="AG508" i="1"/>
  <c r="AF508" i="1"/>
  <c r="AE508" i="1"/>
  <c r="Z508" i="1"/>
  <c r="W508" i="1"/>
  <c r="V508" i="1"/>
  <c r="U508" i="1"/>
  <c r="R508" i="1"/>
  <c r="N508" i="1"/>
  <c r="M508" i="1"/>
  <c r="L508" i="1"/>
  <c r="K508" i="1"/>
  <c r="F508" i="1"/>
  <c r="AN507" i="1"/>
  <c r="AL507" i="1"/>
  <c r="AJ507" i="1"/>
  <c r="AI507" i="1"/>
  <c r="AH507" i="1"/>
  <c r="AG507" i="1"/>
  <c r="AF507" i="1"/>
  <c r="AE507" i="1"/>
  <c r="Z507" i="1"/>
  <c r="W507" i="1"/>
  <c r="U507" i="1"/>
  <c r="R507" i="1"/>
  <c r="N507" i="1"/>
  <c r="M507" i="1"/>
  <c r="L507" i="1"/>
  <c r="K507" i="1"/>
  <c r="F507" i="1"/>
  <c r="V507" i="1" s="1"/>
  <c r="AN506" i="1"/>
  <c r="AL506" i="1"/>
  <c r="AM506" i="1" s="1"/>
  <c r="AJ506" i="1"/>
  <c r="AI506" i="1"/>
  <c r="AH506" i="1"/>
  <c r="AG506" i="1"/>
  <c r="AF506" i="1"/>
  <c r="AE506" i="1"/>
  <c r="Z506" i="1"/>
  <c r="W506" i="1"/>
  <c r="U506" i="1"/>
  <c r="V506" i="1" s="1"/>
  <c r="R506" i="1"/>
  <c r="N506" i="1"/>
  <c r="M506" i="1"/>
  <c r="L506" i="1"/>
  <c r="K506" i="1"/>
  <c r="F506" i="1"/>
  <c r="AN505" i="1"/>
  <c r="AL505" i="1"/>
  <c r="AM505" i="1" s="1"/>
  <c r="AJ505" i="1"/>
  <c r="AI505" i="1"/>
  <c r="AH505" i="1"/>
  <c r="AG505" i="1"/>
  <c r="AF505" i="1"/>
  <c r="AE505" i="1"/>
  <c r="Z505" i="1"/>
  <c r="W505" i="1"/>
  <c r="U505" i="1"/>
  <c r="V505" i="1" s="1"/>
  <c r="R505" i="1"/>
  <c r="N505" i="1"/>
  <c r="M505" i="1"/>
  <c r="L505" i="1"/>
  <c r="K505" i="1"/>
  <c r="F505" i="1"/>
  <c r="AN504" i="1"/>
  <c r="AM504" i="1"/>
  <c r="AL504" i="1"/>
  <c r="AJ504" i="1"/>
  <c r="AI504" i="1"/>
  <c r="AH504" i="1"/>
  <c r="AG504" i="1"/>
  <c r="AF504" i="1"/>
  <c r="AE504" i="1"/>
  <c r="Z504" i="1"/>
  <c r="W504" i="1"/>
  <c r="U504" i="1"/>
  <c r="V504" i="1" s="1"/>
  <c r="R504" i="1"/>
  <c r="N504" i="1"/>
  <c r="M504" i="1"/>
  <c r="L504" i="1"/>
  <c r="K504" i="1"/>
  <c r="F504" i="1"/>
  <c r="AN503" i="1"/>
  <c r="AM503" i="1"/>
  <c r="AL503" i="1"/>
  <c r="AJ503" i="1"/>
  <c r="AI503" i="1"/>
  <c r="AH503" i="1"/>
  <c r="AG503" i="1"/>
  <c r="AF503" i="1"/>
  <c r="AE503" i="1"/>
  <c r="Z503" i="1"/>
  <c r="W503" i="1"/>
  <c r="U503" i="1"/>
  <c r="V503" i="1" s="1"/>
  <c r="R503" i="1"/>
  <c r="N503" i="1"/>
  <c r="M503" i="1"/>
  <c r="L503" i="1"/>
  <c r="K503" i="1"/>
  <c r="F503" i="1"/>
  <c r="AN502" i="1"/>
  <c r="AM502" i="1"/>
  <c r="AL502" i="1"/>
  <c r="AJ502" i="1"/>
  <c r="AI502" i="1"/>
  <c r="AH502" i="1"/>
  <c r="AG502" i="1"/>
  <c r="AF502" i="1"/>
  <c r="AE502" i="1"/>
  <c r="Z502" i="1"/>
  <c r="W502" i="1"/>
  <c r="V502" i="1"/>
  <c r="U502" i="1"/>
  <c r="R502" i="1"/>
  <c r="N502" i="1"/>
  <c r="M502" i="1"/>
  <c r="L502" i="1"/>
  <c r="K502" i="1"/>
  <c r="F502" i="1"/>
  <c r="AN501" i="1"/>
  <c r="AL501" i="1"/>
  <c r="AJ501" i="1"/>
  <c r="AI501" i="1"/>
  <c r="AH501" i="1"/>
  <c r="AG501" i="1"/>
  <c r="AF501" i="1"/>
  <c r="AE501" i="1"/>
  <c r="Z501" i="1"/>
  <c r="W501" i="1"/>
  <c r="U501" i="1"/>
  <c r="N501" i="1"/>
  <c r="M501" i="1"/>
  <c r="L501" i="1"/>
  <c r="K501" i="1"/>
  <c r="F501" i="1"/>
  <c r="AM501" i="1" s="1"/>
  <c r="AN500" i="1"/>
  <c r="AL500" i="1"/>
  <c r="AJ500" i="1"/>
  <c r="AI500" i="1"/>
  <c r="AH500" i="1"/>
  <c r="AG500" i="1"/>
  <c r="AF500" i="1"/>
  <c r="AE500" i="1"/>
  <c r="Z500" i="1"/>
  <c r="W500" i="1"/>
  <c r="U500" i="1"/>
  <c r="V500" i="1" s="1"/>
  <c r="N500" i="1"/>
  <c r="M500" i="1"/>
  <c r="L500" i="1"/>
  <c r="K500" i="1"/>
  <c r="F500" i="1"/>
  <c r="AM500" i="1" s="1"/>
  <c r="AN499" i="1"/>
  <c r="AL499" i="1"/>
  <c r="AM499" i="1" s="1"/>
  <c r="AJ499" i="1"/>
  <c r="AI499" i="1"/>
  <c r="AH499" i="1"/>
  <c r="AG499" i="1"/>
  <c r="AF499" i="1"/>
  <c r="AE499" i="1"/>
  <c r="Z499" i="1"/>
  <c r="W499" i="1"/>
  <c r="U499" i="1"/>
  <c r="V499" i="1" s="1"/>
  <c r="N499" i="1"/>
  <c r="M499" i="1"/>
  <c r="L499" i="1"/>
  <c r="K499" i="1"/>
  <c r="F499" i="1"/>
  <c r="AN498" i="1"/>
  <c r="AL498" i="1"/>
  <c r="AM498" i="1" s="1"/>
  <c r="AJ498" i="1"/>
  <c r="AI498" i="1"/>
  <c r="AH498" i="1"/>
  <c r="AG498" i="1"/>
  <c r="AF498" i="1"/>
  <c r="AE498" i="1"/>
  <c r="Z498" i="1"/>
  <c r="W498" i="1"/>
  <c r="V498" i="1"/>
  <c r="U498" i="1"/>
  <c r="N498" i="1"/>
  <c r="M498" i="1"/>
  <c r="L498" i="1"/>
  <c r="K498" i="1"/>
  <c r="F498" i="1"/>
  <c r="AN497" i="1"/>
  <c r="AL497" i="1"/>
  <c r="AJ497" i="1"/>
  <c r="AI497" i="1"/>
  <c r="AH497" i="1"/>
  <c r="AG497" i="1"/>
  <c r="AF497" i="1"/>
  <c r="AE497" i="1"/>
  <c r="Z497" i="1"/>
  <c r="W497" i="1"/>
  <c r="U497" i="1"/>
  <c r="N497" i="1"/>
  <c r="M497" i="1"/>
  <c r="L497" i="1"/>
  <c r="K497" i="1"/>
  <c r="F497" i="1"/>
  <c r="AM497" i="1" s="1"/>
  <c r="AN496" i="1"/>
  <c r="AL496" i="1"/>
  <c r="AJ496" i="1"/>
  <c r="AI496" i="1"/>
  <c r="AH496" i="1"/>
  <c r="AG496" i="1"/>
  <c r="AF496" i="1"/>
  <c r="AE496" i="1"/>
  <c r="Z496" i="1"/>
  <c r="W496" i="1"/>
  <c r="U496" i="1"/>
  <c r="V496" i="1" s="1"/>
  <c r="N496" i="1"/>
  <c r="M496" i="1"/>
  <c r="L496" i="1"/>
  <c r="K496" i="1"/>
  <c r="F496" i="1"/>
  <c r="AM496" i="1" s="1"/>
  <c r="AN495" i="1"/>
  <c r="AL495" i="1"/>
  <c r="AM495" i="1" s="1"/>
  <c r="AJ495" i="1"/>
  <c r="AI495" i="1"/>
  <c r="AH495" i="1"/>
  <c r="AG495" i="1"/>
  <c r="AF495" i="1"/>
  <c r="AE495" i="1"/>
  <c r="Z495" i="1"/>
  <c r="W495" i="1"/>
  <c r="U495" i="1"/>
  <c r="V495" i="1" s="1"/>
  <c r="N495" i="1"/>
  <c r="M495" i="1"/>
  <c r="L495" i="1"/>
  <c r="K495" i="1"/>
  <c r="F495" i="1"/>
  <c r="AN494" i="1"/>
  <c r="AL494" i="1"/>
  <c r="AM494" i="1" s="1"/>
  <c r="AJ494" i="1"/>
  <c r="AI494" i="1"/>
  <c r="AH494" i="1"/>
  <c r="AG494" i="1"/>
  <c r="AF494" i="1"/>
  <c r="AE494" i="1"/>
  <c r="Z494" i="1"/>
  <c r="W494" i="1"/>
  <c r="V494" i="1"/>
  <c r="U494" i="1"/>
  <c r="N494" i="1"/>
  <c r="M494" i="1"/>
  <c r="L494" i="1"/>
  <c r="K494" i="1"/>
  <c r="F494" i="1"/>
  <c r="AN493" i="1"/>
  <c r="AL493" i="1"/>
  <c r="AJ493" i="1"/>
  <c r="AI493" i="1"/>
  <c r="AH493" i="1"/>
  <c r="AG493" i="1"/>
  <c r="AF493" i="1"/>
  <c r="AE493" i="1"/>
  <c r="Z493" i="1"/>
  <c r="W493" i="1"/>
  <c r="U493" i="1"/>
  <c r="N493" i="1"/>
  <c r="M493" i="1"/>
  <c r="L493" i="1"/>
  <c r="K493" i="1"/>
  <c r="F493" i="1"/>
  <c r="AM493" i="1" s="1"/>
  <c r="AN492" i="1"/>
  <c r="AL492" i="1"/>
  <c r="AJ492" i="1"/>
  <c r="AI492" i="1"/>
  <c r="AH492" i="1"/>
  <c r="AG492" i="1"/>
  <c r="AF492" i="1"/>
  <c r="AE492" i="1"/>
  <c r="Z492" i="1"/>
  <c r="W492" i="1"/>
  <c r="U492" i="1"/>
  <c r="V492" i="1" s="1"/>
  <c r="N492" i="1"/>
  <c r="M492" i="1"/>
  <c r="L492" i="1"/>
  <c r="K492" i="1"/>
  <c r="F492" i="1"/>
  <c r="AM492" i="1" s="1"/>
  <c r="AN491" i="1"/>
  <c r="AL491" i="1"/>
  <c r="AM491" i="1" s="1"/>
  <c r="AJ491" i="1"/>
  <c r="AI491" i="1"/>
  <c r="AH491" i="1"/>
  <c r="AG491" i="1"/>
  <c r="AF491" i="1"/>
  <c r="AE491" i="1"/>
  <c r="Z491" i="1"/>
  <c r="W491" i="1"/>
  <c r="U491" i="1"/>
  <c r="V491" i="1" s="1"/>
  <c r="N491" i="1"/>
  <c r="M491" i="1"/>
  <c r="L491" i="1"/>
  <c r="K491" i="1"/>
  <c r="F491" i="1"/>
  <c r="AN490" i="1"/>
  <c r="AL490" i="1"/>
  <c r="AM490" i="1" s="1"/>
  <c r="AJ490" i="1"/>
  <c r="AI490" i="1"/>
  <c r="AH490" i="1"/>
  <c r="AG490" i="1"/>
  <c r="AF490" i="1"/>
  <c r="AE490" i="1"/>
  <c r="Z490" i="1"/>
  <c r="W490" i="1"/>
  <c r="V490" i="1"/>
  <c r="U490" i="1"/>
  <c r="N490" i="1"/>
  <c r="M490" i="1"/>
  <c r="L490" i="1"/>
  <c r="K490" i="1"/>
  <c r="F490" i="1"/>
  <c r="AN489" i="1"/>
  <c r="AL489" i="1"/>
  <c r="AJ489" i="1"/>
  <c r="AI489" i="1"/>
  <c r="AH489" i="1"/>
  <c r="AG489" i="1"/>
  <c r="AF489" i="1"/>
  <c r="AE489" i="1"/>
  <c r="Z489" i="1"/>
  <c r="W489" i="1"/>
  <c r="U489" i="1"/>
  <c r="N489" i="1"/>
  <c r="M489" i="1"/>
  <c r="L489" i="1"/>
  <c r="K489" i="1"/>
  <c r="F489" i="1"/>
  <c r="AM489" i="1" s="1"/>
  <c r="AN488" i="1"/>
  <c r="AL488" i="1"/>
  <c r="AJ488" i="1"/>
  <c r="AI488" i="1"/>
  <c r="AH488" i="1"/>
  <c r="AG488" i="1"/>
  <c r="AF488" i="1"/>
  <c r="AE488" i="1"/>
  <c r="Z488" i="1"/>
  <c r="W488" i="1"/>
  <c r="U488" i="1"/>
  <c r="V488" i="1" s="1"/>
  <c r="N488" i="1"/>
  <c r="M488" i="1"/>
  <c r="L488" i="1"/>
  <c r="K488" i="1"/>
  <c r="F488" i="1"/>
  <c r="AM488" i="1" s="1"/>
  <c r="AN487" i="1"/>
  <c r="AL487" i="1"/>
  <c r="AM487" i="1" s="1"/>
  <c r="AJ487" i="1"/>
  <c r="AI487" i="1"/>
  <c r="AH487" i="1"/>
  <c r="AG487" i="1"/>
  <c r="AF487" i="1"/>
  <c r="AE487" i="1"/>
  <c r="Z487" i="1"/>
  <c r="W487" i="1"/>
  <c r="U487" i="1"/>
  <c r="V487" i="1" s="1"/>
  <c r="N487" i="1"/>
  <c r="M487" i="1"/>
  <c r="L487" i="1"/>
  <c r="K487" i="1"/>
  <c r="F487" i="1"/>
  <c r="AN486" i="1"/>
  <c r="AL486" i="1"/>
  <c r="AM486" i="1" s="1"/>
  <c r="AJ486" i="1"/>
  <c r="AI486" i="1"/>
  <c r="AH486" i="1"/>
  <c r="AG486" i="1"/>
  <c r="AF486" i="1"/>
  <c r="AE486" i="1"/>
  <c r="Z486" i="1"/>
  <c r="W486" i="1"/>
  <c r="V486" i="1"/>
  <c r="U486" i="1"/>
  <c r="N486" i="1"/>
  <c r="M486" i="1"/>
  <c r="L486" i="1"/>
  <c r="K486" i="1"/>
  <c r="F486" i="1"/>
  <c r="AN485" i="1"/>
  <c r="AL485" i="1"/>
  <c r="AJ485" i="1"/>
  <c r="AI485" i="1"/>
  <c r="AH485" i="1"/>
  <c r="AG485" i="1"/>
  <c r="AF485" i="1"/>
  <c r="AE485" i="1"/>
  <c r="Z485" i="1"/>
  <c r="W485" i="1"/>
  <c r="U485" i="1"/>
  <c r="N485" i="1"/>
  <c r="M485" i="1"/>
  <c r="L485" i="1"/>
  <c r="K485" i="1"/>
  <c r="F485" i="1"/>
  <c r="AM485" i="1" s="1"/>
  <c r="AN484" i="1"/>
  <c r="AL484" i="1"/>
  <c r="AJ484" i="1"/>
  <c r="AI484" i="1"/>
  <c r="AH484" i="1"/>
  <c r="AG484" i="1"/>
  <c r="AF484" i="1"/>
  <c r="AE484" i="1"/>
  <c r="Z484" i="1"/>
  <c r="W484" i="1"/>
  <c r="U484" i="1"/>
  <c r="V484" i="1" s="1"/>
  <c r="N484" i="1"/>
  <c r="M484" i="1"/>
  <c r="L484" i="1"/>
  <c r="K484" i="1"/>
  <c r="F484" i="1"/>
  <c r="AM484" i="1" s="1"/>
  <c r="AN483" i="1"/>
  <c r="AL483" i="1"/>
  <c r="AM483" i="1" s="1"/>
  <c r="AJ483" i="1"/>
  <c r="AI483" i="1"/>
  <c r="AH483" i="1"/>
  <c r="AG483" i="1"/>
  <c r="AF483" i="1"/>
  <c r="AE483" i="1"/>
  <c r="Z483" i="1"/>
  <c r="W483" i="1"/>
  <c r="U483" i="1"/>
  <c r="V483" i="1" s="1"/>
  <c r="N483" i="1"/>
  <c r="M483" i="1"/>
  <c r="L483" i="1"/>
  <c r="K483" i="1"/>
  <c r="F483" i="1"/>
  <c r="AN482" i="1"/>
  <c r="AL482" i="1"/>
  <c r="AM482" i="1" s="1"/>
  <c r="AJ482" i="1"/>
  <c r="AI482" i="1"/>
  <c r="AH482" i="1"/>
  <c r="AG482" i="1"/>
  <c r="AF482" i="1"/>
  <c r="AE482" i="1"/>
  <c r="Z482" i="1"/>
  <c r="W482" i="1"/>
  <c r="V482" i="1"/>
  <c r="U482" i="1"/>
  <c r="N482" i="1"/>
  <c r="M482" i="1"/>
  <c r="L482" i="1"/>
  <c r="K482" i="1"/>
  <c r="F482" i="1"/>
  <c r="AN481" i="1"/>
  <c r="AL481" i="1"/>
  <c r="AJ481" i="1"/>
  <c r="AI481" i="1"/>
  <c r="AH481" i="1"/>
  <c r="AG481" i="1"/>
  <c r="AF481" i="1"/>
  <c r="AE481" i="1"/>
  <c r="Z481" i="1"/>
  <c r="W481" i="1"/>
  <c r="U481" i="1"/>
  <c r="N481" i="1"/>
  <c r="M481" i="1"/>
  <c r="L481" i="1"/>
  <c r="K481" i="1"/>
  <c r="F481" i="1"/>
  <c r="AM481" i="1" s="1"/>
  <c r="AN480" i="1"/>
  <c r="AL480" i="1"/>
  <c r="AJ480" i="1"/>
  <c r="AI480" i="1"/>
  <c r="AH480" i="1"/>
  <c r="AG480" i="1"/>
  <c r="AF480" i="1"/>
  <c r="AE480" i="1"/>
  <c r="Z480" i="1"/>
  <c r="W480" i="1"/>
  <c r="U480" i="1"/>
  <c r="V480" i="1" s="1"/>
  <c r="N480" i="1"/>
  <c r="M480" i="1"/>
  <c r="L480" i="1"/>
  <c r="K480" i="1"/>
  <c r="F480" i="1"/>
  <c r="AM480" i="1" s="1"/>
  <c r="AN479" i="1"/>
  <c r="AL479" i="1"/>
  <c r="AM479" i="1" s="1"/>
  <c r="AJ479" i="1"/>
  <c r="AI479" i="1"/>
  <c r="AH479" i="1"/>
  <c r="AG479" i="1"/>
  <c r="AF479" i="1"/>
  <c r="AE479" i="1"/>
  <c r="Z479" i="1"/>
  <c r="W479" i="1"/>
  <c r="U479" i="1"/>
  <c r="V479" i="1" s="1"/>
  <c r="N479" i="1"/>
  <c r="M479" i="1"/>
  <c r="L479" i="1"/>
  <c r="K479" i="1"/>
  <c r="F479" i="1"/>
  <c r="AN478" i="1"/>
  <c r="AL478" i="1"/>
  <c r="AM478" i="1" s="1"/>
  <c r="AJ478" i="1"/>
  <c r="AI478" i="1"/>
  <c r="AH478" i="1"/>
  <c r="AG478" i="1"/>
  <c r="AF478" i="1"/>
  <c r="AE478" i="1"/>
  <c r="Z478" i="1"/>
  <c r="W478" i="1"/>
  <c r="V478" i="1"/>
  <c r="U478" i="1"/>
  <c r="N478" i="1"/>
  <c r="M478" i="1"/>
  <c r="L478" i="1"/>
  <c r="K478" i="1"/>
  <c r="F478" i="1"/>
  <c r="AN477" i="1"/>
  <c r="AL477" i="1"/>
  <c r="AJ477" i="1"/>
  <c r="AI477" i="1"/>
  <c r="AH477" i="1"/>
  <c r="AG477" i="1"/>
  <c r="AF477" i="1"/>
  <c r="AE477" i="1"/>
  <c r="Z477" i="1"/>
  <c r="W477" i="1"/>
  <c r="U477" i="1"/>
  <c r="N477" i="1"/>
  <c r="M477" i="1"/>
  <c r="L477" i="1"/>
  <c r="K477" i="1"/>
  <c r="F477" i="1"/>
  <c r="AM477" i="1" s="1"/>
  <c r="AN476" i="1"/>
  <c r="AL476" i="1"/>
  <c r="AJ476" i="1"/>
  <c r="AI476" i="1"/>
  <c r="AH476" i="1"/>
  <c r="AG476" i="1"/>
  <c r="AF476" i="1"/>
  <c r="AE476" i="1"/>
  <c r="Z476" i="1"/>
  <c r="W476" i="1"/>
  <c r="U476" i="1"/>
  <c r="V476" i="1" s="1"/>
  <c r="N476" i="1"/>
  <c r="M476" i="1"/>
  <c r="L476" i="1"/>
  <c r="K476" i="1"/>
  <c r="F476" i="1"/>
  <c r="AM476" i="1" s="1"/>
  <c r="AN475" i="1"/>
  <c r="AL475" i="1"/>
  <c r="AM475" i="1" s="1"/>
  <c r="AJ475" i="1"/>
  <c r="AI475" i="1"/>
  <c r="AH475" i="1"/>
  <c r="AG475" i="1"/>
  <c r="AF475" i="1"/>
  <c r="AE475" i="1"/>
  <c r="Z475" i="1"/>
  <c r="W475" i="1"/>
  <c r="U475" i="1"/>
  <c r="V475" i="1" s="1"/>
  <c r="N475" i="1"/>
  <c r="M475" i="1"/>
  <c r="L475" i="1"/>
  <c r="K475" i="1"/>
  <c r="F475" i="1"/>
  <c r="AN474" i="1"/>
  <c r="AL474" i="1"/>
  <c r="AM474" i="1" s="1"/>
  <c r="AJ474" i="1"/>
  <c r="AI474" i="1"/>
  <c r="AH474" i="1"/>
  <c r="AG474" i="1"/>
  <c r="AF474" i="1"/>
  <c r="AE474" i="1"/>
  <c r="Z474" i="1"/>
  <c r="W474" i="1"/>
  <c r="V474" i="1"/>
  <c r="U474" i="1"/>
  <c r="N474" i="1"/>
  <c r="M474" i="1"/>
  <c r="L474" i="1"/>
  <c r="K474" i="1"/>
  <c r="F474" i="1"/>
  <c r="AN473" i="1"/>
  <c r="AL473" i="1"/>
  <c r="AJ473" i="1"/>
  <c r="AI473" i="1"/>
  <c r="AH473" i="1"/>
  <c r="AG473" i="1"/>
  <c r="AF473" i="1"/>
  <c r="AE473" i="1"/>
  <c r="Z473" i="1"/>
  <c r="W473" i="1"/>
  <c r="U473" i="1"/>
  <c r="N473" i="1"/>
  <c r="M473" i="1"/>
  <c r="L473" i="1"/>
  <c r="K473" i="1"/>
  <c r="F473" i="1"/>
  <c r="AM473" i="1" s="1"/>
  <c r="AN472" i="1"/>
  <c r="AL472" i="1"/>
  <c r="AJ472" i="1"/>
  <c r="AI472" i="1"/>
  <c r="AH472" i="1"/>
  <c r="AG472" i="1"/>
  <c r="AF472" i="1"/>
  <c r="AE472" i="1"/>
  <c r="Z472" i="1"/>
  <c r="W472" i="1"/>
  <c r="U472" i="1"/>
  <c r="V472" i="1" s="1"/>
  <c r="N472" i="1"/>
  <c r="M472" i="1"/>
  <c r="L472" i="1"/>
  <c r="K472" i="1"/>
  <c r="F472" i="1"/>
  <c r="AM472" i="1" s="1"/>
  <c r="AN471" i="1"/>
  <c r="AL471" i="1"/>
  <c r="AM471" i="1" s="1"/>
  <c r="AJ471" i="1"/>
  <c r="AI471" i="1"/>
  <c r="AH471" i="1"/>
  <c r="AG471" i="1"/>
  <c r="AF471" i="1"/>
  <c r="AE471" i="1"/>
  <c r="Z471" i="1"/>
  <c r="W471" i="1"/>
  <c r="U471" i="1"/>
  <c r="V471" i="1" s="1"/>
  <c r="N471" i="1"/>
  <c r="M471" i="1"/>
  <c r="L471" i="1"/>
  <c r="K471" i="1"/>
  <c r="F471" i="1"/>
  <c r="AN470" i="1"/>
  <c r="AL470" i="1"/>
  <c r="AM470" i="1" s="1"/>
  <c r="AJ470" i="1"/>
  <c r="AI470" i="1"/>
  <c r="AH470" i="1"/>
  <c r="AG470" i="1"/>
  <c r="AF470" i="1"/>
  <c r="AE470" i="1"/>
  <c r="Z470" i="1"/>
  <c r="W470" i="1"/>
  <c r="V470" i="1"/>
  <c r="U470" i="1"/>
  <c r="N470" i="1"/>
  <c r="M470" i="1"/>
  <c r="L470" i="1"/>
  <c r="K470" i="1"/>
  <c r="F470" i="1"/>
  <c r="AN469" i="1"/>
  <c r="AL469" i="1"/>
  <c r="AJ469" i="1"/>
  <c r="AI469" i="1"/>
  <c r="AH469" i="1"/>
  <c r="AG469" i="1"/>
  <c r="AF469" i="1"/>
  <c r="AE469" i="1"/>
  <c r="Z469" i="1"/>
  <c r="W469" i="1"/>
  <c r="U469" i="1"/>
  <c r="N469" i="1"/>
  <c r="M469" i="1"/>
  <c r="L469" i="1"/>
  <c r="K469" i="1"/>
  <c r="F469" i="1"/>
  <c r="AM469" i="1" s="1"/>
  <c r="AN468" i="1"/>
  <c r="AL468" i="1"/>
  <c r="AJ468" i="1"/>
  <c r="AI468" i="1"/>
  <c r="AH468" i="1"/>
  <c r="AG468" i="1"/>
  <c r="AF468" i="1"/>
  <c r="AE468" i="1"/>
  <c r="Z468" i="1"/>
  <c r="W468" i="1"/>
  <c r="U468" i="1"/>
  <c r="V468" i="1" s="1"/>
  <c r="N468" i="1"/>
  <c r="M468" i="1"/>
  <c r="L468" i="1"/>
  <c r="K468" i="1"/>
  <c r="F468" i="1"/>
  <c r="AM468" i="1" s="1"/>
  <c r="AN467" i="1"/>
  <c r="AL467" i="1"/>
  <c r="AM467" i="1" s="1"/>
  <c r="AJ467" i="1"/>
  <c r="AI467" i="1"/>
  <c r="AH467" i="1"/>
  <c r="AG467" i="1"/>
  <c r="AF467" i="1"/>
  <c r="AE467" i="1"/>
  <c r="Z467" i="1"/>
  <c r="W467" i="1"/>
  <c r="U467" i="1"/>
  <c r="V467" i="1" s="1"/>
  <c r="N467" i="1"/>
  <c r="M467" i="1"/>
  <c r="L467" i="1"/>
  <c r="K467" i="1"/>
  <c r="F467" i="1"/>
  <c r="AN466" i="1"/>
  <c r="AL466" i="1"/>
  <c r="AM466" i="1" s="1"/>
  <c r="AJ466" i="1"/>
  <c r="AI466" i="1"/>
  <c r="AH466" i="1"/>
  <c r="AG466" i="1"/>
  <c r="AF466" i="1"/>
  <c r="AE466" i="1"/>
  <c r="Z466" i="1"/>
  <c r="W466" i="1"/>
  <c r="V466" i="1"/>
  <c r="U466" i="1"/>
  <c r="N466" i="1"/>
  <c r="M466" i="1"/>
  <c r="L466" i="1"/>
  <c r="K466" i="1"/>
  <c r="F466" i="1"/>
  <c r="AN465" i="1"/>
  <c r="AL465" i="1"/>
  <c r="AJ465" i="1"/>
  <c r="AI465" i="1"/>
  <c r="AH465" i="1"/>
  <c r="AG465" i="1"/>
  <c r="AF465" i="1"/>
  <c r="AE465" i="1"/>
  <c r="Z465" i="1"/>
  <c r="W465" i="1"/>
  <c r="U465" i="1"/>
  <c r="N465" i="1"/>
  <c r="M465" i="1"/>
  <c r="L465" i="1"/>
  <c r="K465" i="1"/>
  <c r="F465" i="1"/>
  <c r="AM465" i="1" s="1"/>
  <c r="AN464" i="1"/>
  <c r="AL464" i="1"/>
  <c r="AJ464" i="1"/>
  <c r="AI464" i="1"/>
  <c r="AH464" i="1"/>
  <c r="AG464" i="1"/>
  <c r="AF464" i="1"/>
  <c r="AE464" i="1"/>
  <c r="Z464" i="1"/>
  <c r="W464" i="1"/>
  <c r="U464" i="1"/>
  <c r="V464" i="1" s="1"/>
  <c r="N464" i="1"/>
  <c r="M464" i="1"/>
  <c r="L464" i="1"/>
  <c r="K464" i="1"/>
  <c r="F464" i="1"/>
  <c r="AM464" i="1" s="1"/>
  <c r="AN463" i="1"/>
  <c r="AL463" i="1"/>
  <c r="AM463" i="1" s="1"/>
  <c r="AJ463" i="1"/>
  <c r="AI463" i="1"/>
  <c r="AH463" i="1"/>
  <c r="AG463" i="1"/>
  <c r="AF463" i="1"/>
  <c r="AE463" i="1"/>
  <c r="Z463" i="1"/>
  <c r="W463" i="1"/>
  <c r="U463" i="1"/>
  <c r="V463" i="1" s="1"/>
  <c r="N463" i="1"/>
  <c r="M463" i="1"/>
  <c r="L463" i="1"/>
  <c r="K463" i="1"/>
  <c r="F463" i="1"/>
  <c r="AN462" i="1"/>
  <c r="AL462" i="1"/>
  <c r="AM462" i="1" s="1"/>
  <c r="AJ462" i="1"/>
  <c r="AI462" i="1"/>
  <c r="AH462" i="1"/>
  <c r="AG462" i="1"/>
  <c r="AF462" i="1"/>
  <c r="AE462" i="1"/>
  <c r="Z462" i="1"/>
  <c r="W462" i="1"/>
  <c r="V462" i="1"/>
  <c r="U462" i="1"/>
  <c r="N462" i="1"/>
  <c r="M462" i="1"/>
  <c r="L462" i="1"/>
  <c r="K462" i="1"/>
  <c r="F462" i="1"/>
  <c r="AN461" i="1"/>
  <c r="AL461" i="1"/>
  <c r="AJ461" i="1"/>
  <c r="AI461" i="1"/>
  <c r="AH461" i="1"/>
  <c r="AG461" i="1"/>
  <c r="AF461" i="1"/>
  <c r="AE461" i="1"/>
  <c r="Z461" i="1"/>
  <c r="W461" i="1"/>
  <c r="U461" i="1"/>
  <c r="N461" i="1"/>
  <c r="M461" i="1"/>
  <c r="L461" i="1"/>
  <c r="K461" i="1"/>
  <c r="F461" i="1"/>
  <c r="AM461" i="1" s="1"/>
  <c r="AN460" i="1"/>
  <c r="AM460" i="1"/>
  <c r="AL460" i="1"/>
  <c r="AJ460" i="1"/>
  <c r="AI460" i="1"/>
  <c r="AH460" i="1"/>
  <c r="AG460" i="1"/>
  <c r="AF460" i="1"/>
  <c r="AE460" i="1"/>
  <c r="Z460" i="1"/>
  <c r="W460" i="1"/>
  <c r="U460" i="1"/>
  <c r="V460" i="1" s="1"/>
  <c r="R460" i="1"/>
  <c r="N460" i="1"/>
  <c r="M460" i="1"/>
  <c r="L460" i="1"/>
  <c r="K460" i="1"/>
  <c r="F460" i="1"/>
  <c r="AN459" i="1"/>
  <c r="AM459" i="1"/>
  <c r="AL459" i="1"/>
  <c r="AJ459" i="1"/>
  <c r="AI459" i="1"/>
  <c r="AH459" i="1"/>
  <c r="AG459" i="1"/>
  <c r="AF459" i="1"/>
  <c r="AE459" i="1"/>
  <c r="Z459" i="1"/>
  <c r="W459" i="1"/>
  <c r="V459" i="1"/>
  <c r="U459" i="1"/>
  <c r="R459" i="1"/>
  <c r="N459" i="1"/>
  <c r="M459" i="1"/>
  <c r="L459" i="1"/>
  <c r="K459" i="1"/>
  <c r="F459" i="1"/>
  <c r="AN458" i="1"/>
  <c r="AM458" i="1"/>
  <c r="AL458" i="1"/>
  <c r="AJ458" i="1"/>
  <c r="AI458" i="1"/>
  <c r="AH458" i="1"/>
  <c r="AG458" i="1"/>
  <c r="AF458" i="1"/>
  <c r="AE458" i="1"/>
  <c r="Z458" i="1"/>
  <c r="W458" i="1"/>
  <c r="V458" i="1"/>
  <c r="U458" i="1"/>
  <c r="R458" i="1"/>
  <c r="N458" i="1"/>
  <c r="M458" i="1"/>
  <c r="L458" i="1"/>
  <c r="K458" i="1"/>
  <c r="F458" i="1"/>
  <c r="AN457" i="1"/>
  <c r="AL457" i="1"/>
  <c r="AM457" i="1" s="1"/>
  <c r="AJ457" i="1"/>
  <c r="AI457" i="1"/>
  <c r="AH457" i="1"/>
  <c r="AG457" i="1"/>
  <c r="AF457" i="1"/>
  <c r="AE457" i="1"/>
  <c r="Z457" i="1"/>
  <c r="W457" i="1"/>
  <c r="V457" i="1"/>
  <c r="U457" i="1"/>
  <c r="R457" i="1"/>
  <c r="N457" i="1"/>
  <c r="M457" i="1"/>
  <c r="L457" i="1"/>
  <c r="K457" i="1"/>
  <c r="F457" i="1"/>
  <c r="AN456" i="1"/>
  <c r="AL456" i="1"/>
  <c r="AJ456" i="1"/>
  <c r="AI456" i="1"/>
  <c r="AH456" i="1"/>
  <c r="AG456" i="1"/>
  <c r="AF456" i="1"/>
  <c r="AE456" i="1"/>
  <c r="Z456" i="1"/>
  <c r="W456" i="1"/>
  <c r="U456" i="1"/>
  <c r="R456" i="1"/>
  <c r="N456" i="1"/>
  <c r="M456" i="1"/>
  <c r="L456" i="1"/>
  <c r="K456" i="1"/>
  <c r="F456" i="1"/>
  <c r="V456" i="1" s="1"/>
  <c r="AN455" i="1"/>
  <c r="AL455" i="1"/>
  <c r="AM455" i="1" s="1"/>
  <c r="AJ455" i="1"/>
  <c r="AI455" i="1"/>
  <c r="AH455" i="1"/>
  <c r="AG455" i="1"/>
  <c r="AF455" i="1"/>
  <c r="AE455" i="1"/>
  <c r="W455" i="1"/>
  <c r="U455" i="1"/>
  <c r="N455" i="1"/>
  <c r="M455" i="1"/>
  <c r="L455" i="1"/>
  <c r="K455" i="1"/>
  <c r="F455" i="1"/>
  <c r="V455" i="1" s="1"/>
  <c r="AN454" i="1"/>
  <c r="AM454" i="1"/>
  <c r="AL454" i="1"/>
  <c r="AJ454" i="1"/>
  <c r="AI454" i="1"/>
  <c r="AH454" i="1"/>
  <c r="AG454" i="1"/>
  <c r="AF454" i="1"/>
  <c r="AE454" i="1"/>
  <c r="W454" i="1"/>
  <c r="U454" i="1"/>
  <c r="V454" i="1" s="1"/>
  <c r="N454" i="1"/>
  <c r="M454" i="1"/>
  <c r="L454" i="1"/>
  <c r="K454" i="1"/>
  <c r="F454" i="1"/>
  <c r="AN453" i="1"/>
  <c r="AL453" i="1"/>
  <c r="AM453" i="1" s="1"/>
  <c r="AJ453" i="1"/>
  <c r="AI453" i="1"/>
  <c r="AH453" i="1"/>
  <c r="AG453" i="1"/>
  <c r="AF453" i="1"/>
  <c r="AE453" i="1"/>
  <c r="W453" i="1"/>
  <c r="U453" i="1"/>
  <c r="V453" i="1" s="1"/>
  <c r="N453" i="1"/>
  <c r="M453" i="1"/>
  <c r="L453" i="1"/>
  <c r="K453" i="1"/>
  <c r="F453" i="1"/>
  <c r="AN452" i="1"/>
  <c r="AL452" i="1"/>
  <c r="AM452" i="1" s="1"/>
  <c r="AJ452" i="1"/>
  <c r="AI452" i="1"/>
  <c r="AH452" i="1"/>
  <c r="AG452" i="1"/>
  <c r="AF452" i="1"/>
  <c r="AE452" i="1"/>
  <c r="W452" i="1"/>
  <c r="V452" i="1"/>
  <c r="U452" i="1"/>
  <c r="N452" i="1"/>
  <c r="M452" i="1"/>
  <c r="L452" i="1"/>
  <c r="K452" i="1"/>
  <c r="F452" i="1"/>
  <c r="AN451" i="1"/>
  <c r="AM451" i="1"/>
  <c r="AL451" i="1"/>
  <c r="AJ451" i="1"/>
  <c r="AI451" i="1"/>
  <c r="AH451" i="1"/>
  <c r="AG451" i="1"/>
  <c r="AF451" i="1"/>
  <c r="AE451" i="1"/>
  <c r="W451" i="1"/>
  <c r="U451" i="1"/>
  <c r="V451" i="1" s="1"/>
  <c r="N451" i="1"/>
  <c r="M451" i="1"/>
  <c r="L451" i="1"/>
  <c r="K451" i="1"/>
  <c r="F451" i="1"/>
  <c r="AN450" i="1"/>
  <c r="AL450" i="1"/>
  <c r="AM450" i="1" s="1"/>
  <c r="AJ450" i="1"/>
  <c r="AI450" i="1"/>
  <c r="AH450" i="1"/>
  <c r="AG450" i="1"/>
  <c r="AF450" i="1"/>
  <c r="AE450" i="1"/>
  <c r="W450" i="1"/>
  <c r="V450" i="1"/>
  <c r="U450" i="1"/>
  <c r="N450" i="1"/>
  <c r="M450" i="1"/>
  <c r="L450" i="1"/>
  <c r="K450" i="1"/>
  <c r="F450" i="1"/>
  <c r="AN449" i="1"/>
  <c r="AM449" i="1"/>
  <c r="AL449" i="1"/>
  <c r="AJ449" i="1"/>
  <c r="AI449" i="1"/>
  <c r="AH449" i="1"/>
  <c r="AG449" i="1"/>
  <c r="AF449" i="1"/>
  <c r="AE449" i="1"/>
  <c r="W449" i="1"/>
  <c r="V449" i="1"/>
  <c r="U449" i="1"/>
  <c r="N449" i="1"/>
  <c r="M449" i="1"/>
  <c r="L449" i="1"/>
  <c r="K449" i="1"/>
  <c r="F449" i="1"/>
  <c r="AN448" i="1"/>
  <c r="AL448" i="1"/>
  <c r="AJ448" i="1"/>
  <c r="AI448" i="1"/>
  <c r="AH448" i="1"/>
  <c r="AG448" i="1"/>
  <c r="AF448" i="1"/>
  <c r="AE448" i="1"/>
  <c r="W448" i="1"/>
  <c r="U448" i="1"/>
  <c r="N448" i="1"/>
  <c r="M448" i="1"/>
  <c r="L448" i="1"/>
  <c r="K448" i="1"/>
  <c r="F448" i="1"/>
  <c r="AM448" i="1" s="1"/>
  <c r="AN447" i="1"/>
  <c r="AL447" i="1"/>
  <c r="AM447" i="1" s="1"/>
  <c r="AJ447" i="1"/>
  <c r="AI447" i="1"/>
  <c r="AH447" i="1"/>
  <c r="AG447" i="1"/>
  <c r="AF447" i="1"/>
  <c r="AE447" i="1"/>
  <c r="W447" i="1"/>
  <c r="U447" i="1"/>
  <c r="N447" i="1"/>
  <c r="M447" i="1"/>
  <c r="L447" i="1"/>
  <c r="K447" i="1"/>
  <c r="F447" i="1"/>
  <c r="V447" i="1" s="1"/>
  <c r="AN446" i="1"/>
  <c r="AM446" i="1"/>
  <c r="AL446" i="1"/>
  <c r="AJ446" i="1"/>
  <c r="AI446" i="1"/>
  <c r="AH446" i="1"/>
  <c r="AG446" i="1"/>
  <c r="AF446" i="1"/>
  <c r="AE446" i="1"/>
  <c r="W446" i="1"/>
  <c r="U446" i="1"/>
  <c r="V446" i="1" s="1"/>
  <c r="N446" i="1"/>
  <c r="M446" i="1"/>
  <c r="L446" i="1"/>
  <c r="K446" i="1"/>
  <c r="F446" i="1"/>
  <c r="AN445" i="1"/>
  <c r="AL445" i="1"/>
  <c r="AM445" i="1" s="1"/>
  <c r="AJ445" i="1"/>
  <c r="AI445" i="1"/>
  <c r="AH445" i="1"/>
  <c r="AG445" i="1"/>
  <c r="AF445" i="1"/>
  <c r="AE445" i="1"/>
  <c r="W445" i="1"/>
  <c r="U445" i="1"/>
  <c r="V445" i="1" s="1"/>
  <c r="N445" i="1"/>
  <c r="M445" i="1"/>
  <c r="L445" i="1"/>
  <c r="K445" i="1"/>
  <c r="F445" i="1"/>
  <c r="AN444" i="1"/>
  <c r="AL444" i="1"/>
  <c r="AM444" i="1" s="1"/>
  <c r="AJ444" i="1"/>
  <c r="AI444" i="1"/>
  <c r="AH444" i="1"/>
  <c r="AG444" i="1"/>
  <c r="AF444" i="1"/>
  <c r="AE444" i="1"/>
  <c r="W444" i="1"/>
  <c r="V444" i="1"/>
  <c r="U444" i="1"/>
  <c r="N444" i="1"/>
  <c r="M444" i="1"/>
  <c r="L444" i="1"/>
  <c r="K444" i="1"/>
  <c r="F444" i="1"/>
  <c r="AN443" i="1"/>
  <c r="AM443" i="1"/>
  <c r="AL443" i="1"/>
  <c r="AJ443" i="1"/>
  <c r="AI443" i="1"/>
  <c r="AH443" i="1"/>
  <c r="AG443" i="1"/>
  <c r="AF443" i="1"/>
  <c r="AE443" i="1"/>
  <c r="W443" i="1"/>
  <c r="U443" i="1"/>
  <c r="V443" i="1" s="1"/>
  <c r="N443" i="1"/>
  <c r="M443" i="1"/>
  <c r="L443" i="1"/>
  <c r="K443" i="1"/>
  <c r="F443" i="1"/>
  <c r="AN442" i="1"/>
  <c r="AL442" i="1"/>
  <c r="AM442" i="1" s="1"/>
  <c r="AJ442" i="1"/>
  <c r="AI442" i="1"/>
  <c r="AH442" i="1"/>
  <c r="AG442" i="1"/>
  <c r="AF442" i="1"/>
  <c r="AE442" i="1"/>
  <c r="W442" i="1"/>
  <c r="V442" i="1"/>
  <c r="U442" i="1"/>
  <c r="N442" i="1"/>
  <c r="M442" i="1"/>
  <c r="L442" i="1"/>
  <c r="K442" i="1"/>
  <c r="F442" i="1"/>
  <c r="AN441" i="1"/>
  <c r="AM441" i="1"/>
  <c r="AL441" i="1"/>
  <c r="AJ441" i="1"/>
  <c r="AI441" i="1"/>
  <c r="AH441" i="1"/>
  <c r="AG441" i="1"/>
  <c r="AF441" i="1"/>
  <c r="AE441" i="1"/>
  <c r="W441" i="1"/>
  <c r="V441" i="1"/>
  <c r="U441" i="1"/>
  <c r="N441" i="1"/>
  <c r="M441" i="1"/>
  <c r="L441" i="1"/>
  <c r="K441" i="1"/>
  <c r="F441" i="1"/>
  <c r="AN440" i="1"/>
  <c r="AL440" i="1"/>
  <c r="AJ440" i="1"/>
  <c r="AI440" i="1"/>
  <c r="AH440" i="1"/>
  <c r="AG440" i="1"/>
  <c r="AF440" i="1"/>
  <c r="AE440" i="1"/>
  <c r="W440" i="1"/>
  <c r="U440" i="1"/>
  <c r="N440" i="1"/>
  <c r="M440" i="1"/>
  <c r="L440" i="1"/>
  <c r="K440" i="1"/>
  <c r="F440" i="1"/>
  <c r="AM440" i="1" s="1"/>
  <c r="AN439" i="1"/>
  <c r="AL439" i="1"/>
  <c r="AM439" i="1" s="1"/>
  <c r="AJ439" i="1"/>
  <c r="AI439" i="1"/>
  <c r="AH439" i="1"/>
  <c r="AG439" i="1"/>
  <c r="AF439" i="1"/>
  <c r="AE439" i="1"/>
  <c r="W439" i="1"/>
  <c r="U439" i="1"/>
  <c r="N439" i="1"/>
  <c r="M439" i="1"/>
  <c r="L439" i="1"/>
  <c r="K439" i="1"/>
  <c r="F439" i="1"/>
  <c r="V439" i="1" s="1"/>
  <c r="AN438" i="1"/>
  <c r="AL438" i="1"/>
  <c r="AJ438" i="1"/>
  <c r="AI438" i="1"/>
  <c r="AH438" i="1"/>
  <c r="AG438" i="1"/>
  <c r="AF438" i="1"/>
  <c r="AE438" i="1"/>
  <c r="Z438" i="1"/>
  <c r="W438" i="1"/>
  <c r="U438" i="1"/>
  <c r="V438" i="1" s="1"/>
  <c r="N438" i="1"/>
  <c r="M438" i="1"/>
  <c r="L438" i="1"/>
  <c r="K438" i="1"/>
  <c r="F438" i="1"/>
  <c r="AM438" i="1" s="1"/>
  <c r="AN437" i="1"/>
  <c r="AL437" i="1"/>
  <c r="AM437" i="1" s="1"/>
  <c r="AJ437" i="1"/>
  <c r="AI437" i="1"/>
  <c r="AH437" i="1"/>
  <c r="AG437" i="1"/>
  <c r="AF437" i="1"/>
  <c r="AE437" i="1"/>
  <c r="Z437" i="1"/>
  <c r="W437" i="1"/>
  <c r="U437" i="1"/>
  <c r="V437" i="1" s="1"/>
  <c r="N437" i="1"/>
  <c r="M437" i="1"/>
  <c r="L437" i="1"/>
  <c r="K437" i="1"/>
  <c r="F437" i="1"/>
  <c r="AN436" i="1"/>
  <c r="AL436" i="1"/>
  <c r="AM436" i="1" s="1"/>
  <c r="AJ436" i="1"/>
  <c r="AI436" i="1"/>
  <c r="AH436" i="1"/>
  <c r="AG436" i="1"/>
  <c r="AF436" i="1"/>
  <c r="AE436" i="1"/>
  <c r="Z436" i="1"/>
  <c r="W436" i="1"/>
  <c r="V436" i="1"/>
  <c r="U436" i="1"/>
  <c r="N436" i="1"/>
  <c r="M436" i="1"/>
  <c r="L436" i="1"/>
  <c r="K436" i="1"/>
  <c r="F436" i="1"/>
  <c r="AN435" i="1"/>
  <c r="AL435" i="1"/>
  <c r="AJ435" i="1"/>
  <c r="AI435" i="1"/>
  <c r="AH435" i="1"/>
  <c r="AG435" i="1"/>
  <c r="AF435" i="1"/>
  <c r="AE435" i="1"/>
  <c r="Z435" i="1"/>
  <c r="W435" i="1"/>
  <c r="U435" i="1"/>
  <c r="N435" i="1"/>
  <c r="M435" i="1"/>
  <c r="L435" i="1"/>
  <c r="K435" i="1"/>
  <c r="F435" i="1"/>
  <c r="AM435" i="1" s="1"/>
  <c r="AN434" i="1"/>
  <c r="AL434" i="1"/>
  <c r="AJ434" i="1"/>
  <c r="AI434" i="1"/>
  <c r="AH434" i="1"/>
  <c r="AG434" i="1"/>
  <c r="AF434" i="1"/>
  <c r="AE434" i="1"/>
  <c r="Z434" i="1"/>
  <c r="W434" i="1"/>
  <c r="U434" i="1"/>
  <c r="V434" i="1" s="1"/>
  <c r="N434" i="1"/>
  <c r="M434" i="1"/>
  <c r="L434" i="1"/>
  <c r="K434" i="1"/>
  <c r="F434" i="1"/>
  <c r="AM434" i="1" s="1"/>
  <c r="AN433" i="1"/>
  <c r="AL433" i="1"/>
  <c r="AM433" i="1" s="1"/>
  <c r="AJ433" i="1"/>
  <c r="AI433" i="1"/>
  <c r="AH433" i="1"/>
  <c r="AG433" i="1"/>
  <c r="AF433" i="1"/>
  <c r="AE433" i="1"/>
  <c r="Z433" i="1"/>
  <c r="W433" i="1"/>
  <c r="U433" i="1"/>
  <c r="V433" i="1" s="1"/>
  <c r="N433" i="1"/>
  <c r="M433" i="1"/>
  <c r="L433" i="1"/>
  <c r="K433" i="1"/>
  <c r="F433" i="1"/>
  <c r="AN432" i="1"/>
  <c r="AL432" i="1"/>
  <c r="AM432" i="1" s="1"/>
  <c r="AJ432" i="1"/>
  <c r="AI432" i="1"/>
  <c r="AH432" i="1"/>
  <c r="AG432" i="1"/>
  <c r="AF432" i="1"/>
  <c r="AE432" i="1"/>
  <c r="Z432" i="1"/>
  <c r="W432" i="1"/>
  <c r="V432" i="1"/>
  <c r="U432" i="1"/>
  <c r="N432" i="1"/>
  <c r="M432" i="1"/>
  <c r="L432" i="1"/>
  <c r="K432" i="1"/>
  <c r="F432" i="1"/>
  <c r="AN431" i="1"/>
  <c r="AL431" i="1"/>
  <c r="AJ431" i="1"/>
  <c r="AI431" i="1"/>
  <c r="AH431" i="1"/>
  <c r="AG431" i="1"/>
  <c r="AF431" i="1"/>
  <c r="AE431" i="1"/>
  <c r="Z431" i="1"/>
  <c r="W431" i="1"/>
  <c r="U431" i="1"/>
  <c r="N431" i="1"/>
  <c r="M431" i="1"/>
  <c r="L431" i="1"/>
  <c r="K431" i="1"/>
  <c r="F431" i="1"/>
  <c r="AM431" i="1" s="1"/>
  <c r="AN430" i="1"/>
  <c r="AL430" i="1"/>
  <c r="AJ430" i="1"/>
  <c r="AI430" i="1"/>
  <c r="AH430" i="1"/>
  <c r="AG430" i="1"/>
  <c r="AF430" i="1"/>
  <c r="AE430" i="1"/>
  <c r="Z430" i="1"/>
  <c r="W430" i="1"/>
  <c r="U430" i="1"/>
  <c r="V430" i="1" s="1"/>
  <c r="N430" i="1"/>
  <c r="M430" i="1"/>
  <c r="L430" i="1"/>
  <c r="K430" i="1"/>
  <c r="F430" i="1"/>
  <c r="AM430" i="1" s="1"/>
  <c r="AN429" i="1"/>
  <c r="AL429" i="1"/>
  <c r="AM429" i="1" s="1"/>
  <c r="AJ429" i="1"/>
  <c r="AI429" i="1"/>
  <c r="AH429" i="1"/>
  <c r="AG429" i="1"/>
  <c r="AF429" i="1"/>
  <c r="AE429" i="1"/>
  <c r="Z429" i="1"/>
  <c r="W429" i="1"/>
  <c r="U429" i="1"/>
  <c r="V429" i="1" s="1"/>
  <c r="N429" i="1"/>
  <c r="M429" i="1"/>
  <c r="L429" i="1"/>
  <c r="K429" i="1"/>
  <c r="F429" i="1"/>
  <c r="AN428" i="1"/>
  <c r="AL428" i="1"/>
  <c r="AM428" i="1" s="1"/>
  <c r="AJ428" i="1"/>
  <c r="AI428" i="1"/>
  <c r="AH428" i="1"/>
  <c r="AG428" i="1"/>
  <c r="AF428" i="1"/>
  <c r="AE428" i="1"/>
  <c r="Z428" i="1"/>
  <c r="W428" i="1"/>
  <c r="V428" i="1"/>
  <c r="U428" i="1"/>
  <c r="N428" i="1"/>
  <c r="M428" i="1"/>
  <c r="L428" i="1"/>
  <c r="K428" i="1"/>
  <c r="F428" i="1"/>
  <c r="AN427" i="1"/>
  <c r="AL427" i="1"/>
  <c r="AJ427" i="1"/>
  <c r="AI427" i="1"/>
  <c r="AH427" i="1"/>
  <c r="AG427" i="1"/>
  <c r="AF427" i="1"/>
  <c r="AE427" i="1"/>
  <c r="Z427" i="1"/>
  <c r="W427" i="1"/>
  <c r="U427" i="1"/>
  <c r="N427" i="1"/>
  <c r="M427" i="1"/>
  <c r="L427" i="1"/>
  <c r="K427" i="1"/>
  <c r="F427" i="1"/>
  <c r="AM427" i="1" s="1"/>
  <c r="AN426" i="1"/>
  <c r="AL426" i="1"/>
  <c r="AJ426" i="1"/>
  <c r="AI426" i="1"/>
  <c r="AH426" i="1"/>
  <c r="AG426" i="1"/>
  <c r="AF426" i="1"/>
  <c r="AE426" i="1"/>
  <c r="Z426" i="1"/>
  <c r="W426" i="1"/>
  <c r="U426" i="1"/>
  <c r="V426" i="1" s="1"/>
  <c r="N426" i="1"/>
  <c r="M426" i="1"/>
  <c r="L426" i="1"/>
  <c r="K426" i="1"/>
  <c r="F426" i="1"/>
  <c r="AM426" i="1" s="1"/>
  <c r="AN425" i="1"/>
  <c r="AL425" i="1"/>
  <c r="AM425" i="1" s="1"/>
  <c r="AJ425" i="1"/>
  <c r="AI425" i="1"/>
  <c r="AH425" i="1"/>
  <c r="AG425" i="1"/>
  <c r="AF425" i="1"/>
  <c r="AE425" i="1"/>
  <c r="Z425" i="1"/>
  <c r="W425" i="1"/>
  <c r="U425" i="1"/>
  <c r="V425" i="1" s="1"/>
  <c r="N425" i="1"/>
  <c r="M425" i="1"/>
  <c r="L425" i="1"/>
  <c r="K425" i="1"/>
  <c r="F425" i="1"/>
  <c r="AN424" i="1"/>
  <c r="AL424" i="1"/>
  <c r="AM424" i="1" s="1"/>
  <c r="AJ424" i="1"/>
  <c r="AI424" i="1"/>
  <c r="AH424" i="1"/>
  <c r="AG424" i="1"/>
  <c r="AF424" i="1"/>
  <c r="AE424" i="1"/>
  <c r="Z424" i="1"/>
  <c r="W424" i="1"/>
  <c r="V424" i="1"/>
  <c r="U424" i="1"/>
  <c r="N424" i="1"/>
  <c r="M424" i="1"/>
  <c r="L424" i="1"/>
  <c r="K424" i="1"/>
  <c r="F424" i="1"/>
  <c r="AN423" i="1"/>
  <c r="AM423" i="1"/>
  <c r="AL423" i="1"/>
  <c r="AJ423" i="1"/>
  <c r="AI423" i="1"/>
  <c r="AH423" i="1"/>
  <c r="AG423" i="1"/>
  <c r="AF423" i="1"/>
  <c r="AE423" i="1"/>
  <c r="Z423" i="1"/>
  <c r="W423" i="1"/>
  <c r="V423" i="1"/>
  <c r="U423" i="1"/>
  <c r="R423" i="1"/>
  <c r="N423" i="1"/>
  <c r="M423" i="1"/>
  <c r="L423" i="1"/>
  <c r="K423" i="1"/>
  <c r="F423" i="1"/>
  <c r="AN422" i="1"/>
  <c r="AL422" i="1"/>
  <c r="AM422" i="1" s="1"/>
  <c r="AJ422" i="1"/>
  <c r="AI422" i="1"/>
  <c r="AH422" i="1"/>
  <c r="AG422" i="1"/>
  <c r="AF422" i="1"/>
  <c r="AE422" i="1"/>
  <c r="Z422" i="1"/>
  <c r="W422" i="1"/>
  <c r="V422" i="1"/>
  <c r="U422" i="1"/>
  <c r="R422" i="1"/>
  <c r="N422" i="1"/>
  <c r="M422" i="1"/>
  <c r="L422" i="1"/>
  <c r="K422" i="1"/>
  <c r="F422" i="1"/>
  <c r="AN421" i="1"/>
  <c r="AL421" i="1"/>
  <c r="AJ421" i="1"/>
  <c r="AI421" i="1"/>
  <c r="AH421" i="1"/>
  <c r="AG421" i="1"/>
  <c r="AF421" i="1"/>
  <c r="AE421" i="1"/>
  <c r="Z421" i="1"/>
  <c r="W421" i="1"/>
  <c r="U421" i="1"/>
  <c r="R421" i="1"/>
  <c r="N421" i="1"/>
  <c r="M421" i="1"/>
  <c r="L421" i="1"/>
  <c r="K421" i="1"/>
  <c r="F421" i="1"/>
  <c r="V421" i="1" s="1"/>
  <c r="AN420" i="1"/>
  <c r="AL420" i="1"/>
  <c r="AM420" i="1" s="1"/>
  <c r="AJ420" i="1"/>
  <c r="AI420" i="1"/>
  <c r="AH420" i="1"/>
  <c r="AG420" i="1"/>
  <c r="AF420" i="1"/>
  <c r="AE420" i="1"/>
  <c r="Z420" i="1"/>
  <c r="W420" i="1"/>
  <c r="U420" i="1"/>
  <c r="V420" i="1" s="1"/>
  <c r="R420" i="1"/>
  <c r="N420" i="1"/>
  <c r="M420" i="1"/>
  <c r="L420" i="1"/>
  <c r="K420" i="1"/>
  <c r="F420" i="1"/>
  <c r="AN419" i="1"/>
  <c r="AL419" i="1"/>
  <c r="AM419" i="1" s="1"/>
  <c r="AJ419" i="1"/>
  <c r="AI419" i="1"/>
  <c r="AH419" i="1"/>
  <c r="AG419" i="1"/>
  <c r="AF419" i="1"/>
  <c r="AE419" i="1"/>
  <c r="Z419" i="1"/>
  <c r="W419" i="1"/>
  <c r="U419" i="1"/>
  <c r="V419" i="1" s="1"/>
  <c r="R419" i="1"/>
  <c r="N419" i="1"/>
  <c r="M419" i="1"/>
  <c r="L419" i="1"/>
  <c r="K419" i="1"/>
  <c r="F419" i="1"/>
  <c r="AN418" i="1"/>
  <c r="AM418" i="1"/>
  <c r="AL418" i="1"/>
  <c r="AJ418" i="1"/>
  <c r="AI418" i="1"/>
  <c r="AH418" i="1"/>
  <c r="AG418" i="1"/>
  <c r="AF418" i="1"/>
  <c r="AE418" i="1"/>
  <c r="Z418" i="1"/>
  <c r="W418" i="1"/>
  <c r="U418" i="1"/>
  <c r="V418" i="1" s="1"/>
  <c r="R418" i="1"/>
  <c r="N418" i="1"/>
  <c r="M418" i="1"/>
  <c r="L418" i="1"/>
  <c r="K418" i="1"/>
  <c r="F418" i="1"/>
  <c r="AN417" i="1"/>
  <c r="AM417" i="1"/>
  <c r="AL417" i="1"/>
  <c r="AJ417" i="1"/>
  <c r="AI417" i="1"/>
  <c r="AH417" i="1"/>
  <c r="AG417" i="1"/>
  <c r="AF417" i="1"/>
  <c r="AE417" i="1"/>
  <c r="Z417" i="1"/>
  <c r="W417" i="1"/>
  <c r="U417" i="1"/>
  <c r="V417" i="1" s="1"/>
  <c r="R417" i="1"/>
  <c r="N417" i="1"/>
  <c r="M417" i="1"/>
  <c r="L417" i="1"/>
  <c r="K417" i="1"/>
  <c r="F417" i="1"/>
  <c r="AN416" i="1"/>
  <c r="AM416" i="1"/>
  <c r="AL416" i="1"/>
  <c r="AJ416" i="1"/>
  <c r="AI416" i="1"/>
  <c r="AH416" i="1"/>
  <c r="AG416" i="1"/>
  <c r="AF416" i="1"/>
  <c r="AE416" i="1"/>
  <c r="Z416" i="1"/>
  <c r="W416" i="1"/>
  <c r="V416" i="1"/>
  <c r="U416" i="1"/>
  <c r="R416" i="1"/>
  <c r="N416" i="1"/>
  <c r="M416" i="1"/>
  <c r="L416" i="1"/>
  <c r="K416" i="1"/>
  <c r="F416" i="1"/>
  <c r="AN415" i="1"/>
  <c r="AM415" i="1"/>
  <c r="AL415" i="1"/>
  <c r="AJ415" i="1"/>
  <c r="AI415" i="1"/>
  <c r="AH415" i="1"/>
  <c r="AG415" i="1"/>
  <c r="AF415" i="1"/>
  <c r="AE415" i="1"/>
  <c r="Z415" i="1"/>
  <c r="W415" i="1"/>
  <c r="V415" i="1"/>
  <c r="U415" i="1"/>
  <c r="R415" i="1"/>
  <c r="N415" i="1"/>
  <c r="M415" i="1"/>
  <c r="L415" i="1"/>
  <c r="K415" i="1"/>
  <c r="F415" i="1"/>
  <c r="AN414" i="1"/>
  <c r="AL414" i="1"/>
  <c r="AM414" i="1" s="1"/>
  <c r="AJ414" i="1"/>
  <c r="AI414" i="1"/>
  <c r="AH414" i="1"/>
  <c r="AG414" i="1"/>
  <c r="AF414" i="1"/>
  <c r="AE414" i="1"/>
  <c r="W414" i="1"/>
  <c r="U414" i="1"/>
  <c r="V414" i="1" s="1"/>
  <c r="R414" i="1"/>
  <c r="N414" i="1"/>
  <c r="M414" i="1"/>
  <c r="L414" i="1"/>
  <c r="K414" i="1"/>
  <c r="F414" i="1"/>
  <c r="AN413" i="1"/>
  <c r="AM413" i="1"/>
  <c r="AL413" i="1"/>
  <c r="AJ413" i="1"/>
  <c r="AI413" i="1"/>
  <c r="AH413" i="1"/>
  <c r="AG413" i="1"/>
  <c r="AF413" i="1"/>
  <c r="AE413" i="1"/>
  <c r="Z413" i="1"/>
  <c r="W413" i="1"/>
  <c r="V413" i="1"/>
  <c r="U413" i="1"/>
  <c r="R413" i="1"/>
  <c r="N413" i="1"/>
  <c r="M413" i="1"/>
  <c r="L413" i="1"/>
  <c r="K413" i="1"/>
  <c r="F413" i="1"/>
  <c r="AN412" i="1"/>
  <c r="AM412" i="1"/>
  <c r="AL412" i="1"/>
  <c r="AJ412" i="1"/>
  <c r="AI412" i="1"/>
  <c r="AH412" i="1"/>
  <c r="AG412" i="1"/>
  <c r="AF412" i="1"/>
  <c r="AE412" i="1"/>
  <c r="Z412" i="1"/>
  <c r="W412" i="1"/>
  <c r="V412" i="1"/>
  <c r="U412" i="1"/>
  <c r="R412" i="1"/>
  <c r="N412" i="1"/>
  <c r="M412" i="1"/>
  <c r="L412" i="1"/>
  <c r="K412" i="1"/>
  <c r="F412" i="1"/>
  <c r="AN411" i="1"/>
  <c r="AL411" i="1"/>
  <c r="AM411" i="1" s="1"/>
  <c r="AJ411" i="1"/>
  <c r="AI411" i="1"/>
  <c r="AH411" i="1"/>
  <c r="AG411" i="1"/>
  <c r="AF411" i="1"/>
  <c r="AE411" i="1"/>
  <c r="Z411" i="1"/>
  <c r="W411" i="1"/>
  <c r="V411" i="1"/>
  <c r="U411" i="1"/>
  <c r="R411" i="1"/>
  <c r="N411" i="1"/>
  <c r="M411" i="1"/>
  <c r="L411" i="1"/>
  <c r="K411" i="1"/>
  <c r="F411" i="1"/>
  <c r="AN410" i="1"/>
  <c r="AL410" i="1"/>
  <c r="AJ410" i="1"/>
  <c r="AI410" i="1"/>
  <c r="AH410" i="1"/>
  <c r="AG410" i="1"/>
  <c r="AF410" i="1"/>
  <c r="AE410" i="1"/>
  <c r="Z410" i="1"/>
  <c r="W410" i="1"/>
  <c r="U410" i="1"/>
  <c r="R410" i="1"/>
  <c r="N410" i="1"/>
  <c r="M410" i="1"/>
  <c r="L410" i="1"/>
  <c r="K410" i="1"/>
  <c r="F410" i="1"/>
  <c r="V410" i="1" s="1"/>
  <c r="AN409" i="1"/>
  <c r="AL409" i="1"/>
  <c r="AM409" i="1" s="1"/>
  <c r="AJ409" i="1"/>
  <c r="AI409" i="1"/>
  <c r="AH409" i="1"/>
  <c r="AG409" i="1"/>
  <c r="AF409" i="1"/>
  <c r="AE409" i="1"/>
  <c r="Z409" i="1"/>
  <c r="W409" i="1"/>
  <c r="U409" i="1"/>
  <c r="V409" i="1" s="1"/>
  <c r="R409" i="1"/>
  <c r="N409" i="1"/>
  <c r="M409" i="1"/>
  <c r="L409" i="1"/>
  <c r="K409" i="1"/>
  <c r="F409" i="1"/>
  <c r="AN408" i="1"/>
  <c r="AL408" i="1"/>
  <c r="AJ408" i="1"/>
  <c r="AI408" i="1"/>
  <c r="AH408" i="1"/>
  <c r="AG408" i="1"/>
  <c r="AF408" i="1"/>
  <c r="AE408" i="1"/>
  <c r="Z408" i="1"/>
  <c r="W408" i="1"/>
  <c r="U408" i="1"/>
  <c r="R408" i="1"/>
  <c r="N408" i="1"/>
  <c r="M408" i="1"/>
  <c r="L408" i="1"/>
  <c r="K408" i="1"/>
  <c r="F408" i="1"/>
  <c r="AN407" i="1"/>
  <c r="AL407" i="1"/>
  <c r="AM407" i="1" s="1"/>
  <c r="AJ407" i="1"/>
  <c r="AI407" i="1"/>
  <c r="AH407" i="1"/>
  <c r="AG407" i="1"/>
  <c r="AF407" i="1"/>
  <c r="AE407" i="1"/>
  <c r="W407" i="1"/>
  <c r="V407" i="1"/>
  <c r="U407" i="1"/>
  <c r="R407" i="1"/>
  <c r="N407" i="1"/>
  <c r="M407" i="1"/>
  <c r="L407" i="1"/>
  <c r="K407" i="1"/>
  <c r="F407" i="1"/>
  <c r="AN406" i="1"/>
  <c r="AL406" i="1"/>
  <c r="AM406" i="1" s="1"/>
  <c r="AJ406" i="1"/>
  <c r="AI406" i="1"/>
  <c r="AH406" i="1"/>
  <c r="AG406" i="1"/>
  <c r="AF406" i="1"/>
  <c r="AE406" i="1"/>
  <c r="X406" i="1"/>
  <c r="W406" i="1"/>
  <c r="U406" i="1"/>
  <c r="V406" i="1" s="1"/>
  <c r="R406" i="1"/>
  <c r="N406" i="1"/>
  <c r="M406" i="1"/>
  <c r="L406" i="1"/>
  <c r="K406" i="1"/>
  <c r="F406" i="1"/>
  <c r="AN405" i="1"/>
  <c r="AL405" i="1"/>
  <c r="AJ405" i="1"/>
  <c r="AI405" i="1"/>
  <c r="AH405" i="1"/>
  <c r="AG405" i="1"/>
  <c r="AF405" i="1"/>
  <c r="AE405" i="1"/>
  <c r="X405" i="1"/>
  <c r="W405" i="1"/>
  <c r="U405" i="1"/>
  <c r="V405" i="1" s="1"/>
  <c r="R405" i="1"/>
  <c r="N405" i="1"/>
  <c r="M405" i="1"/>
  <c r="L405" i="1"/>
  <c r="K405" i="1"/>
  <c r="F405" i="1"/>
  <c r="AN404" i="1"/>
  <c r="AM404" i="1"/>
  <c r="AL404" i="1"/>
  <c r="AJ404" i="1"/>
  <c r="AI404" i="1"/>
  <c r="AH404" i="1"/>
  <c r="AG404" i="1"/>
  <c r="AF404" i="1"/>
  <c r="AE404" i="1"/>
  <c r="Z404" i="1"/>
  <c r="X404" i="1"/>
  <c r="W404" i="1" s="1"/>
  <c r="V404" i="1"/>
  <c r="U404" i="1"/>
  <c r="R404" i="1"/>
  <c r="N404" i="1"/>
  <c r="M404" i="1"/>
  <c r="L404" i="1"/>
  <c r="K404" i="1"/>
  <c r="F404" i="1"/>
  <c r="AN403" i="1"/>
  <c r="AL403" i="1"/>
  <c r="AJ403" i="1"/>
  <c r="AI403" i="1"/>
  <c r="AH403" i="1"/>
  <c r="AG403" i="1"/>
  <c r="AF403" i="1"/>
  <c r="AE403" i="1"/>
  <c r="Z403" i="1"/>
  <c r="X403" i="1"/>
  <c r="W403" i="1" s="1"/>
  <c r="U403" i="1"/>
  <c r="R403" i="1"/>
  <c r="N403" i="1"/>
  <c r="M403" i="1"/>
  <c r="L403" i="1"/>
  <c r="K403" i="1"/>
  <c r="F403" i="1"/>
  <c r="AN402" i="1"/>
  <c r="AM402" i="1"/>
  <c r="AL402" i="1"/>
  <c r="AJ402" i="1"/>
  <c r="AI402" i="1"/>
  <c r="AH402" i="1"/>
  <c r="AG402" i="1"/>
  <c r="AF402" i="1"/>
  <c r="AE402" i="1"/>
  <c r="Z402" i="1"/>
  <c r="X402" i="1"/>
  <c r="W402" i="1" s="1"/>
  <c r="V402" i="1"/>
  <c r="U402" i="1"/>
  <c r="R402" i="1"/>
  <c r="N402" i="1"/>
  <c r="M402" i="1"/>
  <c r="L402" i="1"/>
  <c r="K402" i="1"/>
  <c r="F402" i="1"/>
  <c r="AN401" i="1"/>
  <c r="AL401" i="1"/>
  <c r="AJ401" i="1"/>
  <c r="AI401" i="1"/>
  <c r="AH401" i="1"/>
  <c r="AG401" i="1"/>
  <c r="AF401" i="1"/>
  <c r="AE401" i="1"/>
  <c r="Z401" i="1"/>
  <c r="X401" i="1"/>
  <c r="W401" i="1" s="1"/>
  <c r="U401" i="1"/>
  <c r="R401" i="1"/>
  <c r="N401" i="1"/>
  <c r="M401" i="1"/>
  <c r="L401" i="1"/>
  <c r="K401" i="1"/>
  <c r="F401" i="1"/>
  <c r="AN400" i="1"/>
  <c r="AM400" i="1"/>
  <c r="AL400" i="1"/>
  <c r="AJ400" i="1"/>
  <c r="AI400" i="1"/>
  <c r="AH400" i="1"/>
  <c r="AG400" i="1"/>
  <c r="AF400" i="1"/>
  <c r="AE400" i="1"/>
  <c r="Z400" i="1"/>
  <c r="X400" i="1"/>
  <c r="W400" i="1" s="1"/>
  <c r="V400" i="1"/>
  <c r="U400" i="1"/>
  <c r="R400" i="1"/>
  <c r="N400" i="1"/>
  <c r="M400" i="1"/>
  <c r="L400" i="1"/>
  <c r="K400" i="1"/>
  <c r="F400" i="1"/>
  <c r="AN399" i="1"/>
  <c r="AL399" i="1"/>
  <c r="AJ399" i="1"/>
  <c r="AI399" i="1"/>
  <c r="AH399" i="1"/>
  <c r="AG399" i="1"/>
  <c r="AF399" i="1"/>
  <c r="AE399" i="1"/>
  <c r="Z399" i="1"/>
  <c r="X399" i="1"/>
  <c r="W399" i="1" s="1"/>
  <c r="U399" i="1"/>
  <c r="R399" i="1"/>
  <c r="N399" i="1"/>
  <c r="M399" i="1"/>
  <c r="L399" i="1"/>
  <c r="K399" i="1"/>
  <c r="F399" i="1"/>
  <c r="AN398" i="1"/>
  <c r="AL398" i="1"/>
  <c r="AM398" i="1" s="1"/>
  <c r="AJ398" i="1"/>
  <c r="AI398" i="1"/>
  <c r="AH398" i="1"/>
  <c r="AG398" i="1"/>
  <c r="AF398" i="1"/>
  <c r="AE398" i="1"/>
  <c r="Z398" i="1"/>
  <c r="X398" i="1"/>
  <c r="W398" i="1" s="1"/>
  <c r="V398" i="1"/>
  <c r="U398" i="1"/>
  <c r="R398" i="1"/>
  <c r="N398" i="1"/>
  <c r="M398" i="1"/>
  <c r="L398" i="1"/>
  <c r="K398" i="1"/>
  <c r="F398" i="1"/>
  <c r="AN397" i="1"/>
  <c r="AL397" i="1"/>
  <c r="AJ397" i="1"/>
  <c r="AI397" i="1"/>
  <c r="AH397" i="1"/>
  <c r="AG397" i="1"/>
  <c r="AF397" i="1"/>
  <c r="AE397" i="1"/>
  <c r="Z397" i="1"/>
  <c r="X397" i="1"/>
  <c r="W397" i="1" s="1"/>
  <c r="U397" i="1"/>
  <c r="R397" i="1"/>
  <c r="N397" i="1"/>
  <c r="M397" i="1"/>
  <c r="L397" i="1"/>
  <c r="K397" i="1"/>
  <c r="F397" i="1"/>
  <c r="AN396" i="1"/>
  <c r="AL396" i="1"/>
  <c r="AM396" i="1" s="1"/>
  <c r="AJ396" i="1"/>
  <c r="AI396" i="1"/>
  <c r="AH396" i="1"/>
  <c r="AG396" i="1"/>
  <c r="AF396" i="1"/>
  <c r="AE396" i="1"/>
  <c r="Z396" i="1"/>
  <c r="X396" i="1"/>
  <c r="W396" i="1" s="1"/>
  <c r="V396" i="1"/>
  <c r="U396" i="1"/>
  <c r="R396" i="1"/>
  <c r="N396" i="1"/>
  <c r="M396" i="1"/>
  <c r="L396" i="1"/>
  <c r="K396" i="1"/>
  <c r="F396" i="1"/>
  <c r="AN395" i="1"/>
  <c r="AL395" i="1"/>
  <c r="AJ395" i="1"/>
  <c r="AI395" i="1"/>
  <c r="AH395" i="1"/>
  <c r="AG395" i="1"/>
  <c r="AF395" i="1"/>
  <c r="AE395" i="1"/>
  <c r="Z395" i="1"/>
  <c r="X395" i="1"/>
  <c r="W395" i="1"/>
  <c r="U395" i="1"/>
  <c r="V395" i="1" s="1"/>
  <c r="R395" i="1"/>
  <c r="N395" i="1"/>
  <c r="M395" i="1"/>
  <c r="L395" i="1"/>
  <c r="K395" i="1"/>
  <c r="F395" i="1"/>
  <c r="AN394" i="1"/>
  <c r="AL394" i="1"/>
  <c r="AM394" i="1" s="1"/>
  <c r="AJ394" i="1"/>
  <c r="AI394" i="1"/>
  <c r="AH394" i="1"/>
  <c r="AG394" i="1"/>
  <c r="AF394" i="1"/>
  <c r="AE394" i="1"/>
  <c r="Z394" i="1"/>
  <c r="X394" i="1"/>
  <c r="W394" i="1" s="1"/>
  <c r="V394" i="1"/>
  <c r="U394" i="1"/>
  <c r="R394" i="1"/>
  <c r="N394" i="1"/>
  <c r="M394" i="1"/>
  <c r="L394" i="1"/>
  <c r="K394" i="1"/>
  <c r="F394" i="1"/>
  <c r="AN393" i="1"/>
  <c r="AL393" i="1"/>
  <c r="AJ393" i="1"/>
  <c r="AI393" i="1"/>
  <c r="AH393" i="1"/>
  <c r="AG393" i="1"/>
  <c r="AF393" i="1"/>
  <c r="AE393" i="1"/>
  <c r="Z393" i="1"/>
  <c r="X393" i="1"/>
  <c r="W393" i="1"/>
  <c r="U393" i="1"/>
  <c r="V393" i="1" s="1"/>
  <c r="R393" i="1"/>
  <c r="N393" i="1"/>
  <c r="M393" i="1"/>
  <c r="L393" i="1"/>
  <c r="K393" i="1"/>
  <c r="F393" i="1"/>
  <c r="AN392" i="1"/>
  <c r="AM392" i="1"/>
  <c r="AL392" i="1"/>
  <c r="AJ392" i="1"/>
  <c r="AI392" i="1"/>
  <c r="AH392" i="1"/>
  <c r="AG392" i="1"/>
  <c r="AF392" i="1"/>
  <c r="AE392" i="1"/>
  <c r="Z392" i="1"/>
  <c r="X392" i="1"/>
  <c r="W392" i="1" s="1"/>
  <c r="V392" i="1"/>
  <c r="U392" i="1"/>
  <c r="R392" i="1"/>
  <c r="N392" i="1"/>
  <c r="M392" i="1"/>
  <c r="L392" i="1"/>
  <c r="K392" i="1"/>
  <c r="F392" i="1"/>
  <c r="AN391" i="1"/>
  <c r="AL391" i="1"/>
  <c r="AJ391" i="1"/>
  <c r="AI391" i="1"/>
  <c r="AH391" i="1"/>
  <c r="AG391" i="1"/>
  <c r="AF391" i="1"/>
  <c r="AE391" i="1"/>
  <c r="Z391" i="1"/>
  <c r="X391" i="1"/>
  <c r="W391" i="1"/>
  <c r="U391" i="1"/>
  <c r="V391" i="1" s="1"/>
  <c r="R391" i="1"/>
  <c r="N391" i="1"/>
  <c r="M391" i="1"/>
  <c r="L391" i="1"/>
  <c r="K391" i="1"/>
  <c r="F391" i="1"/>
  <c r="AN390" i="1"/>
  <c r="AM390" i="1"/>
  <c r="AL390" i="1"/>
  <c r="AJ390" i="1"/>
  <c r="AI390" i="1"/>
  <c r="AH390" i="1"/>
  <c r="AG390" i="1"/>
  <c r="AF390" i="1"/>
  <c r="AE390" i="1"/>
  <c r="Z390" i="1"/>
  <c r="X390" i="1"/>
  <c r="W390" i="1" s="1"/>
  <c r="U390" i="1"/>
  <c r="V390" i="1" s="1"/>
  <c r="R390" i="1"/>
  <c r="N390" i="1"/>
  <c r="M390" i="1"/>
  <c r="L390" i="1"/>
  <c r="K390" i="1"/>
  <c r="F390" i="1"/>
  <c r="AN389" i="1"/>
  <c r="AM389" i="1"/>
  <c r="AL389" i="1"/>
  <c r="AJ389" i="1"/>
  <c r="AI389" i="1"/>
  <c r="AH389" i="1"/>
  <c r="AG389" i="1"/>
  <c r="AF389" i="1"/>
  <c r="AE389" i="1"/>
  <c r="X389" i="1"/>
  <c r="W389" i="1" s="1"/>
  <c r="V389" i="1"/>
  <c r="U389" i="1"/>
  <c r="R389" i="1"/>
  <c r="N389" i="1"/>
  <c r="M389" i="1"/>
  <c r="L389" i="1"/>
  <c r="K389" i="1"/>
  <c r="F389" i="1"/>
  <c r="AN388" i="1"/>
  <c r="AL388" i="1"/>
  <c r="AJ388" i="1"/>
  <c r="AI388" i="1"/>
  <c r="AH388" i="1"/>
  <c r="AG388" i="1"/>
  <c r="AF388" i="1"/>
  <c r="AE388" i="1"/>
  <c r="X388" i="1"/>
  <c r="W388" i="1"/>
  <c r="V388" i="1"/>
  <c r="U388" i="1"/>
  <c r="R388" i="1"/>
  <c r="N388" i="1"/>
  <c r="M388" i="1"/>
  <c r="L388" i="1"/>
  <c r="K388" i="1"/>
  <c r="F388" i="1"/>
  <c r="AN387" i="1"/>
  <c r="AL387" i="1"/>
  <c r="AM387" i="1" s="1"/>
  <c r="AJ387" i="1"/>
  <c r="AI387" i="1"/>
  <c r="AH387" i="1"/>
  <c r="AG387" i="1"/>
  <c r="AF387" i="1"/>
  <c r="AE387" i="1"/>
  <c r="Z387" i="1"/>
  <c r="X387" i="1"/>
  <c r="W387" i="1" s="1"/>
  <c r="U387" i="1"/>
  <c r="V387" i="1" s="1"/>
  <c r="R387" i="1"/>
  <c r="N387" i="1"/>
  <c r="M387" i="1"/>
  <c r="L387" i="1"/>
  <c r="K387" i="1"/>
  <c r="F387" i="1"/>
  <c r="AN386" i="1"/>
  <c r="AL386" i="1"/>
  <c r="AJ386" i="1"/>
  <c r="AI386" i="1"/>
  <c r="AH386" i="1"/>
  <c r="AG386" i="1"/>
  <c r="AF386" i="1"/>
  <c r="AE386" i="1"/>
  <c r="Z386" i="1"/>
  <c r="X386" i="1"/>
  <c r="W386" i="1"/>
  <c r="U386" i="1"/>
  <c r="R386" i="1"/>
  <c r="N386" i="1"/>
  <c r="M386" i="1"/>
  <c r="L386" i="1"/>
  <c r="K386" i="1"/>
  <c r="F386" i="1"/>
  <c r="AN385" i="1"/>
  <c r="AL385" i="1"/>
  <c r="AJ385" i="1"/>
  <c r="AI385" i="1"/>
  <c r="AH385" i="1"/>
  <c r="AG385" i="1"/>
  <c r="AF385" i="1"/>
  <c r="AE385" i="1"/>
  <c r="Z385" i="1"/>
  <c r="X385" i="1"/>
  <c r="W385" i="1"/>
  <c r="U385" i="1"/>
  <c r="V385" i="1" s="1"/>
  <c r="R385" i="1"/>
  <c r="N385" i="1"/>
  <c r="M385" i="1"/>
  <c r="L385" i="1"/>
  <c r="K385" i="1"/>
  <c r="F385" i="1"/>
  <c r="AN384" i="1"/>
  <c r="AM384" i="1"/>
  <c r="AL384" i="1"/>
  <c r="AJ384" i="1"/>
  <c r="AI384" i="1"/>
  <c r="AH384" i="1"/>
  <c r="AG384" i="1"/>
  <c r="AF384" i="1"/>
  <c r="AE384" i="1"/>
  <c r="Z384" i="1"/>
  <c r="X384" i="1"/>
  <c r="W384" i="1"/>
  <c r="V384" i="1"/>
  <c r="U384" i="1"/>
  <c r="R384" i="1"/>
  <c r="N384" i="1"/>
  <c r="M384" i="1"/>
  <c r="L384" i="1"/>
  <c r="K384" i="1"/>
  <c r="F384" i="1"/>
  <c r="AN383" i="1"/>
  <c r="AL383" i="1"/>
  <c r="AJ383" i="1"/>
  <c r="AI383" i="1"/>
  <c r="AH383" i="1"/>
  <c r="AG383" i="1"/>
  <c r="AF383" i="1"/>
  <c r="AE383" i="1"/>
  <c r="Z383" i="1"/>
  <c r="X383" i="1"/>
  <c r="W383" i="1"/>
  <c r="V383" i="1"/>
  <c r="U383" i="1"/>
  <c r="R383" i="1"/>
  <c r="N383" i="1"/>
  <c r="M383" i="1"/>
  <c r="L383" i="1"/>
  <c r="K383" i="1"/>
  <c r="F383" i="1"/>
  <c r="AN382" i="1"/>
  <c r="AL382" i="1"/>
  <c r="AJ382" i="1"/>
  <c r="AI382" i="1"/>
  <c r="AH382" i="1"/>
  <c r="AG382" i="1"/>
  <c r="AF382" i="1"/>
  <c r="AE382" i="1"/>
  <c r="X382" i="1"/>
  <c r="W382" i="1" s="1"/>
  <c r="U382" i="1"/>
  <c r="V382" i="1" s="1"/>
  <c r="R382" i="1"/>
  <c r="N382" i="1"/>
  <c r="M382" i="1"/>
  <c r="L382" i="1"/>
  <c r="K382" i="1"/>
  <c r="F382" i="1"/>
  <c r="AM382" i="1" s="1"/>
  <c r="AN381" i="1"/>
  <c r="AL381" i="1"/>
  <c r="AJ381" i="1"/>
  <c r="AI381" i="1"/>
  <c r="AH381" i="1"/>
  <c r="AG381" i="1"/>
  <c r="AF381" i="1"/>
  <c r="AE381" i="1"/>
  <c r="Z381" i="1"/>
  <c r="X381" i="1"/>
  <c r="W381" i="1"/>
  <c r="U381" i="1"/>
  <c r="V381" i="1" s="1"/>
  <c r="R381" i="1"/>
  <c r="N381" i="1"/>
  <c r="M381" i="1"/>
  <c r="L381" i="1"/>
  <c r="K381" i="1"/>
  <c r="F381" i="1"/>
  <c r="AM381" i="1" s="1"/>
  <c r="AN380" i="1"/>
  <c r="AL380" i="1"/>
  <c r="AM380" i="1" s="1"/>
  <c r="AJ380" i="1"/>
  <c r="AI380" i="1"/>
  <c r="AH380" i="1"/>
  <c r="AG380" i="1"/>
  <c r="AF380" i="1"/>
  <c r="AE380" i="1"/>
  <c r="Z380" i="1"/>
  <c r="X380" i="1"/>
  <c r="W380" i="1" s="1"/>
  <c r="U380" i="1"/>
  <c r="V380" i="1" s="1"/>
  <c r="R380" i="1"/>
  <c r="N380" i="1"/>
  <c r="M380" i="1"/>
  <c r="L380" i="1"/>
  <c r="K380" i="1"/>
  <c r="F380" i="1"/>
  <c r="AN379" i="1"/>
  <c r="AM379" i="1"/>
  <c r="AL379" i="1"/>
  <c r="AJ379" i="1"/>
  <c r="AI379" i="1"/>
  <c r="AH379" i="1"/>
  <c r="AG379" i="1"/>
  <c r="AF379" i="1"/>
  <c r="AE379" i="1"/>
  <c r="X379" i="1"/>
  <c r="W379" i="1" s="1"/>
  <c r="U379" i="1"/>
  <c r="V379" i="1" s="1"/>
  <c r="R379" i="1"/>
  <c r="N379" i="1"/>
  <c r="M379" i="1"/>
  <c r="L379" i="1"/>
  <c r="K379" i="1"/>
  <c r="F379" i="1"/>
  <c r="AN378" i="1"/>
  <c r="AM378" i="1"/>
  <c r="AL378" i="1"/>
  <c r="AJ378" i="1"/>
  <c r="AI378" i="1"/>
  <c r="AH378" i="1"/>
  <c r="AG378" i="1"/>
  <c r="AF378" i="1"/>
  <c r="AE378" i="1"/>
  <c r="X378" i="1"/>
  <c r="W378" i="1" s="1"/>
  <c r="U378" i="1"/>
  <c r="V378" i="1" s="1"/>
  <c r="R378" i="1"/>
  <c r="N378" i="1"/>
  <c r="M378" i="1"/>
  <c r="L378" i="1"/>
  <c r="K378" i="1"/>
  <c r="F378" i="1"/>
  <c r="AN377" i="1"/>
  <c r="AM377" i="1"/>
  <c r="AL377" i="1"/>
  <c r="AJ377" i="1"/>
  <c r="AI377" i="1"/>
  <c r="AH377" i="1"/>
  <c r="AG377" i="1"/>
  <c r="AF377" i="1"/>
  <c r="AE377" i="1"/>
  <c r="Z377" i="1"/>
  <c r="X377" i="1"/>
  <c r="W377" i="1" s="1"/>
  <c r="U377" i="1"/>
  <c r="V377" i="1" s="1"/>
  <c r="R377" i="1"/>
  <c r="N377" i="1"/>
  <c r="M377" i="1"/>
  <c r="L377" i="1"/>
  <c r="K377" i="1"/>
  <c r="F377" i="1"/>
  <c r="AN376" i="1"/>
  <c r="AM376" i="1"/>
  <c r="AL376" i="1"/>
  <c r="AJ376" i="1"/>
  <c r="AI376" i="1"/>
  <c r="AH376" i="1"/>
  <c r="AG376" i="1"/>
  <c r="AF376" i="1"/>
  <c r="AE376" i="1"/>
  <c r="X376" i="1"/>
  <c r="W376" i="1" s="1"/>
  <c r="V376" i="1"/>
  <c r="U376" i="1"/>
  <c r="R376" i="1"/>
  <c r="N376" i="1"/>
  <c r="M376" i="1"/>
  <c r="L376" i="1"/>
  <c r="K376" i="1"/>
  <c r="F376" i="1"/>
  <c r="AN375" i="1"/>
  <c r="AL375" i="1"/>
  <c r="AM375" i="1" s="1"/>
  <c r="AJ375" i="1"/>
  <c r="AI375" i="1"/>
  <c r="AH375" i="1"/>
  <c r="AG375" i="1"/>
  <c r="AF375" i="1"/>
  <c r="AE375" i="1"/>
  <c r="X375" i="1"/>
  <c r="W375" i="1" s="1"/>
  <c r="V375" i="1"/>
  <c r="U375" i="1"/>
  <c r="R375" i="1"/>
  <c r="N375" i="1"/>
  <c r="M375" i="1"/>
  <c r="L375" i="1"/>
  <c r="K375" i="1"/>
  <c r="F375" i="1"/>
  <c r="AN374" i="1"/>
  <c r="AL374" i="1"/>
  <c r="AJ374" i="1"/>
  <c r="AI374" i="1"/>
  <c r="AH374" i="1"/>
  <c r="AG374" i="1"/>
  <c r="AF374" i="1"/>
  <c r="AE374" i="1"/>
  <c r="Z374" i="1"/>
  <c r="X374" i="1"/>
  <c r="W374" i="1"/>
  <c r="U374" i="1"/>
  <c r="V374" i="1" s="1"/>
  <c r="R374" i="1"/>
  <c r="N374" i="1"/>
  <c r="M374" i="1"/>
  <c r="L374" i="1"/>
  <c r="K374" i="1"/>
  <c r="F374" i="1"/>
  <c r="AM374" i="1" s="1"/>
  <c r="AN373" i="1"/>
  <c r="AM373" i="1"/>
  <c r="AL373" i="1"/>
  <c r="AJ373" i="1"/>
  <c r="AI373" i="1"/>
  <c r="AH373" i="1"/>
  <c r="AG373" i="1"/>
  <c r="AF373" i="1"/>
  <c r="AE373" i="1"/>
  <c r="Z373" i="1"/>
  <c r="X373" i="1"/>
  <c r="W373" i="1" s="1"/>
  <c r="V373" i="1"/>
  <c r="U373" i="1"/>
  <c r="R373" i="1"/>
  <c r="N373" i="1"/>
  <c r="M373" i="1"/>
  <c r="L373" i="1"/>
  <c r="K373" i="1"/>
  <c r="F373" i="1"/>
  <c r="AN372" i="1"/>
  <c r="AM372" i="1"/>
  <c r="AL372" i="1"/>
  <c r="AJ372" i="1"/>
  <c r="AI372" i="1"/>
  <c r="AH372" i="1"/>
  <c r="AG372" i="1"/>
  <c r="AF372" i="1"/>
  <c r="AE372" i="1"/>
  <c r="X372" i="1"/>
  <c r="W372" i="1" s="1"/>
  <c r="U372" i="1"/>
  <c r="V372" i="1" s="1"/>
  <c r="R372" i="1"/>
  <c r="N372" i="1"/>
  <c r="M372" i="1"/>
  <c r="L372" i="1"/>
  <c r="K372" i="1"/>
  <c r="F372" i="1"/>
  <c r="AN371" i="1"/>
  <c r="AM371" i="1"/>
  <c r="AL371" i="1"/>
  <c r="AJ371" i="1"/>
  <c r="AI371" i="1"/>
  <c r="AH371" i="1"/>
  <c r="AG371" i="1"/>
  <c r="AF371" i="1"/>
  <c r="AE371" i="1"/>
  <c r="X371" i="1"/>
  <c r="W371" i="1" s="1"/>
  <c r="V371" i="1"/>
  <c r="U371" i="1"/>
  <c r="R371" i="1"/>
  <c r="N371" i="1"/>
  <c r="M371" i="1"/>
  <c r="L371" i="1"/>
  <c r="K371" i="1"/>
  <c r="F371" i="1"/>
  <c r="AN370" i="1"/>
  <c r="AM370" i="1"/>
  <c r="AL370" i="1"/>
  <c r="AJ370" i="1"/>
  <c r="AI370" i="1"/>
  <c r="AH370" i="1"/>
  <c r="AG370" i="1"/>
  <c r="AF370" i="1"/>
  <c r="AE370" i="1"/>
  <c r="X370" i="1"/>
  <c r="W370" i="1" s="1"/>
  <c r="V370" i="1"/>
  <c r="U370" i="1"/>
  <c r="R370" i="1"/>
  <c r="N370" i="1"/>
  <c r="M370" i="1"/>
  <c r="L370" i="1"/>
  <c r="K370" i="1"/>
  <c r="F370" i="1"/>
  <c r="AN369" i="1"/>
  <c r="AL369" i="1"/>
  <c r="AJ369" i="1"/>
  <c r="AI369" i="1"/>
  <c r="AH369" i="1"/>
  <c r="AG369" i="1"/>
  <c r="AF369" i="1"/>
  <c r="AE369" i="1"/>
  <c r="X369" i="1"/>
  <c r="W369" i="1"/>
  <c r="U369" i="1"/>
  <c r="V369" i="1" s="1"/>
  <c r="R369" i="1"/>
  <c r="N369" i="1"/>
  <c r="M369" i="1"/>
  <c r="L369" i="1"/>
  <c r="K369" i="1"/>
  <c r="F369" i="1"/>
  <c r="AN368" i="1"/>
  <c r="AM368" i="1"/>
  <c r="AL368" i="1"/>
  <c r="AJ368" i="1"/>
  <c r="AI368" i="1"/>
  <c r="AH368" i="1"/>
  <c r="AG368" i="1"/>
  <c r="AF368" i="1"/>
  <c r="AE368" i="1"/>
  <c r="X368" i="1"/>
  <c r="W368" i="1" s="1"/>
  <c r="V368" i="1"/>
  <c r="U368" i="1"/>
  <c r="R368" i="1"/>
  <c r="N368" i="1"/>
  <c r="M368" i="1"/>
  <c r="L368" i="1"/>
  <c r="K368" i="1"/>
  <c r="F368" i="1"/>
  <c r="AN367" i="1"/>
  <c r="AM367" i="1"/>
  <c r="AL367" i="1"/>
  <c r="AJ367" i="1"/>
  <c r="AI367" i="1"/>
  <c r="AH367" i="1"/>
  <c r="AG367" i="1"/>
  <c r="AF367" i="1"/>
  <c r="AE367" i="1"/>
  <c r="Z367" i="1"/>
  <c r="X367" i="1"/>
  <c r="W367" i="1" s="1"/>
  <c r="V367" i="1"/>
  <c r="U367" i="1"/>
  <c r="R367" i="1"/>
  <c r="N367" i="1"/>
  <c r="M367" i="1"/>
  <c r="L367" i="1"/>
  <c r="K367" i="1"/>
  <c r="F367" i="1"/>
  <c r="AN366" i="1"/>
  <c r="AL366" i="1"/>
  <c r="AJ366" i="1"/>
  <c r="AI366" i="1"/>
  <c r="AH366" i="1"/>
  <c r="AG366" i="1"/>
  <c r="AF366" i="1"/>
  <c r="AE366" i="1"/>
  <c r="Z366" i="1"/>
  <c r="X366" i="1"/>
  <c r="W366" i="1"/>
  <c r="U366" i="1"/>
  <c r="V366" i="1" s="1"/>
  <c r="R366" i="1"/>
  <c r="N366" i="1"/>
  <c r="M366" i="1"/>
  <c r="L366" i="1"/>
  <c r="K366" i="1"/>
  <c r="F366" i="1"/>
  <c r="AM366" i="1" s="1"/>
  <c r="AN365" i="1"/>
  <c r="AM365" i="1"/>
  <c r="AL365" i="1"/>
  <c r="AJ365" i="1"/>
  <c r="AI365" i="1"/>
  <c r="AH365" i="1"/>
  <c r="AG365" i="1"/>
  <c r="AF365" i="1"/>
  <c r="AE365" i="1"/>
  <c r="Z365" i="1"/>
  <c r="X365" i="1"/>
  <c r="W365" i="1" s="1"/>
  <c r="U365" i="1"/>
  <c r="V365" i="1" s="1"/>
  <c r="R365" i="1"/>
  <c r="N365" i="1"/>
  <c r="M365" i="1"/>
  <c r="L365" i="1"/>
  <c r="K365" i="1"/>
  <c r="F365" i="1"/>
  <c r="AN364" i="1"/>
  <c r="AM364" i="1"/>
  <c r="AL364" i="1"/>
  <c r="AJ364" i="1"/>
  <c r="AI364" i="1"/>
  <c r="AH364" i="1"/>
  <c r="AG364" i="1"/>
  <c r="AF364" i="1"/>
  <c r="AE364" i="1"/>
  <c r="Z364" i="1"/>
  <c r="X364" i="1"/>
  <c r="W364" i="1" s="1"/>
  <c r="V364" i="1"/>
  <c r="U364" i="1"/>
  <c r="R364" i="1"/>
  <c r="N364" i="1"/>
  <c r="M364" i="1"/>
  <c r="L364" i="1"/>
  <c r="K364" i="1"/>
  <c r="F364" i="1"/>
  <c r="AN363" i="1"/>
  <c r="AL363" i="1"/>
  <c r="AM363" i="1" s="1"/>
  <c r="AJ363" i="1"/>
  <c r="AI363" i="1"/>
  <c r="AH363" i="1"/>
  <c r="AG363" i="1"/>
  <c r="AF363" i="1"/>
  <c r="AE363" i="1"/>
  <c r="Z363" i="1"/>
  <c r="X363" i="1"/>
  <c r="W363" i="1" s="1"/>
  <c r="V363" i="1"/>
  <c r="U363" i="1"/>
  <c r="R363" i="1"/>
  <c r="N363" i="1"/>
  <c r="M363" i="1"/>
  <c r="L363" i="1"/>
  <c r="K363" i="1"/>
  <c r="F363" i="1"/>
  <c r="AN362" i="1"/>
  <c r="AL362" i="1"/>
  <c r="AM362" i="1" s="1"/>
  <c r="AJ362" i="1"/>
  <c r="AI362" i="1"/>
  <c r="AH362" i="1"/>
  <c r="AG362" i="1"/>
  <c r="AF362" i="1"/>
  <c r="AE362" i="1"/>
  <c r="X362" i="1"/>
  <c r="W362" i="1"/>
  <c r="U362" i="1"/>
  <c r="R362" i="1"/>
  <c r="N362" i="1"/>
  <c r="M362" i="1"/>
  <c r="L362" i="1"/>
  <c r="K362" i="1"/>
  <c r="F362" i="1"/>
  <c r="V362" i="1" s="1"/>
  <c r="AN361" i="1"/>
  <c r="AL361" i="1"/>
  <c r="AM361" i="1" s="1"/>
  <c r="AJ361" i="1"/>
  <c r="AI361" i="1"/>
  <c r="AH361" i="1"/>
  <c r="AG361" i="1"/>
  <c r="AF361" i="1"/>
  <c r="AE361" i="1"/>
  <c r="X361" i="1"/>
  <c r="W361" i="1"/>
  <c r="U361" i="1"/>
  <c r="R361" i="1"/>
  <c r="N361" i="1"/>
  <c r="M361" i="1"/>
  <c r="L361" i="1"/>
  <c r="K361" i="1"/>
  <c r="F361" i="1"/>
  <c r="V361" i="1" s="1"/>
  <c r="AN360" i="1"/>
  <c r="AL360" i="1"/>
  <c r="AJ360" i="1"/>
  <c r="AI360" i="1"/>
  <c r="AH360" i="1"/>
  <c r="AG360" i="1"/>
  <c r="AF360" i="1"/>
  <c r="AE360" i="1"/>
  <c r="X360" i="1"/>
  <c r="W360" i="1"/>
  <c r="U360" i="1"/>
  <c r="R360" i="1"/>
  <c r="N360" i="1"/>
  <c r="M360" i="1"/>
  <c r="L360" i="1"/>
  <c r="K360" i="1"/>
  <c r="F360" i="1"/>
  <c r="V360" i="1" s="1"/>
  <c r="AN359" i="1"/>
  <c r="AL359" i="1"/>
  <c r="AM359" i="1" s="1"/>
  <c r="AJ359" i="1"/>
  <c r="AI359" i="1"/>
  <c r="AH359" i="1"/>
  <c r="AG359" i="1"/>
  <c r="AF359" i="1"/>
  <c r="AE359" i="1"/>
  <c r="X359" i="1"/>
  <c r="W359" i="1"/>
  <c r="U359" i="1"/>
  <c r="R359" i="1"/>
  <c r="N359" i="1"/>
  <c r="M359" i="1"/>
  <c r="L359" i="1"/>
  <c r="K359" i="1"/>
  <c r="F359" i="1"/>
  <c r="V359" i="1" s="1"/>
  <c r="AN358" i="1"/>
  <c r="AL358" i="1"/>
  <c r="AM358" i="1" s="1"/>
  <c r="AJ358" i="1"/>
  <c r="AI358" i="1"/>
  <c r="AH358" i="1"/>
  <c r="AG358" i="1"/>
  <c r="AF358" i="1"/>
  <c r="AE358" i="1"/>
  <c r="X358" i="1"/>
  <c r="W358" i="1"/>
  <c r="U358" i="1"/>
  <c r="R358" i="1"/>
  <c r="N358" i="1"/>
  <c r="M358" i="1"/>
  <c r="L358" i="1"/>
  <c r="K358" i="1"/>
  <c r="F358" i="1"/>
  <c r="AN357" i="1"/>
  <c r="AL357" i="1"/>
  <c r="AM357" i="1" s="1"/>
  <c r="AJ357" i="1"/>
  <c r="AI357" i="1"/>
  <c r="AH357" i="1"/>
  <c r="AG357" i="1"/>
  <c r="AF357" i="1"/>
  <c r="AE357" i="1"/>
  <c r="X357" i="1"/>
  <c r="W357" i="1"/>
  <c r="U357" i="1"/>
  <c r="R357" i="1"/>
  <c r="N357" i="1"/>
  <c r="M357" i="1"/>
  <c r="L357" i="1"/>
  <c r="K357" i="1"/>
  <c r="F357" i="1"/>
  <c r="V357" i="1" s="1"/>
  <c r="AN356" i="1"/>
  <c r="AL356" i="1"/>
  <c r="AM356" i="1" s="1"/>
  <c r="AJ356" i="1"/>
  <c r="AI356" i="1"/>
  <c r="AH356" i="1"/>
  <c r="AG356" i="1"/>
  <c r="AF356" i="1"/>
  <c r="AE356" i="1"/>
  <c r="Z356" i="1"/>
  <c r="X356" i="1"/>
  <c r="W356" i="1" s="1"/>
  <c r="V356" i="1"/>
  <c r="U356" i="1"/>
  <c r="R356" i="1"/>
  <c r="N356" i="1"/>
  <c r="M356" i="1"/>
  <c r="L356" i="1"/>
  <c r="K356" i="1"/>
  <c r="F356" i="1"/>
  <c r="AN355" i="1"/>
  <c r="AL355" i="1"/>
  <c r="AM355" i="1" s="1"/>
  <c r="AJ355" i="1"/>
  <c r="AI355" i="1"/>
  <c r="AH355" i="1"/>
  <c r="AG355" i="1"/>
  <c r="AF355" i="1"/>
  <c r="AE355" i="1"/>
  <c r="Z355" i="1"/>
  <c r="X355" i="1"/>
  <c r="W355" i="1" s="1"/>
  <c r="V355" i="1"/>
  <c r="U355" i="1"/>
  <c r="R355" i="1"/>
  <c r="N355" i="1"/>
  <c r="M355" i="1"/>
  <c r="L355" i="1"/>
  <c r="K355" i="1"/>
  <c r="F355" i="1"/>
  <c r="AN354" i="1"/>
  <c r="AL354" i="1"/>
  <c r="AJ354" i="1"/>
  <c r="AI354" i="1"/>
  <c r="AH354" i="1"/>
  <c r="AG354" i="1"/>
  <c r="AF354" i="1"/>
  <c r="AE354" i="1"/>
  <c r="Z354" i="1"/>
  <c r="X354" i="1"/>
  <c r="W354" i="1"/>
  <c r="U354" i="1"/>
  <c r="R354" i="1"/>
  <c r="N354" i="1"/>
  <c r="M354" i="1"/>
  <c r="L354" i="1"/>
  <c r="K354" i="1"/>
  <c r="F354" i="1"/>
  <c r="AM354" i="1" s="1"/>
  <c r="AN353" i="1"/>
  <c r="AL353" i="1"/>
  <c r="AJ353" i="1"/>
  <c r="AI353" i="1"/>
  <c r="AH353" i="1"/>
  <c r="AG353" i="1"/>
  <c r="AF353" i="1"/>
  <c r="AE353" i="1"/>
  <c r="X353" i="1"/>
  <c r="W353" i="1"/>
  <c r="V353" i="1"/>
  <c r="U353" i="1"/>
  <c r="R353" i="1"/>
  <c r="N353" i="1"/>
  <c r="M353" i="1"/>
  <c r="L353" i="1"/>
  <c r="K353" i="1"/>
  <c r="F353" i="1"/>
  <c r="AN352" i="1"/>
  <c r="AL352" i="1"/>
  <c r="AM352" i="1" s="1"/>
  <c r="AJ352" i="1"/>
  <c r="AI352" i="1"/>
  <c r="AH352" i="1"/>
  <c r="AG352" i="1"/>
  <c r="AF352" i="1"/>
  <c r="AE352" i="1"/>
  <c r="X352" i="1"/>
  <c r="W352" i="1"/>
  <c r="U352" i="1"/>
  <c r="R352" i="1"/>
  <c r="N352" i="1"/>
  <c r="M352" i="1"/>
  <c r="L352" i="1"/>
  <c r="K352" i="1"/>
  <c r="F352" i="1"/>
  <c r="V352" i="1" s="1"/>
  <c r="AN351" i="1"/>
  <c r="AL351" i="1"/>
  <c r="AM351" i="1" s="1"/>
  <c r="AJ351" i="1"/>
  <c r="AI351" i="1"/>
  <c r="AH351" i="1"/>
  <c r="AG351" i="1"/>
  <c r="AF351" i="1"/>
  <c r="AE351" i="1"/>
  <c r="X351" i="1"/>
  <c r="W351" i="1"/>
  <c r="U351" i="1"/>
  <c r="R351" i="1"/>
  <c r="N351" i="1"/>
  <c r="M351" i="1"/>
  <c r="L351" i="1"/>
  <c r="K351" i="1"/>
  <c r="F351" i="1"/>
  <c r="AN350" i="1"/>
  <c r="AL350" i="1"/>
  <c r="AM350" i="1" s="1"/>
  <c r="AJ350" i="1"/>
  <c r="AI350" i="1"/>
  <c r="AH350" i="1"/>
  <c r="AG350" i="1"/>
  <c r="AF350" i="1"/>
  <c r="AE350" i="1"/>
  <c r="Z350" i="1"/>
  <c r="X350" i="1"/>
  <c r="W350" i="1"/>
  <c r="U350" i="1"/>
  <c r="V350" i="1" s="1"/>
  <c r="R350" i="1"/>
  <c r="N350" i="1"/>
  <c r="M350" i="1"/>
  <c r="L350" i="1"/>
  <c r="K350" i="1"/>
  <c r="F350" i="1"/>
  <c r="AN349" i="1"/>
  <c r="AM349" i="1"/>
  <c r="AL349" i="1"/>
  <c r="AJ349" i="1"/>
  <c r="AI349" i="1"/>
  <c r="AH349" i="1"/>
  <c r="AG349" i="1"/>
  <c r="AF349" i="1"/>
  <c r="AE349" i="1"/>
  <c r="Z349" i="1"/>
  <c r="X349" i="1"/>
  <c r="W349" i="1" s="1"/>
  <c r="U349" i="1"/>
  <c r="R349" i="1"/>
  <c r="N349" i="1"/>
  <c r="M349" i="1"/>
  <c r="L349" i="1"/>
  <c r="K349" i="1"/>
  <c r="F349" i="1"/>
  <c r="AN348" i="1"/>
  <c r="AM348" i="1"/>
  <c r="AL348" i="1"/>
  <c r="AJ348" i="1"/>
  <c r="AI348" i="1"/>
  <c r="AH348" i="1"/>
  <c r="AG348" i="1"/>
  <c r="AF348" i="1"/>
  <c r="AE348" i="1"/>
  <c r="X348" i="1"/>
  <c r="W348" i="1" s="1"/>
  <c r="U348" i="1"/>
  <c r="V348" i="1" s="1"/>
  <c r="R348" i="1"/>
  <c r="N348" i="1"/>
  <c r="M348" i="1"/>
  <c r="L348" i="1"/>
  <c r="K348" i="1"/>
  <c r="F348" i="1"/>
  <c r="AN347" i="1"/>
  <c r="AM347" i="1"/>
  <c r="AL347" i="1"/>
  <c r="AJ347" i="1"/>
  <c r="AI347" i="1"/>
  <c r="AH347" i="1"/>
  <c r="AG347" i="1"/>
  <c r="AF347" i="1"/>
  <c r="AE347" i="1"/>
  <c r="X347" i="1"/>
  <c r="W347" i="1" s="1"/>
  <c r="V347" i="1"/>
  <c r="U347" i="1"/>
  <c r="R347" i="1"/>
  <c r="N347" i="1"/>
  <c r="M347" i="1"/>
  <c r="L347" i="1"/>
  <c r="K347" i="1"/>
  <c r="F347" i="1"/>
  <c r="AN346" i="1"/>
  <c r="AM346" i="1"/>
  <c r="AL346" i="1"/>
  <c r="AJ346" i="1"/>
  <c r="AI346" i="1"/>
  <c r="AH346" i="1"/>
  <c r="AG346" i="1"/>
  <c r="AF346" i="1"/>
  <c r="AE346" i="1"/>
  <c r="Z346" i="1"/>
  <c r="X346" i="1"/>
  <c r="W346" i="1"/>
  <c r="U346" i="1"/>
  <c r="V346" i="1" s="1"/>
  <c r="R346" i="1"/>
  <c r="N346" i="1"/>
  <c r="M346" i="1"/>
  <c r="L346" i="1"/>
  <c r="K346" i="1"/>
  <c r="F346" i="1"/>
  <c r="AN345" i="1"/>
  <c r="AL345" i="1"/>
  <c r="AM345" i="1" s="1"/>
  <c r="AJ345" i="1"/>
  <c r="AI345" i="1"/>
  <c r="AH345" i="1"/>
  <c r="AG345" i="1"/>
  <c r="AF345" i="1"/>
  <c r="AE345" i="1"/>
  <c r="Z345" i="1"/>
  <c r="X345" i="1"/>
  <c r="W345" i="1" s="1"/>
  <c r="V345" i="1"/>
  <c r="U345" i="1"/>
  <c r="R345" i="1"/>
  <c r="N345" i="1"/>
  <c r="M345" i="1"/>
  <c r="L345" i="1"/>
  <c r="K345" i="1"/>
  <c r="F345" i="1"/>
  <c r="AN344" i="1"/>
  <c r="AM344" i="1"/>
  <c r="AL344" i="1"/>
  <c r="AJ344" i="1"/>
  <c r="AI344" i="1"/>
  <c r="AH344" i="1"/>
  <c r="AG344" i="1"/>
  <c r="AF344" i="1"/>
  <c r="AE344" i="1"/>
  <c r="Z344" i="1"/>
  <c r="X344" i="1"/>
  <c r="W344" i="1"/>
  <c r="U344" i="1"/>
  <c r="V344" i="1" s="1"/>
  <c r="R344" i="1"/>
  <c r="N344" i="1"/>
  <c r="M344" i="1"/>
  <c r="L344" i="1"/>
  <c r="K344" i="1"/>
  <c r="F344" i="1"/>
  <c r="AN343" i="1"/>
  <c r="AL343" i="1"/>
  <c r="AM343" i="1" s="1"/>
  <c r="AJ343" i="1"/>
  <c r="AI343" i="1"/>
  <c r="AH343" i="1"/>
  <c r="AG343" i="1"/>
  <c r="AF343" i="1"/>
  <c r="AE343" i="1"/>
  <c r="Z343" i="1"/>
  <c r="X343" i="1"/>
  <c r="W343" i="1" s="1"/>
  <c r="V343" i="1"/>
  <c r="U343" i="1"/>
  <c r="R343" i="1"/>
  <c r="N343" i="1"/>
  <c r="M343" i="1"/>
  <c r="L343" i="1"/>
  <c r="K343" i="1"/>
  <c r="F343" i="1"/>
  <c r="AN342" i="1"/>
  <c r="AM342" i="1"/>
  <c r="AL342" i="1"/>
  <c r="AJ342" i="1"/>
  <c r="AI342" i="1"/>
  <c r="AH342" i="1"/>
  <c r="AG342" i="1"/>
  <c r="AF342" i="1"/>
  <c r="AE342" i="1"/>
  <c r="X342" i="1"/>
  <c r="W342" i="1" s="1"/>
  <c r="U342" i="1"/>
  <c r="V342" i="1" s="1"/>
  <c r="R342" i="1"/>
  <c r="N342" i="1"/>
  <c r="M342" i="1"/>
  <c r="L342" i="1"/>
  <c r="K342" i="1"/>
  <c r="F342" i="1"/>
  <c r="AN341" i="1"/>
  <c r="AM341" i="1"/>
  <c r="AL341" i="1"/>
  <c r="AJ341" i="1"/>
  <c r="AI341" i="1"/>
  <c r="AH341" i="1"/>
  <c r="AG341" i="1"/>
  <c r="AF341" i="1"/>
  <c r="AE341" i="1"/>
  <c r="X341" i="1"/>
  <c r="W341" i="1" s="1"/>
  <c r="U341" i="1"/>
  <c r="V341" i="1" s="1"/>
  <c r="R341" i="1"/>
  <c r="N341" i="1"/>
  <c r="M341" i="1"/>
  <c r="L341" i="1"/>
  <c r="K341" i="1"/>
  <c r="F341" i="1"/>
  <c r="AN340" i="1"/>
  <c r="AM340" i="1"/>
  <c r="AL340" i="1"/>
  <c r="AJ340" i="1"/>
  <c r="AI340" i="1"/>
  <c r="AH340" i="1"/>
  <c r="AG340" i="1"/>
  <c r="AF340" i="1"/>
  <c r="AE340" i="1"/>
  <c r="X340" i="1"/>
  <c r="W340" i="1" s="1"/>
  <c r="V340" i="1"/>
  <c r="U340" i="1"/>
  <c r="R340" i="1"/>
  <c r="N340" i="1"/>
  <c r="M340" i="1"/>
  <c r="L340" i="1"/>
  <c r="K340" i="1"/>
  <c r="F340" i="1"/>
  <c r="AN339" i="1"/>
  <c r="AL339" i="1"/>
  <c r="AJ339" i="1"/>
  <c r="AI339" i="1"/>
  <c r="AH339" i="1"/>
  <c r="AG339" i="1"/>
  <c r="AF339" i="1"/>
  <c r="AE339" i="1"/>
  <c r="X339" i="1"/>
  <c r="W339" i="1"/>
  <c r="U339" i="1"/>
  <c r="V339" i="1" s="1"/>
  <c r="R339" i="1"/>
  <c r="N339" i="1"/>
  <c r="M339" i="1"/>
  <c r="L339" i="1"/>
  <c r="K339" i="1"/>
  <c r="F339" i="1"/>
  <c r="AN338" i="1"/>
  <c r="AM338" i="1"/>
  <c r="AL338" i="1"/>
  <c r="AJ338" i="1"/>
  <c r="AI338" i="1"/>
  <c r="AH338" i="1"/>
  <c r="AG338" i="1"/>
  <c r="AF338" i="1"/>
  <c r="AE338" i="1"/>
  <c r="X338" i="1"/>
  <c r="W338" i="1" s="1"/>
  <c r="U338" i="1"/>
  <c r="V338" i="1" s="1"/>
  <c r="R338" i="1"/>
  <c r="N338" i="1"/>
  <c r="M338" i="1"/>
  <c r="L338" i="1"/>
  <c r="K338" i="1"/>
  <c r="F338" i="1"/>
  <c r="AN337" i="1"/>
  <c r="AM337" i="1"/>
  <c r="AL337" i="1"/>
  <c r="AJ337" i="1"/>
  <c r="AI337" i="1"/>
  <c r="AH337" i="1"/>
  <c r="AG337" i="1"/>
  <c r="AF337" i="1"/>
  <c r="AE337" i="1"/>
  <c r="Z337" i="1"/>
  <c r="X337" i="1"/>
  <c r="W337" i="1" s="1"/>
  <c r="V337" i="1"/>
  <c r="U337" i="1"/>
  <c r="R337" i="1"/>
  <c r="N337" i="1"/>
  <c r="M337" i="1"/>
  <c r="L337" i="1"/>
  <c r="K337" i="1"/>
  <c r="F337" i="1"/>
  <c r="AN336" i="1"/>
  <c r="AL336" i="1"/>
  <c r="AJ336" i="1"/>
  <c r="AI336" i="1"/>
  <c r="AH336" i="1"/>
  <c r="AG336" i="1"/>
  <c r="AF336" i="1"/>
  <c r="AE336" i="1"/>
  <c r="Z336" i="1"/>
  <c r="X336" i="1"/>
  <c r="W336" i="1"/>
  <c r="U336" i="1"/>
  <c r="V336" i="1" s="1"/>
  <c r="R336" i="1"/>
  <c r="N336" i="1"/>
  <c r="M336" i="1"/>
  <c r="L336" i="1"/>
  <c r="K336" i="1"/>
  <c r="F336" i="1"/>
  <c r="AM336" i="1" s="1"/>
  <c r="AN335" i="1"/>
  <c r="AL335" i="1"/>
  <c r="AM335" i="1" s="1"/>
  <c r="AJ335" i="1"/>
  <c r="AI335" i="1"/>
  <c r="AH335" i="1"/>
  <c r="AG335" i="1"/>
  <c r="AF335" i="1"/>
  <c r="AE335" i="1"/>
  <c r="Z335" i="1"/>
  <c r="X335" i="1"/>
  <c r="W335" i="1" s="1"/>
  <c r="U335" i="1"/>
  <c r="V335" i="1" s="1"/>
  <c r="R335" i="1"/>
  <c r="N335" i="1"/>
  <c r="M335" i="1"/>
  <c r="L335" i="1"/>
  <c r="K335" i="1"/>
  <c r="F335" i="1"/>
  <c r="AN334" i="1"/>
  <c r="AM334" i="1"/>
  <c r="AL334" i="1"/>
  <c r="AJ334" i="1"/>
  <c r="AI334" i="1"/>
  <c r="AH334" i="1"/>
  <c r="AG334" i="1"/>
  <c r="AF334" i="1"/>
  <c r="AE334" i="1"/>
  <c r="Z334" i="1"/>
  <c r="X334" i="1"/>
  <c r="W334" i="1" s="1"/>
  <c r="V334" i="1"/>
  <c r="U334" i="1"/>
  <c r="R334" i="1"/>
  <c r="N334" i="1"/>
  <c r="M334" i="1"/>
  <c r="L334" i="1"/>
  <c r="K334" i="1"/>
  <c r="F334" i="1"/>
  <c r="AN333" i="1"/>
  <c r="AL333" i="1"/>
  <c r="AM333" i="1" s="1"/>
  <c r="AJ333" i="1"/>
  <c r="AI333" i="1"/>
  <c r="AH333" i="1"/>
  <c r="AG333" i="1"/>
  <c r="AF333" i="1"/>
  <c r="AE333" i="1"/>
  <c r="Z333" i="1"/>
  <c r="X333" i="1"/>
  <c r="W333" i="1" s="1"/>
  <c r="V333" i="1"/>
  <c r="U333" i="1"/>
  <c r="R333" i="1"/>
  <c r="N333" i="1"/>
  <c r="M333" i="1"/>
  <c r="L333" i="1"/>
  <c r="K333" i="1"/>
  <c r="F333" i="1"/>
  <c r="AN332" i="1"/>
  <c r="AL332" i="1"/>
  <c r="AM332" i="1" s="1"/>
  <c r="AJ332" i="1"/>
  <c r="AI332" i="1"/>
  <c r="AH332" i="1"/>
  <c r="AG332" i="1"/>
  <c r="AF332" i="1"/>
  <c r="AE332" i="1"/>
  <c r="Z332" i="1"/>
  <c r="X332" i="1"/>
  <c r="W332" i="1" s="1"/>
  <c r="U332" i="1"/>
  <c r="V332" i="1" s="1"/>
  <c r="R332" i="1"/>
  <c r="N332" i="1"/>
  <c r="M332" i="1"/>
  <c r="L332" i="1"/>
  <c r="K332" i="1"/>
  <c r="F332" i="1"/>
  <c r="AN331" i="1"/>
  <c r="AM331" i="1"/>
  <c r="AL331" i="1"/>
  <c r="AJ331" i="1"/>
  <c r="AI331" i="1"/>
  <c r="AH331" i="1"/>
  <c r="AG331" i="1"/>
  <c r="AF331" i="1"/>
  <c r="AE331" i="1"/>
  <c r="Z331" i="1"/>
  <c r="X331" i="1"/>
  <c r="W331" i="1" s="1"/>
  <c r="U331" i="1"/>
  <c r="V331" i="1" s="1"/>
  <c r="R331" i="1"/>
  <c r="N331" i="1"/>
  <c r="M331" i="1"/>
  <c r="L331" i="1"/>
  <c r="K331" i="1"/>
  <c r="F331" i="1"/>
  <c r="AN330" i="1"/>
  <c r="AL330" i="1"/>
  <c r="AJ330" i="1"/>
  <c r="AI330" i="1"/>
  <c r="AH330" i="1"/>
  <c r="AG330" i="1"/>
  <c r="AF330" i="1"/>
  <c r="AE330" i="1"/>
  <c r="Z330" i="1"/>
  <c r="X330" i="1"/>
  <c r="W330" i="1"/>
  <c r="U330" i="1"/>
  <c r="R330" i="1"/>
  <c r="N330" i="1"/>
  <c r="M330" i="1"/>
  <c r="L330" i="1"/>
  <c r="K330" i="1"/>
  <c r="F330" i="1"/>
  <c r="AN329" i="1"/>
  <c r="AL329" i="1"/>
  <c r="AM329" i="1" s="1"/>
  <c r="AJ329" i="1"/>
  <c r="AI329" i="1"/>
  <c r="AH329" i="1"/>
  <c r="AG329" i="1"/>
  <c r="AF329" i="1"/>
  <c r="AE329" i="1"/>
  <c r="X329" i="1"/>
  <c r="W329" i="1"/>
  <c r="U329" i="1"/>
  <c r="V329" i="1" s="1"/>
  <c r="R329" i="1"/>
  <c r="N329" i="1"/>
  <c r="F329" i="1"/>
  <c r="AN328" i="1"/>
  <c r="AL328" i="1"/>
  <c r="AJ328" i="1"/>
  <c r="AI328" i="1"/>
  <c r="AH328" i="1"/>
  <c r="AG328" i="1"/>
  <c r="AF328" i="1"/>
  <c r="AE328" i="1"/>
  <c r="X328" i="1"/>
  <c r="W328" i="1" s="1"/>
  <c r="U328" i="1"/>
  <c r="R328" i="1"/>
  <c r="N328" i="1"/>
  <c r="F328" i="1"/>
  <c r="AM328" i="1" s="1"/>
  <c r="AN327" i="1"/>
  <c r="AM327" i="1"/>
  <c r="AL327" i="1"/>
  <c r="AJ327" i="1"/>
  <c r="AI327" i="1"/>
  <c r="AH327" i="1"/>
  <c r="AG327" i="1"/>
  <c r="AF327" i="1"/>
  <c r="AE327" i="1"/>
  <c r="X327" i="1"/>
  <c r="W327" i="1" s="1"/>
  <c r="U327" i="1"/>
  <c r="R327" i="1"/>
  <c r="N327" i="1"/>
  <c r="F327" i="1"/>
  <c r="AN326" i="1"/>
  <c r="AL326" i="1"/>
  <c r="AM326" i="1" s="1"/>
  <c r="AJ326" i="1"/>
  <c r="AI326" i="1"/>
  <c r="AH326" i="1"/>
  <c r="AG326" i="1"/>
  <c r="AF326" i="1"/>
  <c r="AE326" i="1"/>
  <c r="Z326" i="1"/>
  <c r="X326" i="1"/>
  <c r="W326" i="1" s="1"/>
  <c r="V326" i="1"/>
  <c r="U326" i="1"/>
  <c r="R326" i="1"/>
  <c r="N326" i="1"/>
  <c r="M326" i="1"/>
  <c r="L326" i="1"/>
  <c r="K326" i="1"/>
  <c r="F326" i="1"/>
  <c r="AN325" i="1"/>
  <c r="AL325" i="1"/>
  <c r="AM325" i="1" s="1"/>
  <c r="AJ325" i="1"/>
  <c r="AI325" i="1"/>
  <c r="AH325" i="1"/>
  <c r="AG325" i="1"/>
  <c r="AF325" i="1"/>
  <c r="AE325" i="1"/>
  <c r="Z325" i="1"/>
  <c r="X325" i="1"/>
  <c r="W325" i="1" s="1"/>
  <c r="U325" i="1"/>
  <c r="V325" i="1" s="1"/>
  <c r="R325" i="1"/>
  <c r="N325" i="1"/>
  <c r="M325" i="1"/>
  <c r="L325" i="1"/>
  <c r="K325" i="1"/>
  <c r="F325" i="1"/>
  <c r="AN324" i="1"/>
  <c r="AM324" i="1"/>
  <c r="AL324" i="1"/>
  <c r="AJ324" i="1"/>
  <c r="AI324" i="1"/>
  <c r="AH324" i="1"/>
  <c r="AG324" i="1"/>
  <c r="AF324" i="1"/>
  <c r="AE324" i="1"/>
  <c r="Z324" i="1"/>
  <c r="X324" i="1"/>
  <c r="W324" i="1" s="1"/>
  <c r="V324" i="1"/>
  <c r="U324" i="1"/>
  <c r="R324" i="1"/>
  <c r="N324" i="1"/>
  <c r="M324" i="1"/>
  <c r="L324" i="1"/>
  <c r="K324" i="1"/>
  <c r="F324" i="1"/>
  <c r="AN323" i="1"/>
  <c r="AL323" i="1"/>
  <c r="AJ323" i="1"/>
  <c r="AI323" i="1"/>
  <c r="AH323" i="1"/>
  <c r="AG323" i="1"/>
  <c r="AF323" i="1"/>
  <c r="AE323" i="1"/>
  <c r="Z323" i="1"/>
  <c r="X323" i="1"/>
  <c r="W323" i="1"/>
  <c r="U323" i="1"/>
  <c r="V323" i="1" s="1"/>
  <c r="R323" i="1"/>
  <c r="N323" i="1"/>
  <c r="M323" i="1"/>
  <c r="L323" i="1"/>
  <c r="K323" i="1"/>
  <c r="F323" i="1"/>
  <c r="AM323" i="1" s="1"/>
  <c r="AN322" i="1"/>
  <c r="AL322" i="1"/>
  <c r="AM322" i="1" s="1"/>
  <c r="AJ322" i="1"/>
  <c r="AI322" i="1"/>
  <c r="AH322" i="1"/>
  <c r="AG322" i="1"/>
  <c r="AF322" i="1"/>
  <c r="AE322" i="1"/>
  <c r="Z322" i="1"/>
  <c r="X322" i="1"/>
  <c r="W322" i="1" s="1"/>
  <c r="V322" i="1"/>
  <c r="U322" i="1"/>
  <c r="R322" i="1"/>
  <c r="N322" i="1"/>
  <c r="M322" i="1"/>
  <c r="L322" i="1"/>
  <c r="K322" i="1"/>
  <c r="F322" i="1"/>
  <c r="AN321" i="1"/>
  <c r="AL321" i="1"/>
  <c r="AJ321" i="1"/>
  <c r="AI321" i="1"/>
  <c r="AH321" i="1"/>
  <c r="AG321" i="1"/>
  <c r="AF321" i="1"/>
  <c r="AE321" i="1"/>
  <c r="Z321" i="1"/>
  <c r="X321" i="1"/>
  <c r="W321" i="1"/>
  <c r="U321" i="1"/>
  <c r="V321" i="1" s="1"/>
  <c r="R321" i="1"/>
  <c r="N321" i="1"/>
  <c r="M321" i="1"/>
  <c r="L321" i="1"/>
  <c r="K321" i="1"/>
  <c r="F321" i="1"/>
  <c r="AM321" i="1" s="1"/>
  <c r="AN320" i="1"/>
  <c r="AL320" i="1"/>
  <c r="AM320" i="1" s="1"/>
  <c r="AJ320" i="1"/>
  <c r="AI320" i="1"/>
  <c r="AH320" i="1"/>
  <c r="AG320" i="1"/>
  <c r="AF320" i="1"/>
  <c r="AE320" i="1"/>
  <c r="X320" i="1"/>
  <c r="W320" i="1"/>
  <c r="U320" i="1"/>
  <c r="V320" i="1" s="1"/>
  <c r="R320" i="1"/>
  <c r="N320" i="1"/>
  <c r="M320" i="1"/>
  <c r="L320" i="1"/>
  <c r="K320" i="1"/>
  <c r="F320" i="1"/>
  <c r="AN319" i="1"/>
  <c r="AM319" i="1"/>
  <c r="AL319" i="1"/>
  <c r="AJ319" i="1"/>
  <c r="AI319" i="1"/>
  <c r="AH319" i="1"/>
  <c r="AG319" i="1"/>
  <c r="AF319" i="1"/>
  <c r="AE319" i="1"/>
  <c r="Z319" i="1"/>
  <c r="X319" i="1"/>
  <c r="W319" i="1" s="1"/>
  <c r="V319" i="1"/>
  <c r="U319" i="1"/>
  <c r="R319" i="1"/>
  <c r="N319" i="1"/>
  <c r="M319" i="1"/>
  <c r="L319" i="1"/>
  <c r="K319" i="1"/>
  <c r="F319" i="1"/>
  <c r="AN318" i="1"/>
  <c r="AL318" i="1"/>
  <c r="AM318" i="1" s="1"/>
  <c r="AJ318" i="1"/>
  <c r="AI318" i="1"/>
  <c r="AH318" i="1"/>
  <c r="AG318" i="1"/>
  <c r="AF318" i="1"/>
  <c r="AE318" i="1"/>
  <c r="Z318" i="1"/>
  <c r="X318" i="1"/>
  <c r="W318" i="1"/>
  <c r="U318" i="1"/>
  <c r="V318" i="1" s="1"/>
  <c r="R318" i="1"/>
  <c r="N318" i="1"/>
  <c r="M318" i="1"/>
  <c r="L318" i="1"/>
  <c r="K318" i="1"/>
  <c r="F318" i="1"/>
  <c r="AN317" i="1"/>
  <c r="AM317" i="1"/>
  <c r="AL317" i="1"/>
  <c r="AJ317" i="1"/>
  <c r="AI317" i="1"/>
  <c r="AH317" i="1"/>
  <c r="AG317" i="1"/>
  <c r="AF317" i="1"/>
  <c r="AE317" i="1"/>
  <c r="Z317" i="1"/>
  <c r="X317" i="1"/>
  <c r="W317" i="1" s="1"/>
  <c r="V317" i="1"/>
  <c r="U317" i="1"/>
  <c r="R317" i="1"/>
  <c r="N317" i="1"/>
  <c r="M317" i="1"/>
  <c r="L317" i="1"/>
  <c r="K317" i="1"/>
  <c r="F317" i="1"/>
  <c r="AN316" i="1"/>
  <c r="AL316" i="1"/>
  <c r="AM316" i="1" s="1"/>
  <c r="AJ316" i="1"/>
  <c r="AI316" i="1"/>
  <c r="AH316" i="1"/>
  <c r="AG316" i="1"/>
  <c r="AF316" i="1"/>
  <c r="AE316" i="1"/>
  <c r="Z316" i="1"/>
  <c r="X316" i="1"/>
  <c r="W316" i="1"/>
  <c r="U316" i="1"/>
  <c r="V316" i="1" s="1"/>
  <c r="R316" i="1"/>
  <c r="N316" i="1"/>
  <c r="M316" i="1"/>
  <c r="L316" i="1"/>
  <c r="K316" i="1"/>
  <c r="F316" i="1"/>
  <c r="AN315" i="1"/>
  <c r="AM315" i="1"/>
  <c r="AL315" i="1"/>
  <c r="AJ315" i="1"/>
  <c r="AI315" i="1"/>
  <c r="AH315" i="1"/>
  <c r="AG315" i="1"/>
  <c r="AF315" i="1"/>
  <c r="AE315" i="1"/>
  <c r="Z315" i="1"/>
  <c r="X315" i="1"/>
  <c r="W315" i="1" s="1"/>
  <c r="V315" i="1"/>
  <c r="U315" i="1"/>
  <c r="R315" i="1"/>
  <c r="N315" i="1"/>
  <c r="M315" i="1"/>
  <c r="L315" i="1"/>
  <c r="K315" i="1"/>
  <c r="F315" i="1"/>
  <c r="AN314" i="1"/>
  <c r="AL314" i="1"/>
  <c r="AM314" i="1" s="1"/>
  <c r="AJ314" i="1"/>
  <c r="AI314" i="1"/>
  <c r="AH314" i="1"/>
  <c r="AG314" i="1"/>
  <c r="AF314" i="1"/>
  <c r="AE314" i="1"/>
  <c r="Z314" i="1"/>
  <c r="X314" i="1"/>
  <c r="W314" i="1"/>
  <c r="U314" i="1"/>
  <c r="V314" i="1" s="1"/>
  <c r="R314" i="1"/>
  <c r="N314" i="1"/>
  <c r="M314" i="1"/>
  <c r="L314" i="1"/>
  <c r="K314" i="1"/>
  <c r="F314" i="1"/>
  <c r="AN313" i="1"/>
  <c r="AM313" i="1"/>
  <c r="AL313" i="1"/>
  <c r="AJ313" i="1"/>
  <c r="AI313" i="1"/>
  <c r="AH313" i="1"/>
  <c r="AG313" i="1"/>
  <c r="AF313" i="1"/>
  <c r="AE313" i="1"/>
  <c r="Z313" i="1"/>
  <c r="X313" i="1"/>
  <c r="W313" i="1" s="1"/>
  <c r="V313" i="1"/>
  <c r="U313" i="1"/>
  <c r="R313" i="1"/>
  <c r="N313" i="1"/>
  <c r="M313" i="1"/>
  <c r="L313" i="1"/>
  <c r="K313" i="1"/>
  <c r="F313" i="1"/>
  <c r="AN312" i="1"/>
  <c r="AL312" i="1"/>
  <c r="AM312" i="1" s="1"/>
  <c r="AJ312" i="1"/>
  <c r="AI312" i="1"/>
  <c r="AH312" i="1"/>
  <c r="AG312" i="1"/>
  <c r="AF312" i="1"/>
  <c r="AE312" i="1"/>
  <c r="Z312" i="1"/>
  <c r="X312" i="1"/>
  <c r="W312" i="1"/>
  <c r="U312" i="1"/>
  <c r="V312" i="1" s="1"/>
  <c r="R312" i="1"/>
  <c r="N312" i="1"/>
  <c r="M312" i="1"/>
  <c r="L312" i="1"/>
  <c r="K312" i="1"/>
  <c r="F312" i="1"/>
  <c r="AN311" i="1"/>
  <c r="AM311" i="1"/>
  <c r="AL311" i="1"/>
  <c r="AJ311" i="1"/>
  <c r="AI311" i="1"/>
  <c r="AH311" i="1"/>
  <c r="AG311" i="1"/>
  <c r="AF311" i="1"/>
  <c r="AE311" i="1"/>
  <c r="Z311" i="1"/>
  <c r="X311" i="1"/>
  <c r="W311" i="1" s="1"/>
  <c r="V311" i="1"/>
  <c r="U311" i="1"/>
  <c r="R311" i="1"/>
  <c r="N311" i="1"/>
  <c r="M311" i="1"/>
  <c r="L311" i="1"/>
  <c r="K311" i="1"/>
  <c r="F311" i="1"/>
  <c r="AN310" i="1"/>
  <c r="AL310" i="1"/>
  <c r="AM310" i="1" s="1"/>
  <c r="AJ310" i="1"/>
  <c r="AI310" i="1"/>
  <c r="AH310" i="1"/>
  <c r="AG310" i="1"/>
  <c r="AF310" i="1"/>
  <c r="AE310" i="1"/>
  <c r="Z310" i="1"/>
  <c r="X310" i="1"/>
  <c r="W310" i="1"/>
  <c r="U310" i="1"/>
  <c r="V310" i="1" s="1"/>
  <c r="R310" i="1"/>
  <c r="N310" i="1"/>
  <c r="M310" i="1"/>
  <c r="L310" i="1"/>
  <c r="K310" i="1"/>
  <c r="F310" i="1"/>
  <c r="AN309" i="1"/>
  <c r="AM309" i="1"/>
  <c r="AL309" i="1"/>
  <c r="AJ309" i="1"/>
  <c r="AI309" i="1"/>
  <c r="AH309" i="1"/>
  <c r="AG309" i="1"/>
  <c r="AF309" i="1"/>
  <c r="AE309" i="1"/>
  <c r="Z309" i="1"/>
  <c r="X309" i="1"/>
  <c r="W309" i="1" s="1"/>
  <c r="V309" i="1"/>
  <c r="U309" i="1"/>
  <c r="R309" i="1"/>
  <c r="N309" i="1"/>
  <c r="M309" i="1"/>
  <c r="L309" i="1"/>
  <c r="K309" i="1"/>
  <c r="F309" i="1"/>
  <c r="AN308" i="1"/>
  <c r="AL308" i="1"/>
  <c r="AM308" i="1" s="1"/>
  <c r="AJ308" i="1"/>
  <c r="AI308" i="1"/>
  <c r="AH308" i="1"/>
  <c r="AG308" i="1"/>
  <c r="AF308" i="1"/>
  <c r="AE308" i="1"/>
  <c r="Z308" i="1"/>
  <c r="X308" i="1"/>
  <c r="W308" i="1"/>
  <c r="U308" i="1"/>
  <c r="V308" i="1" s="1"/>
  <c r="R308" i="1"/>
  <c r="N308" i="1"/>
  <c r="M308" i="1"/>
  <c r="L308" i="1"/>
  <c r="K308" i="1"/>
  <c r="F308" i="1"/>
  <c r="AN307" i="1"/>
  <c r="AM307" i="1"/>
  <c r="AL307" i="1"/>
  <c r="AJ307" i="1"/>
  <c r="AI307" i="1"/>
  <c r="AH307" i="1"/>
  <c r="AG307" i="1"/>
  <c r="AF307" i="1"/>
  <c r="AE307" i="1"/>
  <c r="Z307" i="1"/>
  <c r="X307" i="1"/>
  <c r="W307" i="1" s="1"/>
  <c r="V307" i="1"/>
  <c r="U307" i="1"/>
  <c r="R307" i="1"/>
  <c r="N307" i="1"/>
  <c r="M307" i="1"/>
  <c r="L307" i="1"/>
  <c r="K307" i="1"/>
  <c r="F307" i="1"/>
  <c r="AN306" i="1"/>
  <c r="AL306" i="1"/>
  <c r="AM306" i="1" s="1"/>
  <c r="AJ306" i="1"/>
  <c r="AI306" i="1"/>
  <c r="AH306" i="1"/>
  <c r="AG306" i="1"/>
  <c r="AF306" i="1"/>
  <c r="AE306" i="1"/>
  <c r="Z306" i="1"/>
  <c r="X306" i="1"/>
  <c r="W306" i="1"/>
  <c r="U306" i="1"/>
  <c r="V306" i="1" s="1"/>
  <c r="R306" i="1"/>
  <c r="N306" i="1"/>
  <c r="M306" i="1"/>
  <c r="L306" i="1"/>
  <c r="K306" i="1"/>
  <c r="F306" i="1"/>
  <c r="AN305" i="1"/>
  <c r="AM305" i="1"/>
  <c r="AL305" i="1"/>
  <c r="AJ305" i="1"/>
  <c r="AI305" i="1"/>
  <c r="AH305" i="1"/>
  <c r="AG305" i="1"/>
  <c r="AF305" i="1"/>
  <c r="AE305" i="1"/>
  <c r="Z305" i="1"/>
  <c r="X305" i="1"/>
  <c r="W305" i="1" s="1"/>
  <c r="V305" i="1"/>
  <c r="U305" i="1"/>
  <c r="R305" i="1"/>
  <c r="N305" i="1"/>
  <c r="M305" i="1"/>
  <c r="L305" i="1"/>
  <c r="K305" i="1"/>
  <c r="F305" i="1"/>
  <c r="AN304" i="1"/>
  <c r="AL304" i="1"/>
  <c r="AM304" i="1" s="1"/>
  <c r="AJ304" i="1"/>
  <c r="AI304" i="1"/>
  <c r="AH304" i="1"/>
  <c r="AG304" i="1"/>
  <c r="AF304" i="1"/>
  <c r="AE304" i="1"/>
  <c r="Z304" i="1"/>
  <c r="X304" i="1"/>
  <c r="W304" i="1"/>
  <c r="U304" i="1"/>
  <c r="V304" i="1" s="1"/>
  <c r="R304" i="1"/>
  <c r="N304" i="1"/>
  <c r="M304" i="1"/>
  <c r="L304" i="1"/>
  <c r="K304" i="1"/>
  <c r="F304" i="1"/>
  <c r="AN303" i="1"/>
  <c r="AM303" i="1"/>
  <c r="AL303" i="1"/>
  <c r="AJ303" i="1"/>
  <c r="AI303" i="1"/>
  <c r="AH303" i="1"/>
  <c r="AG303" i="1"/>
  <c r="AF303" i="1"/>
  <c r="AE303" i="1"/>
  <c r="Z303" i="1"/>
  <c r="X303" i="1"/>
  <c r="W303" i="1" s="1"/>
  <c r="V303" i="1"/>
  <c r="U303" i="1"/>
  <c r="R303" i="1"/>
  <c r="N303" i="1"/>
  <c r="M303" i="1"/>
  <c r="L303" i="1"/>
  <c r="K303" i="1"/>
  <c r="F303" i="1"/>
  <c r="AN302" i="1"/>
  <c r="AL302" i="1"/>
  <c r="AM302" i="1" s="1"/>
  <c r="AJ302" i="1"/>
  <c r="AI302" i="1"/>
  <c r="AH302" i="1"/>
  <c r="AG302" i="1"/>
  <c r="AF302" i="1"/>
  <c r="AE302" i="1"/>
  <c r="Z302" i="1"/>
  <c r="X302" i="1"/>
  <c r="W302" i="1"/>
  <c r="U302" i="1"/>
  <c r="V302" i="1" s="1"/>
  <c r="R302" i="1"/>
  <c r="N302" i="1"/>
  <c r="M302" i="1"/>
  <c r="L302" i="1"/>
  <c r="K302" i="1"/>
  <c r="F302" i="1"/>
  <c r="AN301" i="1"/>
  <c r="AM301" i="1"/>
  <c r="AL301" i="1"/>
  <c r="AJ301" i="1"/>
  <c r="AI301" i="1"/>
  <c r="AH301" i="1"/>
  <c r="AG301" i="1"/>
  <c r="AF301" i="1"/>
  <c r="AE301" i="1"/>
  <c r="Z301" i="1"/>
  <c r="X301" i="1"/>
  <c r="W301" i="1" s="1"/>
  <c r="V301" i="1"/>
  <c r="U301" i="1"/>
  <c r="R301" i="1"/>
  <c r="N301" i="1"/>
  <c r="M301" i="1"/>
  <c r="L301" i="1"/>
  <c r="K301" i="1"/>
  <c r="F301" i="1"/>
  <c r="AN300" i="1"/>
  <c r="AL300" i="1"/>
  <c r="AM300" i="1" s="1"/>
  <c r="AJ300" i="1"/>
  <c r="AI300" i="1"/>
  <c r="AH300" i="1"/>
  <c r="AG300" i="1"/>
  <c r="AF300" i="1"/>
  <c r="AE300" i="1"/>
  <c r="Z300" i="1"/>
  <c r="X300" i="1"/>
  <c r="W300" i="1"/>
  <c r="U300" i="1"/>
  <c r="V300" i="1" s="1"/>
  <c r="R300" i="1"/>
  <c r="N300" i="1"/>
  <c r="M300" i="1"/>
  <c r="L300" i="1"/>
  <c r="K300" i="1"/>
  <c r="F300" i="1"/>
  <c r="AN299" i="1"/>
  <c r="AM299" i="1"/>
  <c r="AL299" i="1"/>
  <c r="AJ299" i="1"/>
  <c r="AI299" i="1"/>
  <c r="AH299" i="1"/>
  <c r="AG299" i="1"/>
  <c r="AF299" i="1"/>
  <c r="AE299" i="1"/>
  <c r="Z299" i="1"/>
  <c r="X299" i="1"/>
  <c r="W299" i="1" s="1"/>
  <c r="U299" i="1"/>
  <c r="V299" i="1" s="1"/>
  <c r="R299" i="1"/>
  <c r="N299" i="1"/>
  <c r="M299" i="1"/>
  <c r="L299" i="1"/>
  <c r="K299" i="1"/>
  <c r="F299" i="1"/>
  <c r="AN298" i="1"/>
  <c r="AL298" i="1"/>
  <c r="AM298" i="1" s="1"/>
  <c r="AJ298" i="1"/>
  <c r="AI298" i="1"/>
  <c r="AH298" i="1"/>
  <c r="AG298" i="1"/>
  <c r="AF298" i="1"/>
  <c r="AE298" i="1"/>
  <c r="Z298" i="1"/>
  <c r="X298" i="1"/>
  <c r="W298" i="1"/>
  <c r="U298" i="1"/>
  <c r="V298" i="1" s="1"/>
  <c r="R298" i="1"/>
  <c r="N298" i="1"/>
  <c r="M298" i="1"/>
  <c r="L298" i="1"/>
  <c r="K298" i="1"/>
  <c r="F298" i="1"/>
  <c r="AN297" i="1"/>
  <c r="AM297" i="1"/>
  <c r="AL297" i="1"/>
  <c r="AJ297" i="1"/>
  <c r="AI297" i="1"/>
  <c r="AH297" i="1"/>
  <c r="AG297" i="1"/>
  <c r="AF297" i="1"/>
  <c r="AE297" i="1"/>
  <c r="Z297" i="1"/>
  <c r="X297" i="1"/>
  <c r="W297" i="1" s="1"/>
  <c r="U297" i="1"/>
  <c r="V297" i="1" s="1"/>
  <c r="R297" i="1"/>
  <c r="N297" i="1"/>
  <c r="M297" i="1"/>
  <c r="L297" i="1"/>
  <c r="K297" i="1"/>
  <c r="F297" i="1"/>
  <c r="AN296" i="1"/>
  <c r="AL296" i="1"/>
  <c r="AM296" i="1" s="1"/>
  <c r="AJ296" i="1"/>
  <c r="AI296" i="1"/>
  <c r="AH296" i="1"/>
  <c r="AG296" i="1"/>
  <c r="AF296" i="1"/>
  <c r="AE296" i="1"/>
  <c r="Z296" i="1"/>
  <c r="X296" i="1"/>
  <c r="W296" i="1" s="1"/>
  <c r="U296" i="1"/>
  <c r="V296" i="1" s="1"/>
  <c r="R296" i="1"/>
  <c r="N296" i="1"/>
  <c r="M296" i="1"/>
  <c r="L296" i="1"/>
  <c r="K296" i="1"/>
  <c r="F296" i="1"/>
  <c r="AN295" i="1"/>
  <c r="AM295" i="1"/>
  <c r="AL295" i="1"/>
  <c r="AJ295" i="1"/>
  <c r="AI295" i="1"/>
  <c r="AH295" i="1"/>
  <c r="AG295" i="1"/>
  <c r="AF295" i="1"/>
  <c r="AE295" i="1"/>
  <c r="Z295" i="1"/>
  <c r="X295" i="1"/>
  <c r="W295" i="1" s="1"/>
  <c r="U295" i="1"/>
  <c r="V295" i="1" s="1"/>
  <c r="R295" i="1"/>
  <c r="N295" i="1"/>
  <c r="M295" i="1"/>
  <c r="L295" i="1"/>
  <c r="K295" i="1"/>
  <c r="F295" i="1"/>
  <c r="AN294" i="1"/>
  <c r="AL294" i="1"/>
  <c r="AM294" i="1" s="1"/>
  <c r="AJ294" i="1"/>
  <c r="AI294" i="1"/>
  <c r="AH294" i="1"/>
  <c r="AG294" i="1"/>
  <c r="AF294" i="1"/>
  <c r="AE294" i="1"/>
  <c r="Z294" i="1"/>
  <c r="X294" i="1"/>
  <c r="W294" i="1" s="1"/>
  <c r="U294" i="1"/>
  <c r="V294" i="1" s="1"/>
  <c r="R294" i="1"/>
  <c r="N294" i="1"/>
  <c r="M294" i="1"/>
  <c r="L294" i="1"/>
  <c r="K294" i="1"/>
  <c r="F294" i="1"/>
  <c r="AN293" i="1"/>
  <c r="AM293" i="1"/>
  <c r="AL293" i="1"/>
  <c r="AJ293" i="1"/>
  <c r="AI293" i="1"/>
  <c r="AH293" i="1"/>
  <c r="AG293" i="1"/>
  <c r="AF293" i="1"/>
  <c r="AE293" i="1"/>
  <c r="Z293" i="1"/>
  <c r="X293" i="1"/>
  <c r="W293" i="1" s="1"/>
  <c r="U293" i="1"/>
  <c r="V293" i="1" s="1"/>
  <c r="R293" i="1"/>
  <c r="N293" i="1"/>
  <c r="M293" i="1"/>
  <c r="L293" i="1"/>
  <c r="K293" i="1"/>
  <c r="F293" i="1"/>
  <c r="AN292" i="1"/>
  <c r="AL292" i="1"/>
  <c r="AM292" i="1" s="1"/>
  <c r="AJ292" i="1"/>
  <c r="AI292" i="1"/>
  <c r="AH292" i="1"/>
  <c r="AG292" i="1"/>
  <c r="AF292" i="1"/>
  <c r="AE292" i="1"/>
  <c r="Z292" i="1"/>
  <c r="X292" i="1"/>
  <c r="W292" i="1" s="1"/>
  <c r="U292" i="1"/>
  <c r="V292" i="1" s="1"/>
  <c r="R292" i="1"/>
  <c r="N292" i="1"/>
  <c r="M292" i="1"/>
  <c r="L292" i="1"/>
  <c r="K292" i="1"/>
  <c r="F292" i="1"/>
  <c r="AN291" i="1"/>
  <c r="AM291" i="1"/>
  <c r="AL291" i="1"/>
  <c r="AJ291" i="1"/>
  <c r="AI291" i="1"/>
  <c r="AH291" i="1"/>
  <c r="AG291" i="1"/>
  <c r="AF291" i="1"/>
  <c r="AE291" i="1"/>
  <c r="Z291" i="1"/>
  <c r="X291" i="1"/>
  <c r="W291" i="1" s="1"/>
  <c r="U291" i="1"/>
  <c r="V291" i="1" s="1"/>
  <c r="R291" i="1"/>
  <c r="N291" i="1"/>
  <c r="M291" i="1"/>
  <c r="L291" i="1"/>
  <c r="K291" i="1"/>
  <c r="F291" i="1"/>
  <c r="AN290" i="1"/>
  <c r="AL290" i="1"/>
  <c r="AM290" i="1" s="1"/>
  <c r="AJ290" i="1"/>
  <c r="AI290" i="1"/>
  <c r="AH290" i="1"/>
  <c r="AG290" i="1"/>
  <c r="AF290" i="1"/>
  <c r="AE290" i="1"/>
  <c r="Z290" i="1"/>
  <c r="X290" i="1"/>
  <c r="W290" i="1" s="1"/>
  <c r="U290" i="1"/>
  <c r="V290" i="1" s="1"/>
  <c r="R290" i="1"/>
  <c r="N290" i="1"/>
  <c r="M290" i="1"/>
  <c r="L290" i="1"/>
  <c r="K290" i="1"/>
  <c r="F290" i="1"/>
  <c r="AN289" i="1"/>
  <c r="AM289" i="1"/>
  <c r="AL289" i="1"/>
  <c r="AJ289" i="1"/>
  <c r="AI289" i="1"/>
  <c r="AH289" i="1"/>
  <c r="AG289" i="1"/>
  <c r="AF289" i="1"/>
  <c r="AE289" i="1"/>
  <c r="Z289" i="1"/>
  <c r="X289" i="1"/>
  <c r="W289" i="1" s="1"/>
  <c r="U289" i="1"/>
  <c r="V289" i="1" s="1"/>
  <c r="R289" i="1"/>
  <c r="N289" i="1"/>
  <c r="M289" i="1"/>
  <c r="L289" i="1"/>
  <c r="K289" i="1"/>
  <c r="F289" i="1"/>
  <c r="AN288" i="1"/>
  <c r="AL288" i="1"/>
  <c r="AM288" i="1" s="1"/>
  <c r="AJ288" i="1"/>
  <c r="AI288" i="1"/>
  <c r="AH288" i="1"/>
  <c r="AG288" i="1"/>
  <c r="AF288" i="1"/>
  <c r="AE288" i="1"/>
  <c r="Z288" i="1"/>
  <c r="X288" i="1"/>
  <c r="W288" i="1" s="1"/>
  <c r="U288" i="1"/>
  <c r="V288" i="1" s="1"/>
  <c r="R288" i="1"/>
  <c r="N288" i="1"/>
  <c r="M288" i="1"/>
  <c r="L288" i="1"/>
  <c r="K288" i="1"/>
  <c r="F288" i="1"/>
  <c r="AN287" i="1"/>
  <c r="AM287" i="1"/>
  <c r="AL287" i="1"/>
  <c r="AJ287" i="1"/>
  <c r="AI287" i="1"/>
  <c r="AH287" i="1"/>
  <c r="AG287" i="1"/>
  <c r="AF287" i="1"/>
  <c r="AE287" i="1"/>
  <c r="Z287" i="1"/>
  <c r="X287" i="1"/>
  <c r="W287" i="1" s="1"/>
  <c r="U287" i="1"/>
  <c r="V287" i="1" s="1"/>
  <c r="R287" i="1"/>
  <c r="N287" i="1"/>
  <c r="M287" i="1"/>
  <c r="L287" i="1"/>
  <c r="K287" i="1"/>
  <c r="F287" i="1"/>
  <c r="AN286" i="1"/>
  <c r="AL286" i="1"/>
  <c r="AM286" i="1" s="1"/>
  <c r="AJ286" i="1"/>
  <c r="AI286" i="1"/>
  <c r="AH286" i="1"/>
  <c r="AG286" i="1"/>
  <c r="AF286" i="1"/>
  <c r="AE286" i="1"/>
  <c r="Z286" i="1"/>
  <c r="X286" i="1"/>
  <c r="W286" i="1" s="1"/>
  <c r="U286" i="1"/>
  <c r="V286" i="1" s="1"/>
  <c r="R286" i="1"/>
  <c r="N286" i="1"/>
  <c r="M286" i="1"/>
  <c r="L286" i="1"/>
  <c r="K286" i="1"/>
  <c r="F286" i="1"/>
  <c r="AN285" i="1"/>
  <c r="AM285" i="1"/>
  <c r="AL285" i="1"/>
  <c r="AJ285" i="1"/>
  <c r="AI285" i="1"/>
  <c r="AH285" i="1"/>
  <c r="AG285" i="1"/>
  <c r="AF285" i="1"/>
  <c r="AE285" i="1"/>
  <c r="Z285" i="1"/>
  <c r="X285" i="1"/>
  <c r="W285" i="1" s="1"/>
  <c r="U285" i="1"/>
  <c r="V285" i="1" s="1"/>
  <c r="R285" i="1"/>
  <c r="N285" i="1"/>
  <c r="M285" i="1"/>
  <c r="L285" i="1"/>
  <c r="K285" i="1"/>
  <c r="F285" i="1"/>
  <c r="AN284" i="1"/>
  <c r="AL284" i="1"/>
  <c r="AM284" i="1" s="1"/>
  <c r="AJ284" i="1"/>
  <c r="AI284" i="1"/>
  <c r="AH284" i="1"/>
  <c r="AG284" i="1"/>
  <c r="AF284" i="1"/>
  <c r="AE284" i="1"/>
  <c r="Z284" i="1"/>
  <c r="X284" i="1"/>
  <c r="W284" i="1" s="1"/>
  <c r="U284" i="1"/>
  <c r="V284" i="1" s="1"/>
  <c r="R284" i="1"/>
  <c r="N284" i="1"/>
  <c r="M284" i="1"/>
  <c r="L284" i="1"/>
  <c r="K284" i="1"/>
  <c r="F284" i="1"/>
  <c r="AN283" i="1"/>
  <c r="AM283" i="1"/>
  <c r="AL283" i="1"/>
  <c r="AJ283" i="1"/>
  <c r="AI283" i="1"/>
  <c r="AH283" i="1"/>
  <c r="AG283" i="1"/>
  <c r="AF283" i="1"/>
  <c r="AE283" i="1"/>
  <c r="Z283" i="1"/>
  <c r="X283" i="1"/>
  <c r="W283" i="1" s="1"/>
  <c r="U283" i="1"/>
  <c r="V283" i="1" s="1"/>
  <c r="R283" i="1"/>
  <c r="N283" i="1"/>
  <c r="M283" i="1"/>
  <c r="L283" i="1"/>
  <c r="K283" i="1"/>
  <c r="F283" i="1"/>
  <c r="AN282" i="1"/>
  <c r="AL282" i="1"/>
  <c r="AM282" i="1" s="1"/>
  <c r="AJ282" i="1"/>
  <c r="AI282" i="1"/>
  <c r="AH282" i="1"/>
  <c r="AG282" i="1"/>
  <c r="AF282" i="1"/>
  <c r="AE282" i="1"/>
  <c r="Z282" i="1"/>
  <c r="X282" i="1"/>
  <c r="W282" i="1" s="1"/>
  <c r="U282" i="1"/>
  <c r="V282" i="1" s="1"/>
  <c r="R282" i="1"/>
  <c r="N282" i="1"/>
  <c r="M282" i="1"/>
  <c r="L282" i="1"/>
  <c r="K282" i="1"/>
  <c r="F282" i="1"/>
  <c r="AN281" i="1"/>
  <c r="AM281" i="1"/>
  <c r="AL281" i="1"/>
  <c r="AJ281" i="1"/>
  <c r="AI281" i="1"/>
  <c r="AH281" i="1"/>
  <c r="AG281" i="1"/>
  <c r="AF281" i="1"/>
  <c r="AE281" i="1"/>
  <c r="Z281" i="1"/>
  <c r="X281" i="1"/>
  <c r="W281" i="1" s="1"/>
  <c r="U281" i="1"/>
  <c r="V281" i="1" s="1"/>
  <c r="R281" i="1"/>
  <c r="N281" i="1"/>
  <c r="M281" i="1"/>
  <c r="L281" i="1"/>
  <c r="K281" i="1"/>
  <c r="F281" i="1"/>
  <c r="AN280" i="1"/>
  <c r="AL280" i="1"/>
  <c r="AM280" i="1" s="1"/>
  <c r="AJ280" i="1"/>
  <c r="AI280" i="1"/>
  <c r="AH280" i="1"/>
  <c r="AG280" i="1"/>
  <c r="AF280" i="1"/>
  <c r="AE280" i="1"/>
  <c r="Z280" i="1"/>
  <c r="X280" i="1"/>
  <c r="W280" i="1" s="1"/>
  <c r="U280" i="1"/>
  <c r="V280" i="1" s="1"/>
  <c r="R280" i="1"/>
  <c r="N280" i="1"/>
  <c r="M280" i="1"/>
  <c r="L280" i="1"/>
  <c r="K280" i="1"/>
  <c r="F280" i="1"/>
  <c r="AN279" i="1"/>
  <c r="AM279" i="1"/>
  <c r="AL279" i="1"/>
  <c r="AJ279" i="1"/>
  <c r="AI279" i="1"/>
  <c r="AH279" i="1"/>
  <c r="AG279" i="1"/>
  <c r="AF279" i="1"/>
  <c r="AE279" i="1"/>
  <c r="Z279" i="1"/>
  <c r="X279" i="1"/>
  <c r="W279" i="1" s="1"/>
  <c r="U279" i="1"/>
  <c r="V279" i="1" s="1"/>
  <c r="R279" i="1"/>
  <c r="N279" i="1"/>
  <c r="M279" i="1"/>
  <c r="L279" i="1"/>
  <c r="K279" i="1"/>
  <c r="F279" i="1"/>
  <c r="AN278" i="1"/>
  <c r="AL278" i="1"/>
  <c r="AM278" i="1" s="1"/>
  <c r="AJ278" i="1"/>
  <c r="AI278" i="1"/>
  <c r="AH278" i="1"/>
  <c r="AG278" i="1"/>
  <c r="AF278" i="1"/>
  <c r="AE278" i="1"/>
  <c r="Z278" i="1"/>
  <c r="X278" i="1"/>
  <c r="W278" i="1" s="1"/>
  <c r="U278" i="1"/>
  <c r="V278" i="1" s="1"/>
  <c r="R278" i="1"/>
  <c r="N278" i="1"/>
  <c r="M278" i="1"/>
  <c r="L278" i="1"/>
  <c r="K278" i="1"/>
  <c r="F278" i="1"/>
  <c r="AN277" i="1"/>
  <c r="AM277" i="1"/>
  <c r="AL277" i="1"/>
  <c r="AJ277" i="1"/>
  <c r="AI277" i="1"/>
  <c r="AH277" i="1"/>
  <c r="AG277" i="1"/>
  <c r="AF277" i="1"/>
  <c r="AE277" i="1"/>
  <c r="Z277" i="1"/>
  <c r="X277" i="1"/>
  <c r="W277" i="1" s="1"/>
  <c r="U277" i="1"/>
  <c r="V277" i="1" s="1"/>
  <c r="R277" i="1"/>
  <c r="N277" i="1"/>
  <c r="M277" i="1"/>
  <c r="L277" i="1"/>
  <c r="K277" i="1"/>
  <c r="F277" i="1"/>
  <c r="AN276" i="1"/>
  <c r="AL276" i="1"/>
  <c r="AM276" i="1" s="1"/>
  <c r="AJ276" i="1"/>
  <c r="AI276" i="1"/>
  <c r="AH276" i="1"/>
  <c r="AG276" i="1"/>
  <c r="AF276" i="1"/>
  <c r="AE276" i="1"/>
  <c r="Z276" i="1"/>
  <c r="X276" i="1"/>
  <c r="W276" i="1" s="1"/>
  <c r="U276" i="1"/>
  <c r="V276" i="1" s="1"/>
  <c r="R276" i="1"/>
  <c r="N276" i="1"/>
  <c r="M276" i="1"/>
  <c r="L276" i="1"/>
  <c r="K276" i="1"/>
  <c r="F276" i="1"/>
  <c r="AN275" i="1"/>
  <c r="AM275" i="1"/>
  <c r="AL275" i="1"/>
  <c r="AJ275" i="1"/>
  <c r="AI275" i="1"/>
  <c r="AH275" i="1"/>
  <c r="AG275" i="1"/>
  <c r="AF275" i="1"/>
  <c r="AE275" i="1"/>
  <c r="Z275" i="1"/>
  <c r="X275" i="1"/>
  <c r="W275" i="1" s="1"/>
  <c r="U275" i="1"/>
  <c r="V275" i="1" s="1"/>
  <c r="R275" i="1"/>
  <c r="N275" i="1"/>
  <c r="M275" i="1"/>
  <c r="L275" i="1"/>
  <c r="K275" i="1"/>
  <c r="F275" i="1"/>
  <c r="AN274" i="1"/>
  <c r="AL274" i="1"/>
  <c r="AM274" i="1" s="1"/>
  <c r="AJ274" i="1"/>
  <c r="AI274" i="1"/>
  <c r="AH274" i="1"/>
  <c r="AG274" i="1"/>
  <c r="AF274" i="1"/>
  <c r="AE274" i="1"/>
  <c r="Z274" i="1"/>
  <c r="X274" i="1"/>
  <c r="W274" i="1" s="1"/>
  <c r="U274" i="1"/>
  <c r="V274" i="1" s="1"/>
  <c r="R274" i="1"/>
  <c r="N274" i="1"/>
  <c r="M274" i="1"/>
  <c r="L274" i="1"/>
  <c r="K274" i="1"/>
  <c r="F274" i="1"/>
  <c r="AN273" i="1"/>
  <c r="AM273" i="1"/>
  <c r="AL273" i="1"/>
  <c r="AJ273" i="1"/>
  <c r="AI273" i="1"/>
  <c r="AH273" i="1"/>
  <c r="AG273" i="1"/>
  <c r="AF273" i="1"/>
  <c r="AE273" i="1"/>
  <c r="Z273" i="1"/>
  <c r="X273" i="1"/>
  <c r="W273" i="1" s="1"/>
  <c r="U273" i="1"/>
  <c r="V273" i="1" s="1"/>
  <c r="R273" i="1"/>
  <c r="N273" i="1"/>
  <c r="M273" i="1"/>
  <c r="L273" i="1"/>
  <c r="K273" i="1"/>
  <c r="F273" i="1"/>
  <c r="AN272" i="1"/>
  <c r="AL272" i="1"/>
  <c r="AM272" i="1" s="1"/>
  <c r="AJ272" i="1"/>
  <c r="AI272" i="1"/>
  <c r="AH272" i="1"/>
  <c r="AG272" i="1"/>
  <c r="AF272" i="1"/>
  <c r="AE272" i="1"/>
  <c r="Z272" i="1"/>
  <c r="X272" i="1"/>
  <c r="W272" i="1" s="1"/>
  <c r="U272" i="1"/>
  <c r="V272" i="1" s="1"/>
  <c r="R272" i="1"/>
  <c r="N272" i="1"/>
  <c r="M272" i="1"/>
  <c r="L272" i="1"/>
  <c r="K272" i="1"/>
  <c r="F272" i="1"/>
  <c r="AN271" i="1"/>
  <c r="AM271" i="1"/>
  <c r="AL271" i="1"/>
  <c r="AJ271" i="1"/>
  <c r="AI271" i="1"/>
  <c r="AH271" i="1"/>
  <c r="AG271" i="1"/>
  <c r="AF271" i="1"/>
  <c r="AE271" i="1"/>
  <c r="Z271" i="1"/>
  <c r="X271" i="1"/>
  <c r="W271" i="1" s="1"/>
  <c r="U271" i="1"/>
  <c r="V271" i="1" s="1"/>
  <c r="R271" i="1"/>
  <c r="N271" i="1"/>
  <c r="M271" i="1"/>
  <c r="L271" i="1"/>
  <c r="K271" i="1"/>
  <c r="F271" i="1"/>
  <c r="AN270" i="1"/>
  <c r="AL270" i="1"/>
  <c r="AM270" i="1" s="1"/>
  <c r="AJ270" i="1"/>
  <c r="AI270" i="1"/>
  <c r="AH270" i="1"/>
  <c r="AG270" i="1"/>
  <c r="AF270" i="1"/>
  <c r="AE270" i="1"/>
  <c r="Z270" i="1"/>
  <c r="X270" i="1"/>
  <c r="W270" i="1" s="1"/>
  <c r="U270" i="1"/>
  <c r="V270" i="1" s="1"/>
  <c r="R270" i="1"/>
  <c r="N270" i="1"/>
  <c r="M270" i="1"/>
  <c r="L270" i="1"/>
  <c r="K270" i="1"/>
  <c r="F270" i="1"/>
  <c r="AN269" i="1"/>
  <c r="AM269" i="1"/>
  <c r="AL269" i="1"/>
  <c r="AJ269" i="1"/>
  <c r="AI269" i="1"/>
  <c r="AH269" i="1"/>
  <c r="AG269" i="1"/>
  <c r="AF269" i="1"/>
  <c r="AE269" i="1"/>
  <c r="Z269" i="1"/>
  <c r="X269" i="1"/>
  <c r="W269" i="1" s="1"/>
  <c r="U269" i="1"/>
  <c r="V269" i="1" s="1"/>
  <c r="R269" i="1"/>
  <c r="N269" i="1"/>
  <c r="M269" i="1"/>
  <c r="L269" i="1"/>
  <c r="K269" i="1"/>
  <c r="F269" i="1"/>
  <c r="AN268" i="1"/>
  <c r="AL268" i="1"/>
  <c r="AM268" i="1" s="1"/>
  <c r="AJ268" i="1"/>
  <c r="AI268" i="1"/>
  <c r="AH268" i="1"/>
  <c r="AG268" i="1"/>
  <c r="AF268" i="1"/>
  <c r="AE268" i="1"/>
  <c r="Z268" i="1"/>
  <c r="X268" i="1"/>
  <c r="W268" i="1" s="1"/>
  <c r="U268" i="1"/>
  <c r="V268" i="1" s="1"/>
  <c r="R268" i="1"/>
  <c r="N268" i="1"/>
  <c r="M268" i="1"/>
  <c r="L268" i="1"/>
  <c r="K268" i="1"/>
  <c r="F268" i="1"/>
  <c r="AN267" i="1"/>
  <c r="AM267" i="1"/>
  <c r="AL267" i="1"/>
  <c r="AJ267" i="1"/>
  <c r="AI267" i="1"/>
  <c r="AH267" i="1"/>
  <c r="AG267" i="1"/>
  <c r="AF267" i="1"/>
  <c r="AE267" i="1"/>
  <c r="Z267" i="1"/>
  <c r="X267" i="1"/>
  <c r="W267" i="1" s="1"/>
  <c r="U267" i="1"/>
  <c r="V267" i="1" s="1"/>
  <c r="R267" i="1"/>
  <c r="N267" i="1"/>
  <c r="M267" i="1"/>
  <c r="L267" i="1"/>
  <c r="K267" i="1"/>
  <c r="F267" i="1"/>
  <c r="AN266" i="1"/>
  <c r="AL266" i="1"/>
  <c r="AM266" i="1" s="1"/>
  <c r="AJ266" i="1"/>
  <c r="AI266" i="1"/>
  <c r="AH266" i="1"/>
  <c r="AG266" i="1"/>
  <c r="AF266" i="1"/>
  <c r="AE266" i="1"/>
  <c r="Z266" i="1"/>
  <c r="X266" i="1"/>
  <c r="W266" i="1" s="1"/>
  <c r="U266" i="1"/>
  <c r="V266" i="1" s="1"/>
  <c r="R266" i="1"/>
  <c r="N266" i="1"/>
  <c r="M266" i="1"/>
  <c r="L266" i="1"/>
  <c r="K266" i="1"/>
  <c r="F266" i="1"/>
  <c r="AN265" i="1"/>
  <c r="AM265" i="1"/>
  <c r="AL265" i="1"/>
  <c r="AJ265" i="1"/>
  <c r="AI265" i="1"/>
  <c r="AH265" i="1"/>
  <c r="AG265" i="1"/>
  <c r="AF265" i="1"/>
  <c r="AE265" i="1"/>
  <c r="Z265" i="1"/>
  <c r="X265" i="1"/>
  <c r="W265" i="1" s="1"/>
  <c r="U265" i="1"/>
  <c r="V265" i="1" s="1"/>
  <c r="R265" i="1"/>
  <c r="N265" i="1"/>
  <c r="M265" i="1"/>
  <c r="L265" i="1"/>
  <c r="K265" i="1"/>
  <c r="F265" i="1"/>
  <c r="AN264" i="1"/>
  <c r="AL264" i="1"/>
  <c r="AM264" i="1" s="1"/>
  <c r="AJ264" i="1"/>
  <c r="AI264" i="1"/>
  <c r="AH264" i="1"/>
  <c r="AG264" i="1"/>
  <c r="AF264" i="1"/>
  <c r="AE264" i="1"/>
  <c r="Z264" i="1"/>
  <c r="X264" i="1"/>
  <c r="W264" i="1" s="1"/>
  <c r="U264" i="1"/>
  <c r="V264" i="1" s="1"/>
  <c r="R264" i="1"/>
  <c r="N264" i="1"/>
  <c r="M264" i="1"/>
  <c r="L264" i="1"/>
  <c r="K264" i="1"/>
  <c r="F264" i="1"/>
  <c r="AN263" i="1"/>
  <c r="AL263" i="1"/>
  <c r="AM263" i="1" s="1"/>
  <c r="AJ263" i="1"/>
  <c r="AI263" i="1"/>
  <c r="AH263" i="1"/>
  <c r="AG263" i="1"/>
  <c r="AF263" i="1"/>
  <c r="AE263" i="1"/>
  <c r="Z263" i="1"/>
  <c r="X263" i="1"/>
  <c r="W263" i="1" s="1"/>
  <c r="U263" i="1"/>
  <c r="V263" i="1" s="1"/>
  <c r="R263" i="1"/>
  <c r="N263" i="1"/>
  <c r="M263" i="1"/>
  <c r="L263" i="1"/>
  <c r="K263" i="1"/>
  <c r="F263" i="1"/>
  <c r="AN262" i="1"/>
  <c r="AL262" i="1"/>
  <c r="AM262" i="1" s="1"/>
  <c r="AJ262" i="1"/>
  <c r="AI262" i="1"/>
  <c r="AH262" i="1"/>
  <c r="AG262" i="1"/>
  <c r="AF262" i="1"/>
  <c r="AE262" i="1"/>
  <c r="Z262" i="1"/>
  <c r="X262" i="1"/>
  <c r="W262" i="1" s="1"/>
  <c r="U262" i="1"/>
  <c r="V262" i="1" s="1"/>
  <c r="R262" i="1"/>
  <c r="N262" i="1"/>
  <c r="M262" i="1"/>
  <c r="L262" i="1"/>
  <c r="K262" i="1"/>
  <c r="F262" i="1"/>
  <c r="AN261" i="1"/>
  <c r="AL261" i="1"/>
  <c r="AM261" i="1" s="1"/>
  <c r="AJ261" i="1"/>
  <c r="AI261" i="1"/>
  <c r="AH261" i="1"/>
  <c r="AG261" i="1"/>
  <c r="AF261" i="1"/>
  <c r="AE261" i="1"/>
  <c r="Z261" i="1"/>
  <c r="X261" i="1"/>
  <c r="W261" i="1" s="1"/>
  <c r="U261" i="1"/>
  <c r="V261" i="1" s="1"/>
  <c r="R261" i="1"/>
  <c r="N261" i="1"/>
  <c r="M261" i="1"/>
  <c r="L261" i="1"/>
  <c r="K261" i="1"/>
  <c r="F261" i="1"/>
  <c r="AN260" i="1"/>
  <c r="AL260" i="1"/>
  <c r="AM260" i="1" s="1"/>
  <c r="AJ260" i="1"/>
  <c r="AI260" i="1"/>
  <c r="AH260" i="1"/>
  <c r="AG260" i="1"/>
  <c r="AF260" i="1"/>
  <c r="AE260" i="1"/>
  <c r="Z260" i="1"/>
  <c r="X260" i="1"/>
  <c r="W260" i="1" s="1"/>
  <c r="U260" i="1"/>
  <c r="V260" i="1" s="1"/>
  <c r="R260" i="1"/>
  <c r="N260" i="1"/>
  <c r="M260" i="1"/>
  <c r="L260" i="1"/>
  <c r="K260" i="1"/>
  <c r="F260" i="1"/>
  <c r="AN259" i="1"/>
  <c r="AM259" i="1"/>
  <c r="AL259" i="1"/>
  <c r="AJ259" i="1"/>
  <c r="AI259" i="1"/>
  <c r="AH259" i="1"/>
  <c r="AG259" i="1"/>
  <c r="AF259" i="1"/>
  <c r="AE259" i="1"/>
  <c r="Z259" i="1"/>
  <c r="X259" i="1"/>
  <c r="W259" i="1" s="1"/>
  <c r="U259" i="1"/>
  <c r="V259" i="1" s="1"/>
  <c r="R259" i="1"/>
  <c r="N259" i="1"/>
  <c r="M259" i="1"/>
  <c r="L259" i="1"/>
  <c r="K259" i="1"/>
  <c r="F259" i="1"/>
  <c r="AN258" i="1"/>
  <c r="AL258" i="1"/>
  <c r="AM258" i="1" s="1"/>
  <c r="AJ258" i="1"/>
  <c r="AI258" i="1"/>
  <c r="AH258" i="1"/>
  <c r="AG258" i="1"/>
  <c r="AF258" i="1"/>
  <c r="AE258" i="1"/>
  <c r="Z258" i="1"/>
  <c r="X258" i="1"/>
  <c r="W258" i="1" s="1"/>
  <c r="U258" i="1"/>
  <c r="V258" i="1" s="1"/>
  <c r="R258" i="1"/>
  <c r="N258" i="1"/>
  <c r="M258" i="1"/>
  <c r="L258" i="1"/>
  <c r="K258" i="1"/>
  <c r="F258" i="1"/>
  <c r="AN257" i="1"/>
  <c r="AM257" i="1"/>
  <c r="AL257" i="1"/>
  <c r="AJ257" i="1"/>
  <c r="AI257" i="1"/>
  <c r="AH257" i="1"/>
  <c r="AG257" i="1"/>
  <c r="AF257" i="1"/>
  <c r="AE257" i="1"/>
  <c r="Z257" i="1"/>
  <c r="X257" i="1"/>
  <c r="W257" i="1" s="1"/>
  <c r="U257" i="1"/>
  <c r="V257" i="1" s="1"/>
  <c r="R257" i="1"/>
  <c r="N257" i="1"/>
  <c r="M257" i="1"/>
  <c r="L257" i="1"/>
  <c r="K257" i="1"/>
  <c r="F257" i="1"/>
  <c r="AN256" i="1"/>
  <c r="AM256" i="1"/>
  <c r="AL256" i="1"/>
  <c r="AJ256" i="1"/>
  <c r="AI256" i="1"/>
  <c r="AH256" i="1"/>
  <c r="AG256" i="1"/>
  <c r="AF256" i="1"/>
  <c r="AE256" i="1"/>
  <c r="Z256" i="1"/>
  <c r="X256" i="1"/>
  <c r="W256" i="1" s="1"/>
  <c r="U256" i="1"/>
  <c r="V256" i="1" s="1"/>
  <c r="R256" i="1"/>
  <c r="N256" i="1"/>
  <c r="M256" i="1"/>
  <c r="L256" i="1"/>
  <c r="K256" i="1"/>
  <c r="F256" i="1"/>
  <c r="AN255" i="1"/>
  <c r="AM255" i="1"/>
  <c r="AL255" i="1"/>
  <c r="AJ255" i="1"/>
  <c r="AI255" i="1"/>
  <c r="AH255" i="1"/>
  <c r="AG255" i="1"/>
  <c r="AF255" i="1"/>
  <c r="AE255" i="1"/>
  <c r="Z255" i="1"/>
  <c r="X255" i="1"/>
  <c r="W255" i="1" s="1"/>
  <c r="U255" i="1"/>
  <c r="V255" i="1" s="1"/>
  <c r="R255" i="1"/>
  <c r="N255" i="1"/>
  <c r="M255" i="1"/>
  <c r="L255" i="1"/>
  <c r="K255" i="1"/>
  <c r="F255" i="1"/>
  <c r="AN254" i="1"/>
  <c r="AL254" i="1"/>
  <c r="AM254" i="1" s="1"/>
  <c r="AJ254" i="1"/>
  <c r="AI254" i="1"/>
  <c r="AH254" i="1"/>
  <c r="AG254" i="1"/>
  <c r="AF254" i="1"/>
  <c r="AE254" i="1"/>
  <c r="Z254" i="1"/>
  <c r="X254" i="1"/>
  <c r="W254" i="1" s="1"/>
  <c r="U254" i="1"/>
  <c r="V254" i="1" s="1"/>
  <c r="R254" i="1"/>
  <c r="N254" i="1"/>
  <c r="M254" i="1"/>
  <c r="L254" i="1"/>
  <c r="K254" i="1"/>
  <c r="F254" i="1"/>
  <c r="AN253" i="1"/>
  <c r="AM253" i="1"/>
  <c r="AL253" i="1"/>
  <c r="AJ253" i="1"/>
  <c r="AI253" i="1"/>
  <c r="AH253" i="1"/>
  <c r="AG253" i="1"/>
  <c r="AF253" i="1"/>
  <c r="AE253" i="1"/>
  <c r="Z253" i="1"/>
  <c r="X253" i="1"/>
  <c r="W253" i="1" s="1"/>
  <c r="U253" i="1"/>
  <c r="V253" i="1" s="1"/>
  <c r="R253" i="1"/>
  <c r="N253" i="1"/>
  <c r="M253" i="1"/>
  <c r="L253" i="1"/>
  <c r="K253" i="1"/>
  <c r="F253" i="1"/>
  <c r="AN252" i="1"/>
  <c r="AM252" i="1"/>
  <c r="AL252" i="1"/>
  <c r="AJ252" i="1"/>
  <c r="AI252" i="1"/>
  <c r="AH252" i="1"/>
  <c r="AG252" i="1"/>
  <c r="AF252" i="1"/>
  <c r="AE252" i="1"/>
  <c r="Z252" i="1"/>
  <c r="X252" i="1"/>
  <c r="W252" i="1" s="1"/>
  <c r="U252" i="1"/>
  <c r="V252" i="1" s="1"/>
  <c r="R252" i="1"/>
  <c r="N252" i="1"/>
  <c r="M252" i="1"/>
  <c r="L252" i="1"/>
  <c r="K252" i="1"/>
  <c r="F252" i="1"/>
  <c r="AN251" i="1"/>
  <c r="AM251" i="1"/>
  <c r="AL251" i="1"/>
  <c r="AJ251" i="1"/>
  <c r="AI251" i="1"/>
  <c r="AH251" i="1"/>
  <c r="AG251" i="1"/>
  <c r="AF251" i="1"/>
  <c r="AE251" i="1"/>
  <c r="Z251" i="1"/>
  <c r="X251" i="1"/>
  <c r="W251" i="1" s="1"/>
  <c r="U251" i="1"/>
  <c r="V251" i="1" s="1"/>
  <c r="R251" i="1"/>
  <c r="N251" i="1"/>
  <c r="M251" i="1"/>
  <c r="L251" i="1"/>
  <c r="K251" i="1"/>
  <c r="F251" i="1"/>
  <c r="AN250" i="1"/>
  <c r="AL250" i="1"/>
  <c r="AM250" i="1" s="1"/>
  <c r="AJ250" i="1"/>
  <c r="AI250" i="1"/>
  <c r="AH250" i="1"/>
  <c r="AG250" i="1"/>
  <c r="AF250" i="1"/>
  <c r="AE250" i="1"/>
  <c r="Z250" i="1"/>
  <c r="X250" i="1"/>
  <c r="W250" i="1" s="1"/>
  <c r="U250" i="1"/>
  <c r="V250" i="1" s="1"/>
  <c r="R250" i="1"/>
  <c r="N250" i="1"/>
  <c r="M250" i="1"/>
  <c r="L250" i="1"/>
  <c r="K250" i="1"/>
  <c r="F250" i="1"/>
  <c r="AN249" i="1"/>
  <c r="AM249" i="1"/>
  <c r="AL249" i="1"/>
  <c r="AJ249" i="1"/>
  <c r="AI249" i="1"/>
  <c r="AH249" i="1"/>
  <c r="AG249" i="1"/>
  <c r="AF249" i="1"/>
  <c r="AE249" i="1"/>
  <c r="Z249" i="1"/>
  <c r="X249" i="1"/>
  <c r="W249" i="1" s="1"/>
  <c r="U249" i="1"/>
  <c r="V249" i="1" s="1"/>
  <c r="R249" i="1"/>
  <c r="N249" i="1"/>
  <c r="F249" i="1"/>
  <c r="AN248" i="1"/>
  <c r="AM248" i="1"/>
  <c r="AL248" i="1"/>
  <c r="AJ248" i="1"/>
  <c r="AI248" i="1"/>
  <c r="AH248" i="1"/>
  <c r="AG248" i="1"/>
  <c r="AF248" i="1"/>
  <c r="AE248" i="1"/>
  <c r="Z248" i="1"/>
  <c r="X248" i="1"/>
  <c r="W248" i="1"/>
  <c r="V248" i="1"/>
  <c r="U248" i="1"/>
  <c r="R248" i="1"/>
  <c r="N248" i="1"/>
  <c r="F248" i="1"/>
  <c r="AN247" i="1"/>
  <c r="AL247" i="1"/>
  <c r="AM247" i="1" s="1"/>
  <c r="AJ247" i="1"/>
  <c r="AI247" i="1"/>
  <c r="AH247" i="1"/>
  <c r="AG247" i="1"/>
  <c r="AF247" i="1"/>
  <c r="AE247" i="1"/>
  <c r="Z247" i="1"/>
  <c r="X247" i="1"/>
  <c r="W247" i="1"/>
  <c r="V247" i="1"/>
  <c r="U247" i="1"/>
  <c r="R247" i="1"/>
  <c r="N247" i="1"/>
  <c r="M247" i="1"/>
  <c r="L247" i="1"/>
  <c r="K247" i="1"/>
  <c r="F247" i="1"/>
  <c r="AN246" i="1"/>
  <c r="AL246" i="1"/>
  <c r="AJ246" i="1"/>
  <c r="AI246" i="1"/>
  <c r="AH246" i="1"/>
  <c r="AG246" i="1"/>
  <c r="AF246" i="1"/>
  <c r="AE246" i="1"/>
  <c r="Z246" i="1"/>
  <c r="X246" i="1"/>
  <c r="W246" i="1"/>
  <c r="U246" i="1"/>
  <c r="R246" i="1"/>
  <c r="N246" i="1"/>
  <c r="M246" i="1"/>
  <c r="L246" i="1"/>
  <c r="K246" i="1"/>
  <c r="F246" i="1"/>
  <c r="AM246" i="1" s="1"/>
  <c r="AN245" i="1"/>
  <c r="AL245" i="1"/>
  <c r="AJ245" i="1"/>
  <c r="AI245" i="1"/>
  <c r="AH245" i="1"/>
  <c r="AG245" i="1"/>
  <c r="AF245" i="1"/>
  <c r="AE245" i="1"/>
  <c r="Z245" i="1"/>
  <c r="X245" i="1"/>
  <c r="W245" i="1"/>
  <c r="V245" i="1"/>
  <c r="U245" i="1"/>
  <c r="R245" i="1"/>
  <c r="N245" i="1"/>
  <c r="M245" i="1"/>
  <c r="L245" i="1"/>
  <c r="K245" i="1"/>
  <c r="F245" i="1"/>
  <c r="AN244" i="1"/>
  <c r="AL244" i="1"/>
  <c r="AJ244" i="1"/>
  <c r="AI244" i="1"/>
  <c r="AH244" i="1"/>
  <c r="AG244" i="1"/>
  <c r="AF244" i="1"/>
  <c r="AE244" i="1"/>
  <c r="Z244" i="1"/>
  <c r="X244" i="1"/>
  <c r="W244" i="1"/>
  <c r="U244" i="1"/>
  <c r="R244" i="1"/>
  <c r="N244" i="1"/>
  <c r="M244" i="1"/>
  <c r="L244" i="1"/>
  <c r="K244" i="1"/>
  <c r="F244" i="1"/>
  <c r="AM244" i="1" s="1"/>
  <c r="AN243" i="1"/>
  <c r="AL243" i="1"/>
  <c r="AM243" i="1" s="1"/>
  <c r="AJ243" i="1"/>
  <c r="AI243" i="1"/>
  <c r="AH243" i="1"/>
  <c r="AG243" i="1"/>
  <c r="AF243" i="1"/>
  <c r="AE243" i="1"/>
  <c r="Z243" i="1"/>
  <c r="X243" i="1"/>
  <c r="W243" i="1"/>
  <c r="U243" i="1"/>
  <c r="R243" i="1"/>
  <c r="N243" i="1"/>
  <c r="M243" i="1"/>
  <c r="L243" i="1"/>
  <c r="K243" i="1"/>
  <c r="F243" i="1"/>
  <c r="V243" i="1" s="1"/>
  <c r="AN242" i="1"/>
  <c r="AL242" i="1"/>
  <c r="AJ242" i="1"/>
  <c r="AI242" i="1"/>
  <c r="AH242" i="1"/>
  <c r="AG242" i="1"/>
  <c r="AF242" i="1"/>
  <c r="AE242" i="1"/>
  <c r="Z242" i="1"/>
  <c r="X242" i="1"/>
  <c r="W242" i="1"/>
  <c r="U242" i="1"/>
  <c r="R242" i="1"/>
  <c r="N242" i="1"/>
  <c r="M242" i="1"/>
  <c r="L242" i="1"/>
  <c r="K242" i="1"/>
  <c r="F242" i="1"/>
  <c r="AN241" i="1"/>
  <c r="AL241" i="1"/>
  <c r="AJ241" i="1"/>
  <c r="AI241" i="1"/>
  <c r="AH241" i="1"/>
  <c r="AG241" i="1"/>
  <c r="AF241" i="1"/>
  <c r="AE241" i="1"/>
  <c r="Z241" i="1"/>
  <c r="X241" i="1"/>
  <c r="W241" i="1"/>
  <c r="U241" i="1"/>
  <c r="R241" i="1"/>
  <c r="N241" i="1"/>
  <c r="F241" i="1"/>
  <c r="V241" i="1" s="1"/>
  <c r="AN240" i="1"/>
  <c r="AL240" i="1"/>
  <c r="AM240" i="1" s="1"/>
  <c r="AJ240" i="1"/>
  <c r="AI240" i="1"/>
  <c r="AH240" i="1"/>
  <c r="AG240" i="1"/>
  <c r="AF240" i="1"/>
  <c r="AE240" i="1"/>
  <c r="Z240" i="1"/>
  <c r="X240" i="1"/>
  <c r="W240" i="1" s="1"/>
  <c r="U240" i="1"/>
  <c r="N240" i="1"/>
  <c r="M240" i="1"/>
  <c r="L240" i="1"/>
  <c r="K240" i="1"/>
  <c r="F240" i="1"/>
  <c r="V240" i="1" s="1"/>
  <c r="AN239" i="1"/>
  <c r="AM239" i="1"/>
  <c r="AL239" i="1"/>
  <c r="AJ239" i="1"/>
  <c r="AI239" i="1"/>
  <c r="AH239" i="1"/>
  <c r="AG239" i="1"/>
  <c r="AF239" i="1"/>
  <c r="AE239" i="1"/>
  <c r="Z239" i="1"/>
  <c r="X239" i="1"/>
  <c r="W239" i="1"/>
  <c r="V239" i="1"/>
  <c r="U239" i="1"/>
  <c r="N239" i="1"/>
  <c r="M239" i="1"/>
  <c r="L239" i="1"/>
  <c r="K239" i="1"/>
  <c r="F239" i="1"/>
  <c r="AN238" i="1"/>
  <c r="AM238" i="1"/>
  <c r="AL238" i="1"/>
  <c r="AJ238" i="1"/>
  <c r="AI238" i="1"/>
  <c r="AH238" i="1"/>
  <c r="AG238" i="1"/>
  <c r="AF238" i="1"/>
  <c r="AE238" i="1"/>
  <c r="Z238" i="1"/>
  <c r="X238" i="1"/>
  <c r="W238" i="1"/>
  <c r="U238" i="1"/>
  <c r="V238" i="1" s="1"/>
  <c r="N238" i="1"/>
  <c r="M238" i="1"/>
  <c r="L238" i="1"/>
  <c r="K238" i="1"/>
  <c r="F238" i="1"/>
  <c r="AN237" i="1"/>
  <c r="AL237" i="1"/>
  <c r="AM237" i="1" s="1"/>
  <c r="AJ237" i="1"/>
  <c r="AI237" i="1"/>
  <c r="AH237" i="1"/>
  <c r="AG237" i="1"/>
  <c r="AF237" i="1"/>
  <c r="AE237" i="1"/>
  <c r="Z237" i="1"/>
  <c r="X237" i="1"/>
  <c r="W237" i="1" s="1"/>
  <c r="U237" i="1"/>
  <c r="V237" i="1" s="1"/>
  <c r="N237" i="1"/>
  <c r="M237" i="1"/>
  <c r="L237" i="1"/>
  <c r="K237" i="1"/>
  <c r="F237" i="1"/>
  <c r="AN236" i="1"/>
  <c r="AL236" i="1"/>
  <c r="AJ236" i="1"/>
  <c r="AI236" i="1"/>
  <c r="AH236" i="1"/>
  <c r="AG236" i="1"/>
  <c r="AF236" i="1"/>
  <c r="AE236" i="1"/>
  <c r="Z236" i="1"/>
  <c r="X236" i="1"/>
  <c r="W236" i="1" s="1"/>
  <c r="U236" i="1"/>
  <c r="N236" i="1"/>
  <c r="M236" i="1"/>
  <c r="L236" i="1"/>
  <c r="K236" i="1"/>
  <c r="F236" i="1"/>
  <c r="AN235" i="1"/>
  <c r="AL235" i="1"/>
  <c r="AM235" i="1" s="1"/>
  <c r="AJ235" i="1"/>
  <c r="AI235" i="1"/>
  <c r="AH235" i="1"/>
  <c r="AG235" i="1"/>
  <c r="AF235" i="1"/>
  <c r="AE235" i="1"/>
  <c r="Z235" i="1"/>
  <c r="X235" i="1"/>
  <c r="W235" i="1"/>
  <c r="U235" i="1"/>
  <c r="V235" i="1" s="1"/>
  <c r="N235" i="1"/>
  <c r="F235" i="1"/>
  <c r="AN234" i="1"/>
  <c r="AL234" i="1"/>
  <c r="AM234" i="1" s="1"/>
  <c r="AJ234" i="1"/>
  <c r="AI234" i="1"/>
  <c r="AH234" i="1"/>
  <c r="AG234" i="1"/>
  <c r="AF234" i="1"/>
  <c r="AE234" i="1"/>
  <c r="Z234" i="1"/>
  <c r="X234" i="1"/>
  <c r="W234" i="1"/>
  <c r="V234" i="1"/>
  <c r="U234" i="1"/>
  <c r="N234" i="1"/>
  <c r="M234" i="1"/>
  <c r="L234" i="1"/>
  <c r="K234" i="1"/>
  <c r="F234" i="1"/>
  <c r="AN233" i="1"/>
  <c r="AL233" i="1"/>
  <c r="AJ233" i="1"/>
  <c r="AI233" i="1"/>
  <c r="AH233" i="1"/>
  <c r="AG233" i="1"/>
  <c r="AF233" i="1"/>
  <c r="AE233" i="1"/>
  <c r="Z233" i="1"/>
  <c r="X233" i="1"/>
  <c r="W233" i="1" s="1"/>
  <c r="U233" i="1"/>
  <c r="V233" i="1" s="1"/>
  <c r="N233" i="1"/>
  <c r="M233" i="1"/>
  <c r="L233" i="1"/>
  <c r="K233" i="1"/>
  <c r="F233" i="1"/>
  <c r="AM233" i="1" s="1"/>
  <c r="AN232" i="1"/>
  <c r="AL232" i="1"/>
  <c r="AM232" i="1" s="1"/>
  <c r="AJ232" i="1"/>
  <c r="AI232" i="1"/>
  <c r="AH232" i="1"/>
  <c r="AG232" i="1"/>
  <c r="AF232" i="1"/>
  <c r="AE232" i="1"/>
  <c r="Z232" i="1"/>
  <c r="X232" i="1"/>
  <c r="W232" i="1" s="1"/>
  <c r="U232" i="1"/>
  <c r="V232" i="1" s="1"/>
  <c r="N232" i="1"/>
  <c r="M232" i="1"/>
  <c r="L232" i="1"/>
  <c r="K232" i="1"/>
  <c r="F232" i="1"/>
  <c r="AN231" i="1"/>
  <c r="AL231" i="1"/>
  <c r="AM231" i="1" s="1"/>
  <c r="AJ231" i="1"/>
  <c r="AI231" i="1"/>
  <c r="AH231" i="1"/>
  <c r="AG231" i="1"/>
  <c r="AF231" i="1"/>
  <c r="AE231" i="1"/>
  <c r="Z231" i="1"/>
  <c r="X231" i="1"/>
  <c r="W231" i="1" s="1"/>
  <c r="U231" i="1"/>
  <c r="N231" i="1"/>
  <c r="M231" i="1"/>
  <c r="L231" i="1"/>
  <c r="K231" i="1"/>
  <c r="F231" i="1"/>
  <c r="V231" i="1" s="1"/>
  <c r="AN230" i="1"/>
  <c r="AM230" i="1"/>
  <c r="AL230" i="1"/>
  <c r="AJ230" i="1"/>
  <c r="AI230" i="1"/>
  <c r="AH230" i="1"/>
  <c r="AG230" i="1"/>
  <c r="AF230" i="1"/>
  <c r="AE230" i="1"/>
  <c r="Z230" i="1"/>
  <c r="X230" i="1"/>
  <c r="W230" i="1"/>
  <c r="V230" i="1"/>
  <c r="U230" i="1"/>
  <c r="N230" i="1"/>
  <c r="M230" i="1"/>
  <c r="L230" i="1"/>
  <c r="K230" i="1"/>
  <c r="F230" i="1"/>
  <c r="AN229" i="1"/>
  <c r="AM229" i="1"/>
  <c r="AL229" i="1"/>
  <c r="AJ229" i="1"/>
  <c r="AI229" i="1"/>
  <c r="AH229" i="1"/>
  <c r="AG229" i="1"/>
  <c r="AF229" i="1"/>
  <c r="AE229" i="1"/>
  <c r="Z229" i="1"/>
  <c r="X229" i="1"/>
  <c r="W229" i="1"/>
  <c r="V229" i="1"/>
  <c r="U229" i="1"/>
  <c r="N229" i="1"/>
  <c r="M229" i="1"/>
  <c r="L229" i="1"/>
  <c r="K229" i="1"/>
  <c r="F229" i="1"/>
  <c r="AN228" i="1"/>
  <c r="AL228" i="1"/>
  <c r="AJ228" i="1"/>
  <c r="AI228" i="1"/>
  <c r="AH228" i="1"/>
  <c r="AG228" i="1"/>
  <c r="AF228" i="1"/>
  <c r="AE228" i="1"/>
  <c r="Z228" i="1"/>
  <c r="X228" i="1"/>
  <c r="W228" i="1"/>
  <c r="U228" i="1"/>
  <c r="N228" i="1"/>
  <c r="M228" i="1"/>
  <c r="L228" i="1"/>
  <c r="K228" i="1"/>
  <c r="F228" i="1"/>
  <c r="AM228" i="1" s="1"/>
  <c r="AN227" i="1"/>
  <c r="AL227" i="1"/>
  <c r="AM227" i="1" s="1"/>
  <c r="AJ227" i="1"/>
  <c r="AI227" i="1"/>
  <c r="AH227" i="1"/>
  <c r="AG227" i="1"/>
  <c r="AF227" i="1"/>
  <c r="AE227" i="1"/>
  <c r="Z227" i="1"/>
  <c r="X227" i="1"/>
  <c r="W227" i="1" s="1"/>
  <c r="U227" i="1"/>
  <c r="V227" i="1" s="1"/>
  <c r="N227" i="1"/>
  <c r="M227" i="1"/>
  <c r="L227" i="1"/>
  <c r="K227" i="1"/>
  <c r="F227" i="1"/>
  <c r="AN226" i="1"/>
  <c r="AL226" i="1"/>
  <c r="AM226" i="1" s="1"/>
  <c r="AJ226" i="1"/>
  <c r="AI226" i="1"/>
  <c r="AH226" i="1"/>
  <c r="AG226" i="1"/>
  <c r="AF226" i="1"/>
  <c r="AE226" i="1"/>
  <c r="Z226" i="1"/>
  <c r="X226" i="1"/>
  <c r="W226" i="1"/>
  <c r="V226" i="1"/>
  <c r="U226" i="1"/>
  <c r="N226" i="1"/>
  <c r="M226" i="1"/>
  <c r="L226" i="1"/>
  <c r="K226" i="1"/>
  <c r="F226" i="1"/>
  <c r="AN225" i="1"/>
  <c r="AL225" i="1"/>
  <c r="AJ225" i="1"/>
  <c r="AI225" i="1"/>
  <c r="AH225" i="1"/>
  <c r="AG225" i="1"/>
  <c r="AF225" i="1"/>
  <c r="AE225" i="1"/>
  <c r="Z225" i="1"/>
  <c r="X225" i="1"/>
  <c r="W225" i="1" s="1"/>
  <c r="U225" i="1"/>
  <c r="V225" i="1" s="1"/>
  <c r="N225" i="1"/>
  <c r="M225" i="1"/>
  <c r="L225" i="1"/>
  <c r="K225" i="1"/>
  <c r="F225" i="1"/>
  <c r="AM225" i="1" s="1"/>
  <c r="AN224" i="1"/>
  <c r="AL224" i="1"/>
  <c r="AM224" i="1" s="1"/>
  <c r="AJ224" i="1"/>
  <c r="AI224" i="1"/>
  <c r="AH224" i="1"/>
  <c r="AG224" i="1"/>
  <c r="AF224" i="1"/>
  <c r="AE224" i="1"/>
  <c r="Z224" i="1"/>
  <c r="X224" i="1"/>
  <c r="W224" i="1" s="1"/>
  <c r="U224" i="1"/>
  <c r="V224" i="1" s="1"/>
  <c r="N224" i="1"/>
  <c r="M224" i="1"/>
  <c r="L224" i="1"/>
  <c r="K224" i="1"/>
  <c r="F224" i="1"/>
  <c r="AN223" i="1"/>
  <c r="AL223" i="1"/>
  <c r="AJ223" i="1"/>
  <c r="AI223" i="1"/>
  <c r="AH223" i="1"/>
  <c r="AG223" i="1"/>
  <c r="AF223" i="1"/>
  <c r="AE223" i="1"/>
  <c r="Z223" i="1"/>
  <c r="X223" i="1"/>
  <c r="W223" i="1" s="1"/>
  <c r="U223" i="1"/>
  <c r="N223" i="1"/>
  <c r="M223" i="1"/>
  <c r="L223" i="1"/>
  <c r="K223" i="1"/>
  <c r="F223" i="1"/>
  <c r="V223" i="1" s="1"/>
  <c r="AN222" i="1"/>
  <c r="AM222" i="1"/>
  <c r="AL222" i="1"/>
  <c r="AJ222" i="1"/>
  <c r="AI222" i="1"/>
  <c r="AH222" i="1"/>
  <c r="AG222" i="1"/>
  <c r="AF222" i="1"/>
  <c r="AE222" i="1"/>
  <c r="Z222" i="1"/>
  <c r="X222" i="1"/>
  <c r="W222" i="1"/>
  <c r="V222" i="1"/>
  <c r="U222" i="1"/>
  <c r="N222" i="1"/>
  <c r="M222" i="1"/>
  <c r="L222" i="1"/>
  <c r="K222" i="1"/>
  <c r="F222" i="1"/>
  <c r="AN221" i="1"/>
  <c r="AM221" i="1"/>
  <c r="AL221" i="1"/>
  <c r="AJ221" i="1"/>
  <c r="AI221" i="1"/>
  <c r="AH221" i="1"/>
  <c r="AG221" i="1"/>
  <c r="AF221" i="1"/>
  <c r="AE221" i="1"/>
  <c r="Z221" i="1"/>
  <c r="X221" i="1"/>
  <c r="W221" i="1"/>
  <c r="V221" i="1"/>
  <c r="U221" i="1"/>
  <c r="N221" i="1"/>
  <c r="M221" i="1"/>
  <c r="L221" i="1"/>
  <c r="K221" i="1"/>
  <c r="F221" i="1"/>
  <c r="AN220" i="1"/>
  <c r="AL220" i="1"/>
  <c r="AJ220" i="1"/>
  <c r="AI220" i="1"/>
  <c r="AH220" i="1"/>
  <c r="AG220" i="1"/>
  <c r="AF220" i="1"/>
  <c r="AE220" i="1"/>
  <c r="Z220" i="1"/>
  <c r="X220" i="1"/>
  <c r="W220" i="1"/>
  <c r="U220" i="1"/>
  <c r="N220" i="1"/>
  <c r="M220" i="1"/>
  <c r="L220" i="1"/>
  <c r="K220" i="1"/>
  <c r="F220" i="1"/>
  <c r="AM220" i="1" s="1"/>
  <c r="AN219" i="1"/>
  <c r="AL219" i="1"/>
  <c r="AM219" i="1" s="1"/>
  <c r="AJ219" i="1"/>
  <c r="AI219" i="1"/>
  <c r="AH219" i="1"/>
  <c r="AG219" i="1"/>
  <c r="AF219" i="1"/>
  <c r="AE219" i="1"/>
  <c r="Z219" i="1"/>
  <c r="X219" i="1"/>
  <c r="W219" i="1" s="1"/>
  <c r="U219" i="1"/>
  <c r="V219" i="1" s="1"/>
  <c r="N219" i="1"/>
  <c r="M219" i="1"/>
  <c r="L219" i="1"/>
  <c r="K219" i="1"/>
  <c r="F219" i="1"/>
  <c r="AN218" i="1"/>
  <c r="AL218" i="1"/>
  <c r="AJ218" i="1"/>
  <c r="AI218" i="1"/>
  <c r="AH218" i="1"/>
  <c r="AG218" i="1"/>
  <c r="AF218" i="1"/>
  <c r="AE218" i="1"/>
  <c r="Z218" i="1"/>
  <c r="X218" i="1"/>
  <c r="W218" i="1"/>
  <c r="U218" i="1"/>
  <c r="V218" i="1" s="1"/>
  <c r="N218" i="1"/>
  <c r="M218" i="1"/>
  <c r="L218" i="1"/>
  <c r="K218" i="1"/>
  <c r="F218" i="1"/>
  <c r="AN217" i="1"/>
  <c r="AL217" i="1"/>
  <c r="AM217" i="1" s="1"/>
  <c r="AJ217" i="1"/>
  <c r="AI217" i="1"/>
  <c r="AH217" i="1"/>
  <c r="AG217" i="1"/>
  <c r="AF217" i="1"/>
  <c r="AE217" i="1"/>
  <c r="Z217" i="1"/>
  <c r="X217" i="1"/>
  <c r="W217" i="1" s="1"/>
  <c r="U217" i="1"/>
  <c r="V217" i="1" s="1"/>
  <c r="N217" i="1"/>
  <c r="M217" i="1"/>
  <c r="L217" i="1"/>
  <c r="K217" i="1"/>
  <c r="F217" i="1"/>
  <c r="AN216" i="1"/>
  <c r="AL216" i="1"/>
  <c r="AM216" i="1" s="1"/>
  <c r="AJ216" i="1"/>
  <c r="AI216" i="1"/>
  <c r="AH216" i="1"/>
  <c r="AG216" i="1"/>
  <c r="AF216" i="1"/>
  <c r="AE216" i="1"/>
  <c r="Z216" i="1"/>
  <c r="X216" i="1"/>
  <c r="W216" i="1" s="1"/>
  <c r="U216" i="1"/>
  <c r="V216" i="1" s="1"/>
  <c r="N216" i="1"/>
  <c r="F216" i="1"/>
  <c r="AN215" i="1"/>
  <c r="AL215" i="1"/>
  <c r="AM215" i="1" s="1"/>
  <c r="AJ215" i="1"/>
  <c r="AI215" i="1"/>
  <c r="AH215" i="1"/>
  <c r="AG215" i="1"/>
  <c r="AF215" i="1"/>
  <c r="AE215" i="1"/>
  <c r="Z215" i="1"/>
  <c r="X215" i="1"/>
  <c r="W215" i="1" s="1"/>
  <c r="V215" i="1"/>
  <c r="U215" i="1"/>
  <c r="N215" i="1"/>
  <c r="M215" i="1"/>
  <c r="L215" i="1"/>
  <c r="K215" i="1"/>
  <c r="F215" i="1"/>
  <c r="AN214" i="1"/>
  <c r="AM214" i="1"/>
  <c r="AL214" i="1"/>
  <c r="AJ214" i="1"/>
  <c r="AI214" i="1"/>
  <c r="AH214" i="1"/>
  <c r="AG214" i="1"/>
  <c r="AF214" i="1"/>
  <c r="AE214" i="1"/>
  <c r="Z214" i="1"/>
  <c r="X214" i="1"/>
  <c r="W214" i="1"/>
  <c r="V214" i="1"/>
  <c r="U214" i="1"/>
  <c r="N214" i="1"/>
  <c r="M214" i="1"/>
  <c r="L214" i="1"/>
  <c r="K214" i="1"/>
  <c r="F214" i="1"/>
  <c r="AN213" i="1"/>
  <c r="AM213" i="1"/>
  <c r="AL213" i="1"/>
  <c r="AJ213" i="1"/>
  <c r="AI213" i="1"/>
  <c r="AH213" i="1"/>
  <c r="AG213" i="1"/>
  <c r="AF213" i="1"/>
  <c r="AE213" i="1"/>
  <c r="Z213" i="1"/>
  <c r="X213" i="1"/>
  <c r="W213" i="1"/>
  <c r="V213" i="1"/>
  <c r="U213" i="1"/>
  <c r="N213" i="1"/>
  <c r="M213" i="1"/>
  <c r="L213" i="1"/>
  <c r="K213" i="1"/>
  <c r="F213" i="1"/>
  <c r="AN212" i="1"/>
  <c r="AM212" i="1"/>
  <c r="AL212" i="1"/>
  <c r="AJ212" i="1"/>
  <c r="AI212" i="1"/>
  <c r="AH212" i="1"/>
  <c r="AG212" i="1"/>
  <c r="AF212" i="1"/>
  <c r="AE212" i="1"/>
  <c r="Z212" i="1"/>
  <c r="X212" i="1"/>
  <c r="W212" i="1"/>
  <c r="U212" i="1"/>
  <c r="V212" i="1" s="1"/>
  <c r="N212" i="1"/>
  <c r="M212" i="1"/>
  <c r="L212" i="1"/>
  <c r="K212" i="1"/>
  <c r="F212" i="1"/>
  <c r="AN211" i="1"/>
  <c r="AL211" i="1"/>
  <c r="AM211" i="1" s="1"/>
  <c r="AJ211" i="1"/>
  <c r="AI211" i="1"/>
  <c r="AH211" i="1"/>
  <c r="AG211" i="1"/>
  <c r="AF211" i="1"/>
  <c r="AE211" i="1"/>
  <c r="Z211" i="1"/>
  <c r="X211" i="1"/>
  <c r="W211" i="1" s="1"/>
  <c r="U211" i="1"/>
  <c r="N211" i="1"/>
  <c r="M211" i="1"/>
  <c r="L211" i="1"/>
  <c r="K211" i="1"/>
  <c r="F211" i="1"/>
  <c r="AN210" i="1"/>
  <c r="AL210" i="1"/>
  <c r="AJ210" i="1"/>
  <c r="AI210" i="1"/>
  <c r="AH210" i="1"/>
  <c r="AG210" i="1"/>
  <c r="AF210" i="1"/>
  <c r="AE210" i="1"/>
  <c r="Z210" i="1"/>
  <c r="X210" i="1"/>
  <c r="W210" i="1" s="1"/>
  <c r="U210" i="1"/>
  <c r="N210" i="1"/>
  <c r="M210" i="1"/>
  <c r="L210" i="1"/>
  <c r="K210" i="1"/>
  <c r="F210" i="1"/>
  <c r="AN209" i="1"/>
  <c r="AL209" i="1"/>
  <c r="AJ209" i="1"/>
  <c r="AI209" i="1"/>
  <c r="AH209" i="1"/>
  <c r="AG209" i="1"/>
  <c r="AF209" i="1"/>
  <c r="AE209" i="1"/>
  <c r="Z209" i="1"/>
  <c r="X209" i="1"/>
  <c r="W209" i="1" s="1"/>
  <c r="U209" i="1"/>
  <c r="V209" i="1" s="1"/>
  <c r="N209" i="1"/>
  <c r="M209" i="1"/>
  <c r="L209" i="1"/>
  <c r="K209" i="1"/>
  <c r="F209" i="1"/>
  <c r="AN208" i="1"/>
  <c r="AL208" i="1"/>
  <c r="AM208" i="1" s="1"/>
  <c r="AJ208" i="1"/>
  <c r="AI208" i="1"/>
  <c r="AH208" i="1"/>
  <c r="AG208" i="1"/>
  <c r="AF208" i="1"/>
  <c r="AE208" i="1"/>
  <c r="Z208" i="1"/>
  <c r="X208" i="1"/>
  <c r="W208" i="1" s="1"/>
  <c r="V208" i="1"/>
  <c r="U208" i="1"/>
  <c r="N208" i="1"/>
  <c r="M208" i="1"/>
  <c r="L208" i="1"/>
  <c r="K208" i="1"/>
  <c r="F208" i="1"/>
  <c r="AN207" i="1"/>
  <c r="AL207" i="1"/>
  <c r="AJ207" i="1"/>
  <c r="AI207" i="1"/>
  <c r="AH207" i="1"/>
  <c r="AG207" i="1"/>
  <c r="AF207" i="1"/>
  <c r="AE207" i="1"/>
  <c r="Z207" i="1"/>
  <c r="X207" i="1"/>
  <c r="W207" i="1" s="1"/>
  <c r="U207" i="1"/>
  <c r="N207" i="1"/>
  <c r="M207" i="1"/>
  <c r="L207" i="1"/>
  <c r="K207" i="1"/>
  <c r="F207" i="1"/>
  <c r="V207" i="1" s="1"/>
  <c r="AN206" i="1"/>
  <c r="AM206" i="1"/>
  <c r="AL206" i="1"/>
  <c r="AJ206" i="1"/>
  <c r="AI206" i="1"/>
  <c r="AH206" i="1"/>
  <c r="AG206" i="1"/>
  <c r="AF206" i="1"/>
  <c r="AE206" i="1"/>
  <c r="Z206" i="1"/>
  <c r="X206" i="1"/>
  <c r="W206" i="1" s="1"/>
  <c r="U206" i="1"/>
  <c r="N206" i="1"/>
  <c r="M206" i="1"/>
  <c r="L206" i="1"/>
  <c r="K206" i="1"/>
  <c r="F206" i="1"/>
  <c r="V206" i="1" s="1"/>
  <c r="AN205" i="1"/>
  <c r="AM205" i="1"/>
  <c r="AL205" i="1"/>
  <c r="AJ205" i="1"/>
  <c r="AI205" i="1"/>
  <c r="AH205" i="1"/>
  <c r="AG205" i="1"/>
  <c r="AF205" i="1"/>
  <c r="AE205" i="1"/>
  <c r="Z205" i="1"/>
  <c r="X205" i="1"/>
  <c r="W205" i="1"/>
  <c r="V205" i="1"/>
  <c r="U205" i="1"/>
  <c r="N205" i="1"/>
  <c r="M205" i="1"/>
  <c r="L205" i="1"/>
  <c r="K205" i="1"/>
  <c r="F205" i="1"/>
  <c r="AN204" i="1"/>
  <c r="AM204" i="1"/>
  <c r="AL204" i="1"/>
  <c r="AJ204" i="1"/>
  <c r="AI204" i="1"/>
  <c r="AH204" i="1"/>
  <c r="AG204" i="1"/>
  <c r="AF204" i="1"/>
  <c r="AE204" i="1"/>
  <c r="Z204" i="1"/>
  <c r="X204" i="1"/>
  <c r="W204" i="1"/>
  <c r="V204" i="1"/>
  <c r="U204" i="1"/>
  <c r="N204" i="1"/>
  <c r="M204" i="1"/>
  <c r="L204" i="1"/>
  <c r="K204" i="1"/>
  <c r="F204" i="1"/>
  <c r="AN203" i="1"/>
  <c r="AL203" i="1"/>
  <c r="AJ203" i="1"/>
  <c r="AI203" i="1"/>
  <c r="AH203" i="1"/>
  <c r="AG203" i="1"/>
  <c r="AF203" i="1"/>
  <c r="AE203" i="1"/>
  <c r="Z203" i="1"/>
  <c r="X203" i="1"/>
  <c r="W203" i="1" s="1"/>
  <c r="U203" i="1"/>
  <c r="N203" i="1"/>
  <c r="M203" i="1"/>
  <c r="L203" i="1"/>
  <c r="K203" i="1"/>
  <c r="F203" i="1"/>
  <c r="AM203" i="1" s="1"/>
  <c r="AN202" i="1"/>
  <c r="AL202" i="1"/>
  <c r="AJ202" i="1"/>
  <c r="AI202" i="1"/>
  <c r="AH202" i="1"/>
  <c r="AG202" i="1"/>
  <c r="AF202" i="1"/>
  <c r="AE202" i="1"/>
  <c r="Z202" i="1"/>
  <c r="X202" i="1"/>
  <c r="W202" i="1" s="1"/>
  <c r="U202" i="1"/>
  <c r="V202" i="1" s="1"/>
  <c r="N202" i="1"/>
  <c r="M202" i="1"/>
  <c r="L202" i="1"/>
  <c r="K202" i="1"/>
  <c r="F202" i="1"/>
  <c r="AN201" i="1"/>
  <c r="AL201" i="1"/>
  <c r="AJ201" i="1"/>
  <c r="AI201" i="1"/>
  <c r="AH201" i="1"/>
  <c r="AG201" i="1"/>
  <c r="AF201" i="1"/>
  <c r="AE201" i="1"/>
  <c r="Z201" i="1"/>
  <c r="X201" i="1"/>
  <c r="W201" i="1"/>
  <c r="V201" i="1"/>
  <c r="U201" i="1"/>
  <c r="N201" i="1"/>
  <c r="M201" i="1"/>
  <c r="L201" i="1"/>
  <c r="K201" i="1"/>
  <c r="F201" i="1"/>
  <c r="AN200" i="1"/>
  <c r="AM200" i="1"/>
  <c r="AL200" i="1"/>
  <c r="AJ200" i="1"/>
  <c r="AI200" i="1"/>
  <c r="AH200" i="1"/>
  <c r="AG200" i="1"/>
  <c r="AF200" i="1"/>
  <c r="AE200" i="1"/>
  <c r="Z200" i="1"/>
  <c r="X200" i="1"/>
  <c r="W200" i="1"/>
  <c r="U200" i="1"/>
  <c r="V200" i="1" s="1"/>
  <c r="N200" i="1"/>
  <c r="M200" i="1"/>
  <c r="L200" i="1"/>
  <c r="K200" i="1"/>
  <c r="F200" i="1"/>
  <c r="AN199" i="1"/>
  <c r="AL199" i="1"/>
  <c r="AJ199" i="1"/>
  <c r="AI199" i="1"/>
  <c r="AH199" i="1"/>
  <c r="AG199" i="1"/>
  <c r="AF199" i="1"/>
  <c r="AE199" i="1"/>
  <c r="Z199" i="1"/>
  <c r="X199" i="1"/>
  <c r="W199" i="1" s="1"/>
  <c r="U199" i="1"/>
  <c r="N199" i="1"/>
  <c r="F199" i="1"/>
  <c r="AN198" i="1"/>
  <c r="AL198" i="1"/>
  <c r="AJ198" i="1"/>
  <c r="AI198" i="1"/>
  <c r="AH198" i="1"/>
  <c r="AG198" i="1"/>
  <c r="AF198" i="1"/>
  <c r="AE198" i="1"/>
  <c r="Z198" i="1"/>
  <c r="X198" i="1"/>
  <c r="W198" i="1" s="1"/>
  <c r="U198" i="1"/>
  <c r="N198" i="1"/>
  <c r="M198" i="1"/>
  <c r="L198" i="1"/>
  <c r="K198" i="1"/>
  <c r="F198" i="1"/>
  <c r="AM198" i="1" s="1"/>
  <c r="AN197" i="1"/>
  <c r="AM197" i="1"/>
  <c r="AL197" i="1"/>
  <c r="AJ197" i="1"/>
  <c r="AI197" i="1"/>
  <c r="AH197" i="1"/>
  <c r="AG197" i="1"/>
  <c r="AF197" i="1"/>
  <c r="AE197" i="1"/>
  <c r="Z197" i="1"/>
  <c r="X197" i="1"/>
  <c r="W197" i="1"/>
  <c r="U197" i="1"/>
  <c r="V197" i="1" s="1"/>
  <c r="N197" i="1"/>
  <c r="M197" i="1"/>
  <c r="L197" i="1"/>
  <c r="K197" i="1"/>
  <c r="F197" i="1"/>
  <c r="AN196" i="1"/>
  <c r="AL196" i="1"/>
  <c r="AJ196" i="1"/>
  <c r="AI196" i="1"/>
  <c r="AH196" i="1"/>
  <c r="AG196" i="1"/>
  <c r="AF196" i="1"/>
  <c r="AE196" i="1"/>
  <c r="Z196" i="1"/>
  <c r="X196" i="1"/>
  <c r="W196" i="1" s="1"/>
  <c r="U196" i="1"/>
  <c r="N196" i="1"/>
  <c r="M196" i="1"/>
  <c r="L196" i="1"/>
  <c r="K196" i="1"/>
  <c r="F196" i="1"/>
  <c r="V196" i="1" s="1"/>
  <c r="AN195" i="1"/>
  <c r="AM195" i="1"/>
  <c r="AL195" i="1"/>
  <c r="AJ195" i="1"/>
  <c r="AI195" i="1"/>
  <c r="AH195" i="1"/>
  <c r="AG195" i="1"/>
  <c r="AF195" i="1"/>
  <c r="AE195" i="1"/>
  <c r="Z195" i="1"/>
  <c r="X195" i="1"/>
  <c r="W195" i="1"/>
  <c r="U195" i="1"/>
  <c r="V195" i="1" s="1"/>
  <c r="N195" i="1"/>
  <c r="M195" i="1"/>
  <c r="L195" i="1"/>
  <c r="K195" i="1"/>
  <c r="F195" i="1"/>
  <c r="AN194" i="1"/>
  <c r="AL194" i="1"/>
  <c r="AM194" i="1" s="1"/>
  <c r="AJ194" i="1"/>
  <c r="AI194" i="1"/>
  <c r="AH194" i="1"/>
  <c r="AG194" i="1"/>
  <c r="AF194" i="1"/>
  <c r="AE194" i="1"/>
  <c r="Z194" i="1"/>
  <c r="X194" i="1"/>
  <c r="W194" i="1"/>
  <c r="V194" i="1"/>
  <c r="U194" i="1"/>
  <c r="N194" i="1"/>
  <c r="M194" i="1"/>
  <c r="L194" i="1"/>
  <c r="K194" i="1"/>
  <c r="F194" i="1"/>
  <c r="AN193" i="1"/>
  <c r="AL193" i="1"/>
  <c r="AJ193" i="1"/>
  <c r="AI193" i="1"/>
  <c r="AH193" i="1"/>
  <c r="AG193" i="1"/>
  <c r="AF193" i="1"/>
  <c r="AE193" i="1"/>
  <c r="Z193" i="1"/>
  <c r="X193" i="1"/>
  <c r="W193" i="1"/>
  <c r="U193" i="1"/>
  <c r="N193" i="1"/>
  <c r="M193" i="1"/>
  <c r="L193" i="1"/>
  <c r="K193" i="1"/>
  <c r="F193" i="1"/>
  <c r="AM193" i="1" s="1"/>
  <c r="AN192" i="1"/>
  <c r="AL192" i="1"/>
  <c r="AJ192" i="1"/>
  <c r="AI192" i="1"/>
  <c r="AH192" i="1"/>
  <c r="AG192" i="1"/>
  <c r="AF192" i="1"/>
  <c r="AE192" i="1"/>
  <c r="Z192" i="1"/>
  <c r="X192" i="1"/>
  <c r="W192" i="1" s="1"/>
  <c r="U192" i="1"/>
  <c r="N192" i="1"/>
  <c r="M192" i="1"/>
  <c r="L192" i="1"/>
  <c r="K192" i="1"/>
  <c r="F192" i="1"/>
  <c r="V192" i="1" s="1"/>
  <c r="AN191" i="1"/>
  <c r="AM191" i="1"/>
  <c r="AL191" i="1"/>
  <c r="AJ191" i="1"/>
  <c r="AI191" i="1"/>
  <c r="AH191" i="1"/>
  <c r="AG191" i="1"/>
  <c r="AF191" i="1"/>
  <c r="AE191" i="1"/>
  <c r="Z191" i="1"/>
  <c r="X191" i="1"/>
  <c r="W191" i="1"/>
  <c r="U191" i="1"/>
  <c r="V191" i="1" s="1"/>
  <c r="N191" i="1"/>
  <c r="M191" i="1"/>
  <c r="L191" i="1"/>
  <c r="K191" i="1"/>
  <c r="F191" i="1"/>
  <c r="AN190" i="1"/>
  <c r="AL190" i="1"/>
  <c r="AJ190" i="1"/>
  <c r="AI190" i="1"/>
  <c r="AH190" i="1"/>
  <c r="AG190" i="1"/>
  <c r="AF190" i="1"/>
  <c r="AE190" i="1"/>
  <c r="Z190" i="1"/>
  <c r="X190" i="1"/>
  <c r="W190" i="1" s="1"/>
  <c r="U190" i="1"/>
  <c r="N190" i="1"/>
  <c r="M190" i="1"/>
  <c r="L190" i="1"/>
  <c r="K190" i="1"/>
  <c r="F190" i="1"/>
  <c r="V190" i="1" s="1"/>
  <c r="AN189" i="1"/>
  <c r="AM189" i="1"/>
  <c r="AL189" i="1"/>
  <c r="AJ189" i="1"/>
  <c r="AI189" i="1"/>
  <c r="AH189" i="1"/>
  <c r="AG189" i="1"/>
  <c r="AF189" i="1"/>
  <c r="AE189" i="1"/>
  <c r="Z189" i="1"/>
  <c r="X189" i="1"/>
  <c r="W189" i="1"/>
  <c r="U189" i="1"/>
  <c r="V189" i="1" s="1"/>
  <c r="N189" i="1"/>
  <c r="M189" i="1"/>
  <c r="L189" i="1"/>
  <c r="K189" i="1"/>
  <c r="F189" i="1"/>
  <c r="AN188" i="1"/>
  <c r="AL188" i="1"/>
  <c r="AM188" i="1" s="1"/>
  <c r="AJ188" i="1"/>
  <c r="AI188" i="1"/>
  <c r="AH188" i="1"/>
  <c r="AG188" i="1"/>
  <c r="AF188" i="1"/>
  <c r="AE188" i="1"/>
  <c r="Z188" i="1"/>
  <c r="X188" i="1"/>
  <c r="W188" i="1"/>
  <c r="V188" i="1"/>
  <c r="U188" i="1"/>
  <c r="N188" i="1"/>
  <c r="M188" i="1"/>
  <c r="L188" i="1"/>
  <c r="K188" i="1"/>
  <c r="F188" i="1"/>
  <c r="AN187" i="1"/>
  <c r="AM187" i="1"/>
  <c r="AL187" i="1"/>
  <c r="AJ187" i="1"/>
  <c r="AI187" i="1"/>
  <c r="AH187" i="1"/>
  <c r="AG187" i="1"/>
  <c r="AF187" i="1"/>
  <c r="AE187" i="1"/>
  <c r="Z187" i="1"/>
  <c r="X187" i="1"/>
  <c r="W187" i="1"/>
  <c r="U187" i="1"/>
  <c r="V187" i="1" s="1"/>
  <c r="N187" i="1"/>
  <c r="F187" i="1"/>
  <c r="AN186" i="1"/>
  <c r="AM186" i="1"/>
  <c r="AL186" i="1"/>
  <c r="AJ186" i="1"/>
  <c r="AI186" i="1"/>
  <c r="AH186" i="1"/>
  <c r="AG186" i="1"/>
  <c r="AF186" i="1"/>
  <c r="AE186" i="1"/>
  <c r="Z186" i="1"/>
  <c r="X186" i="1"/>
  <c r="W186" i="1"/>
  <c r="U186" i="1"/>
  <c r="V186" i="1" s="1"/>
  <c r="N186" i="1"/>
  <c r="M186" i="1"/>
  <c r="L186" i="1"/>
  <c r="K186" i="1"/>
  <c r="F186" i="1"/>
  <c r="AN185" i="1"/>
  <c r="AL185" i="1"/>
  <c r="AM185" i="1" s="1"/>
  <c r="AJ185" i="1"/>
  <c r="AI185" i="1"/>
  <c r="AH185" i="1"/>
  <c r="AG185" i="1"/>
  <c r="AF185" i="1"/>
  <c r="AE185" i="1"/>
  <c r="Z185" i="1"/>
  <c r="X185" i="1"/>
  <c r="W185" i="1" s="1"/>
  <c r="U185" i="1"/>
  <c r="V185" i="1" s="1"/>
  <c r="N185" i="1"/>
  <c r="M185" i="1"/>
  <c r="L185" i="1"/>
  <c r="K185" i="1"/>
  <c r="F185" i="1"/>
  <c r="AN184" i="1"/>
  <c r="AL184" i="1"/>
  <c r="AM184" i="1" s="1"/>
  <c r="AJ184" i="1"/>
  <c r="AI184" i="1"/>
  <c r="AH184" i="1"/>
  <c r="AG184" i="1"/>
  <c r="AF184" i="1"/>
  <c r="AE184" i="1"/>
  <c r="Z184" i="1"/>
  <c r="X184" i="1"/>
  <c r="W184" i="1"/>
  <c r="U184" i="1"/>
  <c r="V184" i="1" s="1"/>
  <c r="N184" i="1"/>
  <c r="M184" i="1"/>
  <c r="L184" i="1"/>
  <c r="K184" i="1"/>
  <c r="F184" i="1"/>
  <c r="AN183" i="1"/>
  <c r="AL183" i="1"/>
  <c r="AM183" i="1" s="1"/>
  <c r="AJ183" i="1"/>
  <c r="AI183" i="1"/>
  <c r="AH183" i="1"/>
  <c r="AG183" i="1"/>
  <c r="AF183" i="1"/>
  <c r="AE183" i="1"/>
  <c r="Z183" i="1"/>
  <c r="X183" i="1"/>
  <c r="W183" i="1" s="1"/>
  <c r="U183" i="1"/>
  <c r="N183" i="1"/>
  <c r="M183" i="1"/>
  <c r="L183" i="1"/>
  <c r="K183" i="1"/>
  <c r="F183" i="1"/>
  <c r="V183" i="1" s="1"/>
  <c r="AN182" i="1"/>
  <c r="AM182" i="1"/>
  <c r="AL182" i="1"/>
  <c r="AJ182" i="1"/>
  <c r="AI182" i="1"/>
  <c r="AH182" i="1"/>
  <c r="AG182" i="1"/>
  <c r="AF182" i="1"/>
  <c r="AE182" i="1"/>
  <c r="Z182" i="1"/>
  <c r="X182" i="1"/>
  <c r="W182" i="1"/>
  <c r="U182" i="1"/>
  <c r="V182" i="1" s="1"/>
  <c r="N182" i="1"/>
  <c r="M182" i="1"/>
  <c r="L182" i="1"/>
  <c r="K182" i="1"/>
  <c r="F182" i="1"/>
  <c r="AN181" i="1"/>
  <c r="AL181" i="1"/>
  <c r="AJ181" i="1"/>
  <c r="AI181" i="1"/>
  <c r="AH181" i="1"/>
  <c r="AG181" i="1"/>
  <c r="AF181" i="1"/>
  <c r="AE181" i="1"/>
  <c r="Z181" i="1"/>
  <c r="X181" i="1"/>
  <c r="W181" i="1" s="1"/>
  <c r="U181" i="1"/>
  <c r="N181" i="1"/>
  <c r="M181" i="1"/>
  <c r="L181" i="1"/>
  <c r="K181" i="1"/>
  <c r="F181" i="1"/>
  <c r="V181" i="1" s="1"/>
  <c r="AN180" i="1"/>
  <c r="AM180" i="1"/>
  <c r="AL180" i="1"/>
  <c r="AJ180" i="1"/>
  <c r="AI180" i="1"/>
  <c r="AH180" i="1"/>
  <c r="AG180" i="1"/>
  <c r="AF180" i="1"/>
  <c r="AE180" i="1"/>
  <c r="Z180" i="1"/>
  <c r="X180" i="1"/>
  <c r="W180" i="1"/>
  <c r="U180" i="1"/>
  <c r="V180" i="1" s="1"/>
  <c r="N180" i="1"/>
  <c r="M180" i="1"/>
  <c r="L180" i="1"/>
  <c r="K180" i="1"/>
  <c r="F180" i="1"/>
  <c r="AN179" i="1"/>
  <c r="AL179" i="1"/>
  <c r="AM179" i="1" s="1"/>
  <c r="AJ179" i="1"/>
  <c r="AI179" i="1"/>
  <c r="AH179" i="1"/>
  <c r="AG179" i="1"/>
  <c r="AF179" i="1"/>
  <c r="AE179" i="1"/>
  <c r="Z179" i="1"/>
  <c r="X179" i="1"/>
  <c r="W179" i="1"/>
  <c r="V179" i="1"/>
  <c r="U179" i="1"/>
  <c r="N179" i="1"/>
  <c r="M179" i="1"/>
  <c r="L179" i="1"/>
  <c r="K179" i="1"/>
  <c r="F179" i="1"/>
  <c r="AN178" i="1"/>
  <c r="AM178" i="1"/>
  <c r="AL178" i="1"/>
  <c r="AJ178" i="1"/>
  <c r="AI178" i="1"/>
  <c r="AH178" i="1"/>
  <c r="AG178" i="1"/>
  <c r="AF178" i="1"/>
  <c r="AE178" i="1"/>
  <c r="Z178" i="1"/>
  <c r="X178" i="1"/>
  <c r="W178" i="1"/>
  <c r="U178" i="1"/>
  <c r="V178" i="1" s="1"/>
  <c r="N178" i="1"/>
  <c r="M178" i="1"/>
  <c r="L178" i="1"/>
  <c r="K178" i="1"/>
  <c r="F178" i="1"/>
  <c r="AN177" i="1"/>
  <c r="AL177" i="1"/>
  <c r="AM177" i="1" s="1"/>
  <c r="AJ177" i="1"/>
  <c r="AI177" i="1"/>
  <c r="AH177" i="1"/>
  <c r="AG177" i="1"/>
  <c r="AF177" i="1"/>
  <c r="AE177" i="1"/>
  <c r="Z177" i="1"/>
  <c r="X177" i="1"/>
  <c r="W177" i="1" s="1"/>
  <c r="U177" i="1"/>
  <c r="V177" i="1" s="1"/>
  <c r="N177" i="1"/>
  <c r="M177" i="1"/>
  <c r="L177" i="1"/>
  <c r="K177" i="1"/>
  <c r="F177" i="1"/>
  <c r="AN176" i="1"/>
  <c r="AL176" i="1"/>
  <c r="AM176" i="1" s="1"/>
  <c r="AJ176" i="1"/>
  <c r="AI176" i="1"/>
  <c r="AH176" i="1"/>
  <c r="AG176" i="1"/>
  <c r="AF176" i="1"/>
  <c r="AE176" i="1"/>
  <c r="Z176" i="1"/>
  <c r="X176" i="1"/>
  <c r="W176" i="1"/>
  <c r="U176" i="1"/>
  <c r="V176" i="1" s="1"/>
  <c r="N176" i="1"/>
  <c r="F176" i="1"/>
  <c r="AN175" i="1"/>
  <c r="AL175" i="1"/>
  <c r="AM175" i="1" s="1"/>
  <c r="AJ175" i="1"/>
  <c r="AI175" i="1"/>
  <c r="AH175" i="1"/>
  <c r="AG175" i="1"/>
  <c r="AF175" i="1"/>
  <c r="AE175" i="1"/>
  <c r="Z175" i="1"/>
  <c r="X175" i="1"/>
  <c r="W175" i="1"/>
  <c r="U175" i="1"/>
  <c r="V175" i="1" s="1"/>
  <c r="N175" i="1"/>
  <c r="M175" i="1"/>
  <c r="L175" i="1"/>
  <c r="K175" i="1"/>
  <c r="F175" i="1"/>
  <c r="AN174" i="1"/>
  <c r="AL174" i="1"/>
  <c r="AM174" i="1" s="1"/>
  <c r="AJ174" i="1"/>
  <c r="AI174" i="1"/>
  <c r="AH174" i="1"/>
  <c r="AG174" i="1"/>
  <c r="AF174" i="1"/>
  <c r="AE174" i="1"/>
  <c r="Z174" i="1"/>
  <c r="X174" i="1"/>
  <c r="W174" i="1" s="1"/>
  <c r="U174" i="1"/>
  <c r="N174" i="1"/>
  <c r="M174" i="1"/>
  <c r="L174" i="1"/>
  <c r="K174" i="1"/>
  <c r="F174" i="1"/>
  <c r="V174" i="1" s="1"/>
  <c r="AN173" i="1"/>
  <c r="AM173" i="1"/>
  <c r="AL173" i="1"/>
  <c r="AJ173" i="1"/>
  <c r="AI173" i="1"/>
  <c r="AH173" i="1"/>
  <c r="AG173" i="1"/>
  <c r="AF173" i="1"/>
  <c r="AE173" i="1"/>
  <c r="Z173" i="1"/>
  <c r="X173" i="1"/>
  <c r="W173" i="1"/>
  <c r="U173" i="1"/>
  <c r="V173" i="1" s="1"/>
  <c r="N173" i="1"/>
  <c r="M173" i="1"/>
  <c r="L173" i="1"/>
  <c r="K173" i="1"/>
  <c r="F173" i="1"/>
  <c r="AN172" i="1"/>
  <c r="AL172" i="1"/>
  <c r="AM172" i="1" s="1"/>
  <c r="AJ172" i="1"/>
  <c r="AI172" i="1"/>
  <c r="AH172" i="1"/>
  <c r="AG172" i="1"/>
  <c r="AF172" i="1"/>
  <c r="AE172" i="1"/>
  <c r="Z172" i="1"/>
  <c r="X172" i="1"/>
  <c r="W172" i="1" s="1"/>
  <c r="V172" i="1"/>
  <c r="U172" i="1"/>
  <c r="R172" i="1"/>
  <c r="N172" i="1"/>
  <c r="M172" i="1"/>
  <c r="L172" i="1"/>
  <c r="K172" i="1"/>
  <c r="F172" i="1"/>
  <c r="AN171" i="1"/>
  <c r="AL171" i="1"/>
  <c r="AM171" i="1" s="1"/>
  <c r="AJ171" i="1"/>
  <c r="AI171" i="1"/>
  <c r="AH171" i="1"/>
  <c r="AG171" i="1"/>
  <c r="AF171" i="1"/>
  <c r="AE171" i="1"/>
  <c r="Z171" i="1"/>
  <c r="X171" i="1"/>
  <c r="W171" i="1" s="1"/>
  <c r="U171" i="1"/>
  <c r="V171" i="1" s="1"/>
  <c r="R171" i="1"/>
  <c r="N171" i="1"/>
  <c r="M171" i="1"/>
  <c r="L171" i="1"/>
  <c r="K171" i="1"/>
  <c r="F171" i="1"/>
  <c r="AN170" i="1"/>
  <c r="AL170" i="1"/>
  <c r="AM170" i="1" s="1"/>
  <c r="AJ170" i="1"/>
  <c r="AI170" i="1"/>
  <c r="AH170" i="1"/>
  <c r="AG170" i="1"/>
  <c r="AF170" i="1"/>
  <c r="AE170" i="1"/>
  <c r="Z170" i="1"/>
  <c r="X170" i="1"/>
  <c r="W170" i="1" s="1"/>
  <c r="V170" i="1"/>
  <c r="U170" i="1"/>
  <c r="R170" i="1"/>
  <c r="N170" i="1"/>
  <c r="M170" i="1"/>
  <c r="L170" i="1"/>
  <c r="K170" i="1"/>
  <c r="F170" i="1"/>
  <c r="AN169" i="1"/>
  <c r="AL169" i="1"/>
  <c r="AM169" i="1" s="1"/>
  <c r="AJ169" i="1"/>
  <c r="AI169" i="1"/>
  <c r="AH169" i="1"/>
  <c r="AG169" i="1"/>
  <c r="AF169" i="1"/>
  <c r="AE169" i="1"/>
  <c r="Z169" i="1"/>
  <c r="X169" i="1"/>
  <c r="W169" i="1" s="1"/>
  <c r="U169" i="1"/>
  <c r="V169" i="1" s="1"/>
  <c r="R169" i="1"/>
  <c r="N169" i="1"/>
  <c r="M169" i="1"/>
  <c r="L169" i="1"/>
  <c r="K169" i="1"/>
  <c r="F169" i="1"/>
  <c r="AN168" i="1"/>
  <c r="AL168" i="1"/>
  <c r="AM168" i="1" s="1"/>
  <c r="AJ168" i="1"/>
  <c r="AI168" i="1"/>
  <c r="AH168" i="1"/>
  <c r="AG168" i="1"/>
  <c r="AF168" i="1"/>
  <c r="AE168" i="1"/>
  <c r="Z168" i="1"/>
  <c r="X168" i="1"/>
  <c r="W168" i="1" s="1"/>
  <c r="V168" i="1"/>
  <c r="U168" i="1"/>
  <c r="R168" i="1"/>
  <c r="N168" i="1"/>
  <c r="M168" i="1"/>
  <c r="L168" i="1"/>
  <c r="K168" i="1"/>
  <c r="F168" i="1"/>
  <c r="AN167" i="1"/>
  <c r="AL167" i="1"/>
  <c r="AM167" i="1" s="1"/>
  <c r="AJ167" i="1"/>
  <c r="AI167" i="1"/>
  <c r="AH167" i="1"/>
  <c r="AG167" i="1"/>
  <c r="AF167" i="1"/>
  <c r="AE167" i="1"/>
  <c r="Z167" i="1"/>
  <c r="X167" i="1"/>
  <c r="W167" i="1" s="1"/>
  <c r="U167" i="1"/>
  <c r="V167" i="1" s="1"/>
  <c r="R167" i="1"/>
  <c r="N167" i="1"/>
  <c r="M167" i="1"/>
  <c r="L167" i="1"/>
  <c r="K167" i="1"/>
  <c r="F167" i="1"/>
  <c r="AN166" i="1"/>
  <c r="AL166" i="1"/>
  <c r="AJ166" i="1"/>
  <c r="AI166" i="1"/>
  <c r="AH166" i="1"/>
  <c r="AG166" i="1"/>
  <c r="AF166" i="1"/>
  <c r="AE166" i="1"/>
  <c r="Z166" i="1"/>
  <c r="X166" i="1"/>
  <c r="W166" i="1" s="1"/>
  <c r="U166" i="1"/>
  <c r="N166" i="1"/>
  <c r="M166" i="1"/>
  <c r="L166" i="1"/>
  <c r="K166" i="1"/>
  <c r="F166" i="1"/>
  <c r="V166" i="1" s="1"/>
  <c r="AN165" i="1"/>
  <c r="AM165" i="1"/>
  <c r="AL165" i="1"/>
  <c r="AJ165" i="1"/>
  <c r="AI165" i="1"/>
  <c r="AH165" i="1"/>
  <c r="AG165" i="1"/>
  <c r="AF165" i="1"/>
  <c r="AE165" i="1"/>
  <c r="Z165" i="1"/>
  <c r="X165" i="1"/>
  <c r="W165" i="1"/>
  <c r="U165" i="1"/>
  <c r="V165" i="1" s="1"/>
  <c r="N165" i="1"/>
  <c r="M165" i="1"/>
  <c r="L165" i="1"/>
  <c r="K165" i="1"/>
  <c r="F165" i="1"/>
  <c r="AN164" i="1"/>
  <c r="AL164" i="1"/>
  <c r="AM164" i="1" s="1"/>
  <c r="AJ164" i="1"/>
  <c r="AI164" i="1"/>
  <c r="AH164" i="1"/>
  <c r="AG164" i="1"/>
  <c r="AF164" i="1"/>
  <c r="AE164" i="1"/>
  <c r="Z164" i="1"/>
  <c r="X164" i="1"/>
  <c r="W164" i="1"/>
  <c r="V164" i="1"/>
  <c r="U164" i="1"/>
  <c r="N164" i="1"/>
  <c r="M164" i="1"/>
  <c r="L164" i="1"/>
  <c r="K164" i="1"/>
  <c r="F164" i="1"/>
  <c r="AN163" i="1"/>
  <c r="AM163" i="1"/>
  <c r="AL163" i="1"/>
  <c r="AJ163" i="1"/>
  <c r="AI163" i="1"/>
  <c r="AH163" i="1"/>
  <c r="AG163" i="1"/>
  <c r="AF163" i="1"/>
  <c r="AE163" i="1"/>
  <c r="Z163" i="1"/>
  <c r="X163" i="1"/>
  <c r="W163" i="1"/>
  <c r="U163" i="1"/>
  <c r="V163" i="1" s="1"/>
  <c r="N163" i="1"/>
  <c r="M163" i="1"/>
  <c r="L163" i="1"/>
  <c r="K163" i="1"/>
  <c r="F163" i="1"/>
  <c r="AN162" i="1"/>
  <c r="AL162" i="1"/>
  <c r="AM162" i="1" s="1"/>
  <c r="AJ162" i="1"/>
  <c r="AI162" i="1"/>
  <c r="AH162" i="1"/>
  <c r="AG162" i="1"/>
  <c r="AF162" i="1"/>
  <c r="AE162" i="1"/>
  <c r="Z162" i="1"/>
  <c r="X162" i="1"/>
  <c r="W162" i="1" s="1"/>
  <c r="U162" i="1"/>
  <c r="V162" i="1" s="1"/>
  <c r="N162" i="1"/>
  <c r="M162" i="1"/>
  <c r="L162" i="1"/>
  <c r="K162" i="1"/>
  <c r="F162" i="1"/>
  <c r="AN161" i="1"/>
  <c r="AL161" i="1"/>
  <c r="AM161" i="1" s="1"/>
  <c r="AJ161" i="1"/>
  <c r="AI161" i="1"/>
  <c r="AH161" i="1"/>
  <c r="AG161" i="1"/>
  <c r="AF161" i="1"/>
  <c r="AE161" i="1"/>
  <c r="Z161" i="1"/>
  <c r="X161" i="1"/>
  <c r="W161" i="1"/>
  <c r="U161" i="1"/>
  <c r="V161" i="1" s="1"/>
  <c r="N161" i="1"/>
  <c r="M161" i="1"/>
  <c r="L161" i="1"/>
  <c r="K161" i="1"/>
  <c r="F161" i="1"/>
  <c r="AN160" i="1"/>
  <c r="AL160" i="1"/>
  <c r="AM160" i="1" s="1"/>
  <c r="AJ160" i="1"/>
  <c r="AI160" i="1"/>
  <c r="AH160" i="1"/>
  <c r="AG160" i="1"/>
  <c r="AF160" i="1"/>
  <c r="AE160" i="1"/>
  <c r="Z160" i="1"/>
  <c r="X160" i="1"/>
  <c r="W160" i="1" s="1"/>
  <c r="U160" i="1"/>
  <c r="N160" i="1"/>
  <c r="M160" i="1"/>
  <c r="L160" i="1"/>
  <c r="K160" i="1"/>
  <c r="F160" i="1"/>
  <c r="V160" i="1" s="1"/>
  <c r="AN159" i="1"/>
  <c r="AM159" i="1"/>
  <c r="AL159" i="1"/>
  <c r="AJ159" i="1"/>
  <c r="AI159" i="1"/>
  <c r="AH159" i="1"/>
  <c r="AG159" i="1"/>
  <c r="AF159" i="1"/>
  <c r="AE159" i="1"/>
  <c r="Z159" i="1"/>
  <c r="X159" i="1"/>
  <c r="W159" i="1"/>
  <c r="U159" i="1"/>
  <c r="V159" i="1" s="1"/>
  <c r="N159" i="1"/>
  <c r="M159" i="1"/>
  <c r="L159" i="1"/>
  <c r="K159" i="1"/>
  <c r="F159" i="1"/>
  <c r="AN158" i="1"/>
  <c r="AL158" i="1"/>
  <c r="AM158" i="1" s="1"/>
  <c r="AJ158" i="1"/>
  <c r="AI158" i="1"/>
  <c r="AH158" i="1"/>
  <c r="AG158" i="1"/>
  <c r="AF158" i="1"/>
  <c r="AE158" i="1"/>
  <c r="Z158" i="1"/>
  <c r="X158" i="1"/>
  <c r="W158" i="1" s="1"/>
  <c r="U158" i="1"/>
  <c r="N158" i="1"/>
  <c r="M158" i="1"/>
  <c r="L158" i="1"/>
  <c r="K158" i="1"/>
  <c r="F158" i="1"/>
  <c r="V158" i="1" s="1"/>
  <c r="AN157" i="1"/>
  <c r="AM157" i="1"/>
  <c r="AL157" i="1"/>
  <c r="AJ157" i="1"/>
  <c r="AI157" i="1"/>
  <c r="AH157" i="1"/>
  <c r="AG157" i="1"/>
  <c r="AF157" i="1"/>
  <c r="AE157" i="1"/>
  <c r="Z157" i="1"/>
  <c r="X157" i="1"/>
  <c r="W157" i="1"/>
  <c r="U157" i="1"/>
  <c r="V157" i="1" s="1"/>
  <c r="N157" i="1"/>
  <c r="M157" i="1"/>
  <c r="L157" i="1"/>
  <c r="K157" i="1"/>
  <c r="F157" i="1"/>
  <c r="AN156" i="1"/>
  <c r="AL156" i="1"/>
  <c r="AM156" i="1" s="1"/>
  <c r="AJ156" i="1"/>
  <c r="AI156" i="1"/>
  <c r="AH156" i="1"/>
  <c r="AG156" i="1"/>
  <c r="AF156" i="1"/>
  <c r="AE156" i="1"/>
  <c r="Z156" i="1"/>
  <c r="X156" i="1"/>
  <c r="W156" i="1"/>
  <c r="V156" i="1"/>
  <c r="U156" i="1"/>
  <c r="N156" i="1"/>
  <c r="M156" i="1"/>
  <c r="L156" i="1"/>
  <c r="K156" i="1"/>
  <c r="F156" i="1"/>
  <c r="AN155" i="1"/>
  <c r="AM155" i="1"/>
  <c r="AL155" i="1"/>
  <c r="AJ155" i="1"/>
  <c r="AI155" i="1"/>
  <c r="AH155" i="1"/>
  <c r="AG155" i="1"/>
  <c r="AF155" i="1"/>
  <c r="AE155" i="1"/>
  <c r="Z155" i="1"/>
  <c r="X155" i="1"/>
  <c r="W155" i="1"/>
  <c r="U155" i="1"/>
  <c r="V155" i="1" s="1"/>
  <c r="N155" i="1"/>
  <c r="F155" i="1"/>
  <c r="AN154" i="1"/>
  <c r="AM154" i="1"/>
  <c r="AL154" i="1"/>
  <c r="AJ154" i="1"/>
  <c r="AI154" i="1"/>
  <c r="AH154" i="1"/>
  <c r="AG154" i="1"/>
  <c r="AF154" i="1"/>
  <c r="AE154" i="1"/>
  <c r="Z154" i="1"/>
  <c r="X154" i="1"/>
  <c r="W154" i="1"/>
  <c r="U154" i="1"/>
  <c r="V154" i="1" s="1"/>
  <c r="N154" i="1"/>
  <c r="M154" i="1"/>
  <c r="L154" i="1"/>
  <c r="K154" i="1"/>
  <c r="F154" i="1"/>
  <c r="AN153" i="1"/>
  <c r="AL153" i="1"/>
  <c r="AM153" i="1" s="1"/>
  <c r="AJ153" i="1"/>
  <c r="AI153" i="1"/>
  <c r="AH153" i="1"/>
  <c r="AG153" i="1"/>
  <c r="AF153" i="1"/>
  <c r="AE153" i="1"/>
  <c r="Z153" i="1"/>
  <c r="X153" i="1"/>
  <c r="W153" i="1" s="1"/>
  <c r="U153" i="1"/>
  <c r="V153" i="1" s="1"/>
  <c r="N153" i="1"/>
  <c r="M153" i="1"/>
  <c r="L153" i="1"/>
  <c r="K153" i="1"/>
  <c r="F153" i="1"/>
  <c r="AN152" i="1"/>
  <c r="AL152" i="1"/>
  <c r="AM152" i="1" s="1"/>
  <c r="AJ152" i="1"/>
  <c r="AI152" i="1"/>
  <c r="AH152" i="1"/>
  <c r="AG152" i="1"/>
  <c r="AF152" i="1"/>
  <c r="AE152" i="1"/>
  <c r="Z152" i="1"/>
  <c r="X152" i="1"/>
  <c r="W152" i="1"/>
  <c r="U152" i="1"/>
  <c r="V152" i="1" s="1"/>
  <c r="N152" i="1"/>
  <c r="M152" i="1"/>
  <c r="L152" i="1"/>
  <c r="K152" i="1"/>
  <c r="F152" i="1"/>
  <c r="AN151" i="1"/>
  <c r="AL151" i="1"/>
  <c r="AM151" i="1" s="1"/>
  <c r="AJ151" i="1"/>
  <c r="AI151" i="1"/>
  <c r="AH151" i="1"/>
  <c r="AG151" i="1"/>
  <c r="AF151" i="1"/>
  <c r="AE151" i="1"/>
  <c r="Z151" i="1"/>
  <c r="X151" i="1"/>
  <c r="W151" i="1" s="1"/>
  <c r="V151" i="1"/>
  <c r="U151" i="1"/>
  <c r="N151" i="1"/>
  <c r="M151" i="1"/>
  <c r="L151" i="1"/>
  <c r="K151" i="1"/>
  <c r="F151" i="1"/>
  <c r="AN150" i="1"/>
  <c r="AM150" i="1"/>
  <c r="AL150" i="1"/>
  <c r="AJ150" i="1"/>
  <c r="AI150" i="1"/>
  <c r="AH150" i="1"/>
  <c r="AG150" i="1"/>
  <c r="AF150" i="1"/>
  <c r="AE150" i="1"/>
  <c r="Z150" i="1"/>
  <c r="X150" i="1"/>
  <c r="W150" i="1"/>
  <c r="U150" i="1"/>
  <c r="V150" i="1" s="1"/>
  <c r="N150" i="1"/>
  <c r="M150" i="1"/>
  <c r="L150" i="1"/>
  <c r="K150" i="1"/>
  <c r="F150" i="1"/>
  <c r="AN149" i="1"/>
  <c r="AL149" i="1"/>
  <c r="AJ149" i="1"/>
  <c r="AI149" i="1"/>
  <c r="AH149" i="1"/>
  <c r="AG149" i="1"/>
  <c r="AF149" i="1"/>
  <c r="AE149" i="1"/>
  <c r="Z149" i="1"/>
  <c r="X149" i="1"/>
  <c r="W149" i="1" s="1"/>
  <c r="U149" i="1"/>
  <c r="N149" i="1"/>
  <c r="M149" i="1"/>
  <c r="L149" i="1"/>
  <c r="K149" i="1"/>
  <c r="F149" i="1"/>
  <c r="V149" i="1" s="1"/>
  <c r="AN148" i="1"/>
  <c r="AM148" i="1"/>
  <c r="AL148" i="1"/>
  <c r="AJ148" i="1"/>
  <c r="AI148" i="1"/>
  <c r="AH148" i="1"/>
  <c r="AG148" i="1"/>
  <c r="AF148" i="1"/>
  <c r="AE148" i="1"/>
  <c r="Z148" i="1"/>
  <c r="X148" i="1"/>
  <c r="W148" i="1"/>
  <c r="U148" i="1"/>
  <c r="V148" i="1" s="1"/>
  <c r="N148" i="1"/>
  <c r="M148" i="1"/>
  <c r="L148" i="1"/>
  <c r="K148" i="1"/>
  <c r="F148" i="1"/>
  <c r="AN147" i="1"/>
  <c r="AL147" i="1"/>
  <c r="AM147" i="1" s="1"/>
  <c r="AJ147" i="1"/>
  <c r="AI147" i="1"/>
  <c r="AH147" i="1"/>
  <c r="AG147" i="1"/>
  <c r="AF147" i="1"/>
  <c r="AE147" i="1"/>
  <c r="Z147" i="1"/>
  <c r="X147" i="1"/>
  <c r="W147" i="1"/>
  <c r="V147" i="1"/>
  <c r="U147" i="1"/>
  <c r="N147" i="1"/>
  <c r="M147" i="1"/>
  <c r="L147" i="1"/>
  <c r="K147" i="1"/>
  <c r="F147" i="1"/>
  <c r="AN146" i="1"/>
  <c r="AM146" i="1"/>
  <c r="AL146" i="1"/>
  <c r="AJ146" i="1"/>
  <c r="AI146" i="1"/>
  <c r="AH146" i="1"/>
  <c r="AG146" i="1"/>
  <c r="AF146" i="1"/>
  <c r="AE146" i="1"/>
  <c r="Z146" i="1"/>
  <c r="X146" i="1"/>
  <c r="W146" i="1"/>
  <c r="U146" i="1"/>
  <c r="V146" i="1" s="1"/>
  <c r="N146" i="1"/>
  <c r="M146" i="1"/>
  <c r="L146" i="1"/>
  <c r="K146" i="1"/>
  <c r="F146" i="1"/>
  <c r="AN145" i="1"/>
  <c r="AL145" i="1"/>
  <c r="AM145" i="1" s="1"/>
  <c r="AJ145" i="1"/>
  <c r="AI145" i="1"/>
  <c r="AH145" i="1"/>
  <c r="AG145" i="1"/>
  <c r="AF145" i="1"/>
  <c r="AE145" i="1"/>
  <c r="Z145" i="1"/>
  <c r="X145" i="1"/>
  <c r="W145" i="1" s="1"/>
  <c r="U145" i="1"/>
  <c r="V145" i="1" s="1"/>
  <c r="N145" i="1"/>
  <c r="M145" i="1"/>
  <c r="L145" i="1"/>
  <c r="K145" i="1"/>
  <c r="F145" i="1"/>
  <c r="AN144" i="1"/>
  <c r="AL144" i="1"/>
  <c r="AM144" i="1" s="1"/>
  <c r="AJ144" i="1"/>
  <c r="AI144" i="1"/>
  <c r="AH144" i="1"/>
  <c r="AG144" i="1"/>
  <c r="AF144" i="1"/>
  <c r="AE144" i="1"/>
  <c r="Z144" i="1"/>
  <c r="X144" i="1"/>
  <c r="W144" i="1"/>
  <c r="U144" i="1"/>
  <c r="V144" i="1" s="1"/>
  <c r="N144" i="1"/>
  <c r="M144" i="1"/>
  <c r="L144" i="1"/>
  <c r="K144" i="1"/>
  <c r="F144" i="1"/>
  <c r="AN143" i="1"/>
  <c r="AL143" i="1"/>
  <c r="AM143" i="1" s="1"/>
  <c r="AJ143" i="1"/>
  <c r="AI143" i="1"/>
  <c r="AH143" i="1"/>
  <c r="AG143" i="1"/>
  <c r="AF143" i="1"/>
  <c r="AE143" i="1"/>
  <c r="Z143" i="1"/>
  <c r="X143" i="1"/>
  <c r="W143" i="1" s="1"/>
  <c r="V143" i="1"/>
  <c r="U143" i="1"/>
  <c r="N143" i="1"/>
  <c r="M143" i="1"/>
  <c r="L143" i="1"/>
  <c r="K143" i="1"/>
  <c r="F143" i="1"/>
  <c r="AN142" i="1"/>
  <c r="AM142" i="1"/>
  <c r="AL142" i="1"/>
  <c r="AJ142" i="1"/>
  <c r="AI142" i="1"/>
  <c r="AH142" i="1"/>
  <c r="AG142" i="1"/>
  <c r="AF142" i="1"/>
  <c r="AE142" i="1"/>
  <c r="Z142" i="1"/>
  <c r="X142" i="1"/>
  <c r="W142" i="1"/>
  <c r="U142" i="1"/>
  <c r="V142" i="1" s="1"/>
  <c r="N142" i="1"/>
  <c r="M142" i="1"/>
  <c r="L142" i="1"/>
  <c r="K142" i="1"/>
  <c r="F142" i="1"/>
  <c r="AN141" i="1"/>
  <c r="AL141" i="1"/>
  <c r="AM141" i="1" s="1"/>
  <c r="AJ141" i="1"/>
  <c r="AI141" i="1"/>
  <c r="AH141" i="1"/>
  <c r="AG141" i="1"/>
  <c r="AF141" i="1"/>
  <c r="AE141" i="1"/>
  <c r="Z141" i="1"/>
  <c r="X141" i="1"/>
  <c r="W141" i="1" s="1"/>
  <c r="U141" i="1"/>
  <c r="N141" i="1"/>
  <c r="M141" i="1"/>
  <c r="L141" i="1"/>
  <c r="K141" i="1"/>
  <c r="F141" i="1"/>
  <c r="V141" i="1" s="1"/>
  <c r="AN140" i="1"/>
  <c r="AM140" i="1"/>
  <c r="AL140" i="1"/>
  <c r="AJ140" i="1"/>
  <c r="AI140" i="1"/>
  <c r="AH140" i="1"/>
  <c r="AG140" i="1"/>
  <c r="AF140" i="1"/>
  <c r="AE140" i="1"/>
  <c r="Z140" i="1"/>
  <c r="X140" i="1"/>
  <c r="W140" i="1"/>
  <c r="U140" i="1"/>
  <c r="V140" i="1" s="1"/>
  <c r="N140" i="1"/>
  <c r="M140" i="1"/>
  <c r="L140" i="1"/>
  <c r="K140" i="1"/>
  <c r="F140" i="1"/>
  <c r="AN139" i="1"/>
  <c r="AL139" i="1"/>
  <c r="AM139" i="1" s="1"/>
  <c r="AJ139" i="1"/>
  <c r="AI139" i="1"/>
  <c r="AH139" i="1"/>
  <c r="AG139" i="1"/>
  <c r="AF139" i="1"/>
  <c r="AE139" i="1"/>
  <c r="Z139" i="1"/>
  <c r="X139" i="1"/>
  <c r="W139" i="1"/>
  <c r="V139" i="1"/>
  <c r="U139" i="1"/>
  <c r="N139" i="1"/>
  <c r="M139" i="1"/>
  <c r="L139" i="1"/>
  <c r="K139" i="1"/>
  <c r="F139" i="1"/>
  <c r="AN138" i="1"/>
  <c r="AM138" i="1"/>
  <c r="AL138" i="1"/>
  <c r="AJ138" i="1"/>
  <c r="AI138" i="1"/>
  <c r="AH138" i="1"/>
  <c r="AG138" i="1"/>
  <c r="AF138" i="1"/>
  <c r="AE138" i="1"/>
  <c r="Z138" i="1"/>
  <c r="X138" i="1"/>
  <c r="W138" i="1"/>
  <c r="U138" i="1"/>
  <c r="V138" i="1" s="1"/>
  <c r="N138" i="1"/>
  <c r="M138" i="1"/>
  <c r="L138" i="1"/>
  <c r="K138" i="1"/>
  <c r="F138" i="1"/>
  <c r="AN137" i="1"/>
  <c r="AL137" i="1"/>
  <c r="AM137" i="1" s="1"/>
  <c r="AJ137" i="1"/>
  <c r="AI137" i="1"/>
  <c r="AH137" i="1"/>
  <c r="AG137" i="1"/>
  <c r="AF137" i="1"/>
  <c r="AE137" i="1"/>
  <c r="Z137" i="1"/>
  <c r="X137" i="1"/>
  <c r="W137" i="1" s="1"/>
  <c r="U137" i="1"/>
  <c r="V137" i="1" s="1"/>
  <c r="R137" i="1"/>
  <c r="N137" i="1"/>
  <c r="M137" i="1"/>
  <c r="L137" i="1"/>
  <c r="K137" i="1"/>
  <c r="F137" i="1"/>
  <c r="AN136" i="1"/>
  <c r="AL136" i="1"/>
  <c r="AM136" i="1" s="1"/>
  <c r="AJ136" i="1"/>
  <c r="AI136" i="1"/>
  <c r="AH136" i="1"/>
  <c r="AG136" i="1"/>
  <c r="AF136" i="1"/>
  <c r="AE136" i="1"/>
  <c r="Z136" i="1"/>
  <c r="X136" i="1"/>
  <c r="W136" i="1" s="1"/>
  <c r="V136" i="1"/>
  <c r="U136" i="1"/>
  <c r="R136" i="1"/>
  <c r="N136" i="1"/>
  <c r="M136" i="1"/>
  <c r="L136" i="1"/>
  <c r="K136" i="1"/>
  <c r="F136" i="1"/>
  <c r="AN135" i="1"/>
  <c r="AL135" i="1"/>
  <c r="AM135" i="1" s="1"/>
  <c r="AJ135" i="1"/>
  <c r="AI135" i="1"/>
  <c r="AH135" i="1"/>
  <c r="AG135" i="1"/>
  <c r="AF135" i="1"/>
  <c r="AE135" i="1"/>
  <c r="Z135" i="1"/>
  <c r="X135" i="1"/>
  <c r="W135" i="1" s="1"/>
  <c r="U135" i="1"/>
  <c r="V135" i="1" s="1"/>
  <c r="N135" i="1"/>
  <c r="M135" i="1"/>
  <c r="L135" i="1"/>
  <c r="K135" i="1"/>
  <c r="F135" i="1"/>
  <c r="AN134" i="1"/>
  <c r="AL134" i="1"/>
  <c r="AM134" i="1" s="1"/>
  <c r="AJ134" i="1"/>
  <c r="AI134" i="1"/>
  <c r="AH134" i="1"/>
  <c r="AG134" i="1"/>
  <c r="AF134" i="1"/>
  <c r="AE134" i="1"/>
  <c r="Z134" i="1"/>
  <c r="X134" i="1"/>
  <c r="W134" i="1"/>
  <c r="U134" i="1"/>
  <c r="V134" i="1" s="1"/>
  <c r="N134" i="1"/>
  <c r="M134" i="1"/>
  <c r="L134" i="1"/>
  <c r="K134" i="1"/>
  <c r="F134" i="1"/>
  <c r="AN133" i="1"/>
  <c r="AL133" i="1"/>
  <c r="AM133" i="1" s="1"/>
  <c r="AJ133" i="1"/>
  <c r="AI133" i="1"/>
  <c r="AH133" i="1"/>
  <c r="AG133" i="1"/>
  <c r="AF133" i="1"/>
  <c r="AE133" i="1"/>
  <c r="Z133" i="1"/>
  <c r="X133" i="1"/>
  <c r="W133" i="1" s="1"/>
  <c r="V133" i="1"/>
  <c r="U133" i="1"/>
  <c r="N133" i="1"/>
  <c r="M133" i="1"/>
  <c r="L133" i="1"/>
  <c r="K133" i="1"/>
  <c r="F133" i="1"/>
  <c r="AN132" i="1"/>
  <c r="AM132" i="1"/>
  <c r="AL132" i="1"/>
  <c r="AJ132" i="1"/>
  <c r="AI132" i="1"/>
  <c r="AH132" i="1"/>
  <c r="AG132" i="1"/>
  <c r="AF132" i="1"/>
  <c r="AE132" i="1"/>
  <c r="Z132" i="1"/>
  <c r="X132" i="1"/>
  <c r="W132" i="1"/>
  <c r="U132" i="1"/>
  <c r="V132" i="1" s="1"/>
  <c r="N132" i="1"/>
  <c r="M132" i="1"/>
  <c r="L132" i="1"/>
  <c r="K132" i="1"/>
  <c r="F132" i="1"/>
  <c r="AN131" i="1"/>
  <c r="AL131" i="1"/>
  <c r="AM131" i="1" s="1"/>
  <c r="AJ131" i="1"/>
  <c r="AI131" i="1"/>
  <c r="AH131" i="1"/>
  <c r="AG131" i="1"/>
  <c r="AF131" i="1"/>
  <c r="AE131" i="1"/>
  <c r="Z131" i="1"/>
  <c r="X131" i="1"/>
  <c r="W131" i="1" s="1"/>
  <c r="U131" i="1"/>
  <c r="N131" i="1"/>
  <c r="M131" i="1"/>
  <c r="L131" i="1"/>
  <c r="K131" i="1"/>
  <c r="F131" i="1"/>
  <c r="V131" i="1" s="1"/>
  <c r="AN130" i="1"/>
  <c r="AM130" i="1"/>
  <c r="AL130" i="1"/>
  <c r="AJ130" i="1"/>
  <c r="AI130" i="1"/>
  <c r="AH130" i="1"/>
  <c r="AG130" i="1"/>
  <c r="AF130" i="1"/>
  <c r="AE130" i="1"/>
  <c r="Z130" i="1"/>
  <c r="X130" i="1"/>
  <c r="W130" i="1"/>
  <c r="U130" i="1"/>
  <c r="V130" i="1" s="1"/>
  <c r="N130" i="1"/>
  <c r="M130" i="1"/>
  <c r="L130" i="1"/>
  <c r="K130" i="1"/>
  <c r="F130" i="1"/>
  <c r="AN129" i="1"/>
  <c r="AL129" i="1"/>
  <c r="AM129" i="1" s="1"/>
  <c r="AJ129" i="1"/>
  <c r="AI129" i="1"/>
  <c r="AH129" i="1"/>
  <c r="AG129" i="1"/>
  <c r="AF129" i="1"/>
  <c r="AE129" i="1"/>
  <c r="Z129" i="1"/>
  <c r="X129" i="1"/>
  <c r="W129" i="1"/>
  <c r="V129" i="1"/>
  <c r="U129" i="1"/>
  <c r="N129" i="1"/>
  <c r="M129" i="1"/>
  <c r="L129" i="1"/>
  <c r="K129" i="1"/>
  <c r="F129" i="1"/>
  <c r="AN128" i="1"/>
  <c r="AM128" i="1"/>
  <c r="AL128" i="1"/>
  <c r="AJ128" i="1"/>
  <c r="AI128" i="1"/>
  <c r="AH128" i="1"/>
  <c r="AG128" i="1"/>
  <c r="AF128" i="1"/>
  <c r="AE128" i="1"/>
  <c r="Z128" i="1"/>
  <c r="X128" i="1"/>
  <c r="W128" i="1"/>
  <c r="U128" i="1"/>
  <c r="V128" i="1" s="1"/>
  <c r="N128" i="1"/>
  <c r="M128" i="1"/>
  <c r="L128" i="1"/>
  <c r="K128" i="1"/>
  <c r="F128" i="1"/>
  <c r="AN127" i="1"/>
  <c r="AL127" i="1"/>
  <c r="AM127" i="1" s="1"/>
  <c r="AJ127" i="1"/>
  <c r="AI127" i="1"/>
  <c r="AH127" i="1"/>
  <c r="AG127" i="1"/>
  <c r="AF127" i="1"/>
  <c r="AE127" i="1"/>
  <c r="Z127" i="1"/>
  <c r="X127" i="1"/>
  <c r="W127" i="1" s="1"/>
  <c r="U127" i="1"/>
  <c r="V127" i="1" s="1"/>
  <c r="N127" i="1"/>
  <c r="M127" i="1"/>
  <c r="L127" i="1"/>
  <c r="K127" i="1"/>
  <c r="F127" i="1"/>
  <c r="AN126" i="1"/>
  <c r="AL126" i="1"/>
  <c r="AM126" i="1" s="1"/>
  <c r="AJ126" i="1"/>
  <c r="AI126" i="1"/>
  <c r="AH126" i="1"/>
  <c r="AG126" i="1"/>
  <c r="AF126" i="1"/>
  <c r="AE126" i="1"/>
  <c r="Z126" i="1"/>
  <c r="X126" i="1"/>
  <c r="W126" i="1"/>
  <c r="U126" i="1"/>
  <c r="V126" i="1" s="1"/>
  <c r="N126" i="1"/>
  <c r="M126" i="1"/>
  <c r="L126" i="1"/>
  <c r="K126" i="1"/>
  <c r="F126" i="1"/>
  <c r="AN125" i="1"/>
  <c r="AL125" i="1"/>
  <c r="AM125" i="1" s="1"/>
  <c r="AJ125" i="1"/>
  <c r="AI125" i="1"/>
  <c r="AH125" i="1"/>
  <c r="AG125" i="1"/>
  <c r="AF125" i="1"/>
  <c r="AE125" i="1"/>
  <c r="Z125" i="1"/>
  <c r="X125" i="1"/>
  <c r="W125" i="1" s="1"/>
  <c r="V125" i="1"/>
  <c r="U125" i="1"/>
  <c r="N125" i="1"/>
  <c r="M125" i="1"/>
  <c r="L125" i="1"/>
  <c r="K125" i="1"/>
  <c r="F125" i="1"/>
  <c r="AN124" i="1"/>
  <c r="AM124" i="1"/>
  <c r="AL124" i="1"/>
  <c r="AJ124" i="1"/>
  <c r="AI124" i="1"/>
  <c r="AH124" i="1"/>
  <c r="AG124" i="1"/>
  <c r="AF124" i="1"/>
  <c r="AE124" i="1"/>
  <c r="Z124" i="1"/>
  <c r="X124" i="1"/>
  <c r="W124" i="1"/>
  <c r="U124" i="1"/>
  <c r="V124" i="1" s="1"/>
  <c r="N124" i="1"/>
  <c r="F124" i="1"/>
  <c r="AN123" i="1"/>
  <c r="AM123" i="1"/>
  <c r="AL123" i="1"/>
  <c r="AJ123" i="1"/>
  <c r="AI123" i="1"/>
  <c r="AH123" i="1"/>
  <c r="AG123" i="1"/>
  <c r="AF123" i="1"/>
  <c r="AE123" i="1"/>
  <c r="Z123" i="1"/>
  <c r="X123" i="1"/>
  <c r="W123" i="1"/>
  <c r="U123" i="1"/>
  <c r="V123" i="1" s="1"/>
  <c r="N123" i="1"/>
  <c r="M123" i="1"/>
  <c r="L123" i="1"/>
  <c r="K123" i="1"/>
  <c r="F123" i="1"/>
  <c r="AN122" i="1"/>
  <c r="AL122" i="1"/>
  <c r="AM122" i="1" s="1"/>
  <c r="AJ122" i="1"/>
  <c r="AI122" i="1"/>
  <c r="AH122" i="1"/>
  <c r="AG122" i="1"/>
  <c r="AF122" i="1"/>
  <c r="AE122" i="1"/>
  <c r="Z122" i="1"/>
  <c r="X122" i="1"/>
  <c r="W122" i="1" s="1"/>
  <c r="U122" i="1"/>
  <c r="N122" i="1"/>
  <c r="M122" i="1"/>
  <c r="L122" i="1"/>
  <c r="K122" i="1"/>
  <c r="F122" i="1"/>
  <c r="V122" i="1" s="1"/>
  <c r="AN121" i="1"/>
  <c r="AM121" i="1"/>
  <c r="AL121" i="1"/>
  <c r="AJ121" i="1"/>
  <c r="AI121" i="1"/>
  <c r="AH121" i="1"/>
  <c r="AG121" i="1"/>
  <c r="AF121" i="1"/>
  <c r="AE121" i="1"/>
  <c r="Z121" i="1"/>
  <c r="X121" i="1"/>
  <c r="W121" i="1"/>
  <c r="U121" i="1"/>
  <c r="V121" i="1" s="1"/>
  <c r="N121" i="1"/>
  <c r="M121" i="1"/>
  <c r="L121" i="1"/>
  <c r="K121" i="1"/>
  <c r="F121" i="1"/>
  <c r="AN120" i="1"/>
  <c r="AL120" i="1"/>
  <c r="AM120" i="1" s="1"/>
  <c r="AJ120" i="1"/>
  <c r="AI120" i="1"/>
  <c r="AH120" i="1"/>
  <c r="AG120" i="1"/>
  <c r="AF120" i="1"/>
  <c r="AE120" i="1"/>
  <c r="Z120" i="1"/>
  <c r="X120" i="1"/>
  <c r="W120" i="1"/>
  <c r="V120" i="1"/>
  <c r="U120" i="1"/>
  <c r="N120" i="1"/>
  <c r="M120" i="1"/>
  <c r="L120" i="1"/>
  <c r="K120" i="1"/>
  <c r="F120" i="1"/>
  <c r="AN119" i="1"/>
  <c r="AM119" i="1"/>
  <c r="AL119" i="1"/>
  <c r="AJ119" i="1"/>
  <c r="AI119" i="1"/>
  <c r="AH119" i="1"/>
  <c r="AG119" i="1"/>
  <c r="AF119" i="1"/>
  <c r="AE119" i="1"/>
  <c r="Z119" i="1"/>
  <c r="X119" i="1"/>
  <c r="W119" i="1"/>
  <c r="U119" i="1"/>
  <c r="V119" i="1" s="1"/>
  <c r="N119" i="1"/>
  <c r="M119" i="1"/>
  <c r="L119" i="1"/>
  <c r="K119" i="1"/>
  <c r="F119" i="1"/>
  <c r="AN118" i="1"/>
  <c r="AL118" i="1"/>
  <c r="AM118" i="1" s="1"/>
  <c r="AJ118" i="1"/>
  <c r="AI118" i="1"/>
  <c r="AH118" i="1"/>
  <c r="AG118" i="1"/>
  <c r="AF118" i="1"/>
  <c r="AE118" i="1"/>
  <c r="Z118" i="1"/>
  <c r="X118" i="1"/>
  <c r="W118" i="1" s="1"/>
  <c r="U118" i="1"/>
  <c r="V118" i="1" s="1"/>
  <c r="N118" i="1"/>
  <c r="M118" i="1"/>
  <c r="L118" i="1"/>
  <c r="K118" i="1"/>
  <c r="F118" i="1"/>
  <c r="AN117" i="1"/>
  <c r="AL117" i="1"/>
  <c r="AM117" i="1" s="1"/>
  <c r="AJ117" i="1"/>
  <c r="AI117" i="1"/>
  <c r="AH117" i="1"/>
  <c r="AG117" i="1"/>
  <c r="AF117" i="1"/>
  <c r="AE117" i="1"/>
  <c r="Z117" i="1"/>
  <c r="X117" i="1"/>
  <c r="W117" i="1"/>
  <c r="U117" i="1"/>
  <c r="V117" i="1" s="1"/>
  <c r="N117" i="1"/>
  <c r="M117" i="1"/>
  <c r="L117" i="1"/>
  <c r="K117" i="1"/>
  <c r="F117" i="1"/>
  <c r="AN116" i="1"/>
  <c r="AL116" i="1"/>
  <c r="AM116" i="1" s="1"/>
  <c r="AJ116" i="1"/>
  <c r="AI116" i="1"/>
  <c r="AH116" i="1"/>
  <c r="AG116" i="1"/>
  <c r="AF116" i="1"/>
  <c r="AE116" i="1"/>
  <c r="Z116" i="1"/>
  <c r="X116" i="1"/>
  <c r="W116" i="1" s="1"/>
  <c r="V116" i="1"/>
  <c r="U116" i="1"/>
  <c r="N116" i="1"/>
  <c r="M116" i="1"/>
  <c r="L116" i="1"/>
  <c r="K116" i="1"/>
  <c r="F116" i="1"/>
  <c r="AN115" i="1"/>
  <c r="AM115" i="1"/>
  <c r="AL115" i="1"/>
  <c r="AJ115" i="1"/>
  <c r="AI115" i="1"/>
  <c r="AH115" i="1"/>
  <c r="AG115" i="1"/>
  <c r="AF115" i="1"/>
  <c r="AE115" i="1"/>
  <c r="Z115" i="1"/>
  <c r="X115" i="1"/>
  <c r="W115" i="1"/>
  <c r="U115" i="1"/>
  <c r="V115" i="1" s="1"/>
  <c r="N115" i="1"/>
  <c r="M115" i="1"/>
  <c r="L115" i="1"/>
  <c r="K115" i="1"/>
  <c r="F115" i="1"/>
  <c r="AN114" i="1"/>
  <c r="AL114" i="1"/>
  <c r="AM114" i="1" s="1"/>
  <c r="AJ114" i="1"/>
  <c r="AI114" i="1"/>
  <c r="AH114" i="1"/>
  <c r="AG114" i="1"/>
  <c r="AF114" i="1"/>
  <c r="AE114" i="1"/>
  <c r="Z114" i="1"/>
  <c r="X114" i="1"/>
  <c r="W114" i="1" s="1"/>
  <c r="U114" i="1"/>
  <c r="N114" i="1"/>
  <c r="M114" i="1"/>
  <c r="L114" i="1"/>
  <c r="K114" i="1"/>
  <c r="F114" i="1"/>
  <c r="V114" i="1" s="1"/>
  <c r="AN113" i="1"/>
  <c r="AM113" i="1"/>
  <c r="AL113" i="1"/>
  <c r="AJ113" i="1"/>
  <c r="AI113" i="1"/>
  <c r="AH113" i="1"/>
  <c r="AG113" i="1"/>
  <c r="AF113" i="1"/>
  <c r="AE113" i="1"/>
  <c r="Z113" i="1"/>
  <c r="X113" i="1"/>
  <c r="W113" i="1"/>
  <c r="U113" i="1"/>
  <c r="V113" i="1" s="1"/>
  <c r="N113" i="1"/>
  <c r="M113" i="1"/>
  <c r="L113" i="1"/>
  <c r="K113" i="1"/>
  <c r="F113" i="1"/>
  <c r="AN112" i="1"/>
  <c r="AL112" i="1"/>
  <c r="AM112" i="1" s="1"/>
  <c r="AJ112" i="1"/>
  <c r="AI112" i="1"/>
  <c r="AH112" i="1"/>
  <c r="AG112" i="1"/>
  <c r="AF112" i="1"/>
  <c r="AE112" i="1"/>
  <c r="Z112" i="1"/>
  <c r="X112" i="1"/>
  <c r="W112" i="1"/>
  <c r="V112" i="1"/>
  <c r="U112" i="1"/>
  <c r="N112" i="1"/>
  <c r="M112" i="1"/>
  <c r="L112" i="1"/>
  <c r="K112" i="1"/>
  <c r="F112" i="1"/>
  <c r="AN111" i="1"/>
  <c r="AM111" i="1"/>
  <c r="AL111" i="1"/>
  <c r="AJ111" i="1"/>
  <c r="AI111" i="1"/>
  <c r="AH111" i="1"/>
  <c r="AG111" i="1"/>
  <c r="AF111" i="1"/>
  <c r="AE111" i="1"/>
  <c r="Z111" i="1"/>
  <c r="X111" i="1"/>
  <c r="W111" i="1"/>
  <c r="U111" i="1"/>
  <c r="V111" i="1" s="1"/>
  <c r="N111" i="1"/>
  <c r="M111" i="1"/>
  <c r="L111" i="1"/>
  <c r="K111" i="1"/>
  <c r="F111" i="1"/>
  <c r="AN110" i="1"/>
  <c r="AL110" i="1"/>
  <c r="AM110" i="1" s="1"/>
  <c r="AJ110" i="1"/>
  <c r="AI110" i="1"/>
  <c r="AH110" i="1"/>
  <c r="AG110" i="1"/>
  <c r="AF110" i="1"/>
  <c r="AE110" i="1"/>
  <c r="Z110" i="1"/>
  <c r="X110" i="1"/>
  <c r="W110" i="1" s="1"/>
  <c r="U110" i="1"/>
  <c r="V110" i="1" s="1"/>
  <c r="N110" i="1"/>
  <c r="F110" i="1"/>
  <c r="AN109" i="1"/>
  <c r="AL109" i="1"/>
  <c r="AM109" i="1" s="1"/>
  <c r="AJ109" i="1"/>
  <c r="AI109" i="1"/>
  <c r="AH109" i="1"/>
  <c r="AG109" i="1"/>
  <c r="AF109" i="1"/>
  <c r="AE109" i="1"/>
  <c r="Z109" i="1"/>
  <c r="X109" i="1"/>
  <c r="W109" i="1" s="1"/>
  <c r="U109" i="1"/>
  <c r="V109" i="1" s="1"/>
  <c r="N109" i="1"/>
  <c r="M109" i="1"/>
  <c r="L109" i="1"/>
  <c r="K109" i="1"/>
  <c r="F109" i="1"/>
  <c r="AN108" i="1"/>
  <c r="AL108" i="1"/>
  <c r="AM108" i="1" s="1"/>
  <c r="AJ108" i="1"/>
  <c r="AI108" i="1"/>
  <c r="AH108" i="1"/>
  <c r="AG108" i="1"/>
  <c r="AF108" i="1"/>
  <c r="AE108" i="1"/>
  <c r="Z108" i="1"/>
  <c r="X108" i="1"/>
  <c r="W108" i="1"/>
  <c r="U108" i="1"/>
  <c r="V108" i="1" s="1"/>
  <c r="N108" i="1"/>
  <c r="M108" i="1"/>
  <c r="L108" i="1"/>
  <c r="K108" i="1"/>
  <c r="F108" i="1"/>
  <c r="AN107" i="1"/>
  <c r="AL107" i="1"/>
  <c r="AM107" i="1" s="1"/>
  <c r="AJ107" i="1"/>
  <c r="AI107" i="1"/>
  <c r="AH107" i="1"/>
  <c r="AG107" i="1"/>
  <c r="AF107" i="1"/>
  <c r="AE107" i="1"/>
  <c r="Z107" i="1"/>
  <c r="X107" i="1"/>
  <c r="W107" i="1" s="1"/>
  <c r="V107" i="1"/>
  <c r="U107" i="1"/>
  <c r="N107" i="1"/>
  <c r="M107" i="1"/>
  <c r="L107" i="1"/>
  <c r="K107" i="1"/>
  <c r="F107" i="1"/>
  <c r="AN106" i="1"/>
  <c r="AM106" i="1"/>
  <c r="AL106" i="1"/>
  <c r="AJ106" i="1"/>
  <c r="AI106" i="1"/>
  <c r="AH106" i="1"/>
  <c r="AG106" i="1"/>
  <c r="AF106" i="1"/>
  <c r="AE106" i="1"/>
  <c r="Z106" i="1"/>
  <c r="X106" i="1"/>
  <c r="W106" i="1"/>
  <c r="U106" i="1"/>
  <c r="V106" i="1" s="1"/>
  <c r="N106" i="1"/>
  <c r="M106" i="1"/>
  <c r="L106" i="1"/>
  <c r="K106" i="1"/>
  <c r="F106" i="1"/>
  <c r="AN105" i="1"/>
  <c r="AL105" i="1"/>
  <c r="AJ105" i="1"/>
  <c r="AI105" i="1"/>
  <c r="AH105" i="1"/>
  <c r="AG105" i="1"/>
  <c r="AF105" i="1"/>
  <c r="AE105" i="1"/>
  <c r="Z105" i="1"/>
  <c r="X105" i="1"/>
  <c r="W105" i="1" s="1"/>
  <c r="U105" i="1"/>
  <c r="N105" i="1"/>
  <c r="M105" i="1"/>
  <c r="L105" i="1"/>
  <c r="K105" i="1"/>
  <c r="F105" i="1"/>
  <c r="V105" i="1" s="1"/>
  <c r="AN104" i="1"/>
  <c r="AM104" i="1"/>
  <c r="AL104" i="1"/>
  <c r="AJ104" i="1"/>
  <c r="AI104" i="1"/>
  <c r="AH104" i="1"/>
  <c r="AG104" i="1"/>
  <c r="AF104" i="1"/>
  <c r="AE104" i="1"/>
  <c r="Z104" i="1"/>
  <c r="X104" i="1"/>
  <c r="W104" i="1"/>
  <c r="U104" i="1"/>
  <c r="V104" i="1" s="1"/>
  <c r="N104" i="1"/>
  <c r="M104" i="1"/>
  <c r="L104" i="1"/>
  <c r="K104" i="1"/>
  <c r="F104" i="1"/>
  <c r="AN103" i="1"/>
  <c r="AL103" i="1"/>
  <c r="AM103" i="1" s="1"/>
  <c r="AJ103" i="1"/>
  <c r="AI103" i="1"/>
  <c r="AH103" i="1"/>
  <c r="AG103" i="1"/>
  <c r="AF103" i="1"/>
  <c r="AE103" i="1"/>
  <c r="Z103" i="1"/>
  <c r="X103" i="1"/>
  <c r="W103" i="1"/>
  <c r="V103" i="1"/>
  <c r="U103" i="1"/>
  <c r="N103" i="1"/>
  <c r="M103" i="1"/>
  <c r="L103" i="1"/>
  <c r="K103" i="1"/>
  <c r="F103" i="1"/>
  <c r="AN102" i="1"/>
  <c r="AM102" i="1"/>
  <c r="AL102" i="1"/>
  <c r="AJ102" i="1"/>
  <c r="AI102" i="1"/>
  <c r="AH102" i="1"/>
  <c r="AG102" i="1"/>
  <c r="AF102" i="1"/>
  <c r="AE102" i="1"/>
  <c r="Z102" i="1"/>
  <c r="X102" i="1"/>
  <c r="W102" i="1"/>
  <c r="U102" i="1"/>
  <c r="V102" i="1" s="1"/>
  <c r="N102" i="1"/>
  <c r="M102" i="1"/>
  <c r="L102" i="1"/>
  <c r="K102" i="1"/>
  <c r="F102" i="1"/>
  <c r="AN101" i="1"/>
  <c r="AL101" i="1"/>
  <c r="AM101" i="1" s="1"/>
  <c r="AJ101" i="1"/>
  <c r="AI101" i="1"/>
  <c r="AH101" i="1"/>
  <c r="AG101" i="1"/>
  <c r="AF101" i="1"/>
  <c r="AE101" i="1"/>
  <c r="Z101" i="1"/>
  <c r="X101" i="1"/>
  <c r="W101" i="1" s="1"/>
  <c r="U101" i="1"/>
  <c r="V101" i="1" s="1"/>
  <c r="N101" i="1"/>
  <c r="M101" i="1"/>
  <c r="L101" i="1"/>
  <c r="K101" i="1"/>
  <c r="F101" i="1"/>
  <c r="AN100" i="1"/>
  <c r="AL100" i="1"/>
  <c r="AM100" i="1" s="1"/>
  <c r="AJ100" i="1"/>
  <c r="AI100" i="1"/>
  <c r="AH100" i="1"/>
  <c r="AG100" i="1"/>
  <c r="AF100" i="1"/>
  <c r="AE100" i="1"/>
  <c r="Z100" i="1"/>
  <c r="X100" i="1"/>
  <c r="W100" i="1"/>
  <c r="U100" i="1"/>
  <c r="V100" i="1" s="1"/>
  <c r="N100" i="1"/>
  <c r="M100" i="1"/>
  <c r="L100" i="1"/>
  <c r="K100" i="1"/>
  <c r="F100" i="1"/>
  <c r="AN99" i="1"/>
  <c r="AL99" i="1"/>
  <c r="AM99" i="1" s="1"/>
  <c r="AJ99" i="1"/>
  <c r="AI99" i="1"/>
  <c r="AH99" i="1"/>
  <c r="AG99" i="1"/>
  <c r="AF99" i="1"/>
  <c r="AE99" i="1"/>
  <c r="X99" i="1"/>
  <c r="W99" i="1"/>
  <c r="U99" i="1"/>
  <c r="V99" i="1" s="1"/>
  <c r="N99" i="1"/>
  <c r="M99" i="1"/>
  <c r="L99" i="1"/>
  <c r="K99" i="1"/>
  <c r="F99" i="1"/>
  <c r="AN98" i="1"/>
  <c r="AL98" i="1"/>
  <c r="AM98" i="1" s="1"/>
  <c r="AJ98" i="1"/>
  <c r="AI98" i="1"/>
  <c r="AH98" i="1"/>
  <c r="AG98" i="1"/>
  <c r="AF98" i="1"/>
  <c r="AE98" i="1"/>
  <c r="X98" i="1"/>
  <c r="W98" i="1"/>
  <c r="U98" i="1"/>
  <c r="V98" i="1" s="1"/>
  <c r="N98" i="1"/>
  <c r="M98" i="1"/>
  <c r="L98" i="1"/>
  <c r="K98" i="1"/>
  <c r="F98" i="1"/>
  <c r="AN97" i="1"/>
  <c r="AL97" i="1"/>
  <c r="AM97" i="1" s="1"/>
  <c r="AJ97" i="1"/>
  <c r="AI97" i="1"/>
  <c r="AH97" i="1"/>
  <c r="AG97" i="1"/>
  <c r="AF97" i="1"/>
  <c r="AE97" i="1"/>
  <c r="X97" i="1"/>
  <c r="W97" i="1"/>
  <c r="U97" i="1"/>
  <c r="V97" i="1" s="1"/>
  <c r="N97" i="1"/>
  <c r="F97" i="1"/>
  <c r="AN96" i="1"/>
  <c r="AL96" i="1"/>
  <c r="AJ96" i="1"/>
  <c r="AI96" i="1"/>
  <c r="AH96" i="1"/>
  <c r="AG96" i="1"/>
  <c r="AF96" i="1"/>
  <c r="AE96" i="1"/>
  <c r="X96" i="1"/>
  <c r="W96" i="1" s="1"/>
  <c r="U96" i="1"/>
  <c r="V96" i="1" s="1"/>
  <c r="N96" i="1"/>
  <c r="M96" i="1"/>
  <c r="L96" i="1"/>
  <c r="K96" i="1"/>
  <c r="F96" i="1"/>
  <c r="AM96" i="1" s="1"/>
  <c r="AN95" i="1"/>
  <c r="AL95" i="1"/>
  <c r="AM95" i="1" s="1"/>
  <c r="AJ95" i="1"/>
  <c r="AI95" i="1"/>
  <c r="AH95" i="1"/>
  <c r="AG95" i="1"/>
  <c r="AF95" i="1"/>
  <c r="AE95" i="1"/>
  <c r="X95" i="1"/>
  <c r="W95" i="1"/>
  <c r="V95" i="1"/>
  <c r="U95" i="1"/>
  <c r="N95" i="1"/>
  <c r="M95" i="1"/>
  <c r="L95" i="1"/>
  <c r="K95" i="1"/>
  <c r="F95" i="1"/>
  <c r="AN94" i="1"/>
  <c r="AL94" i="1"/>
  <c r="AJ94" i="1"/>
  <c r="AI94" i="1"/>
  <c r="AH94" i="1"/>
  <c r="AG94" i="1"/>
  <c r="AF94" i="1"/>
  <c r="AE94" i="1"/>
  <c r="X94" i="1"/>
  <c r="W94" i="1" s="1"/>
  <c r="U94" i="1"/>
  <c r="N94" i="1"/>
  <c r="M94" i="1"/>
  <c r="L94" i="1"/>
  <c r="K94" i="1"/>
  <c r="F94" i="1"/>
  <c r="V94" i="1" s="1"/>
  <c r="AN93" i="1"/>
  <c r="AL93" i="1"/>
  <c r="AJ93" i="1"/>
  <c r="AI93" i="1"/>
  <c r="AH93" i="1"/>
  <c r="AG93" i="1"/>
  <c r="AF93" i="1"/>
  <c r="AE93" i="1"/>
  <c r="X93" i="1"/>
  <c r="W93" i="1" s="1"/>
  <c r="V93" i="1"/>
  <c r="U93" i="1"/>
  <c r="N93" i="1"/>
  <c r="M93" i="1"/>
  <c r="L93" i="1"/>
  <c r="K93" i="1"/>
  <c r="F93" i="1"/>
  <c r="AM93" i="1" s="1"/>
  <c r="AN92" i="1"/>
  <c r="AL92" i="1"/>
  <c r="AJ92" i="1"/>
  <c r="AI92" i="1"/>
  <c r="AH92" i="1"/>
  <c r="AG92" i="1"/>
  <c r="AF92" i="1"/>
  <c r="AE92" i="1"/>
  <c r="X92" i="1"/>
  <c r="W92" i="1" s="1"/>
  <c r="U92" i="1"/>
  <c r="V92" i="1" s="1"/>
  <c r="N92" i="1"/>
  <c r="M92" i="1"/>
  <c r="L92" i="1"/>
  <c r="K92" i="1"/>
  <c r="F92" i="1"/>
  <c r="AM92" i="1" s="1"/>
  <c r="AN91" i="1"/>
  <c r="AL91" i="1"/>
  <c r="AM91" i="1" s="1"/>
  <c r="AJ91" i="1"/>
  <c r="AI91" i="1"/>
  <c r="AH91" i="1"/>
  <c r="AG91" i="1"/>
  <c r="AF91" i="1"/>
  <c r="AE91" i="1"/>
  <c r="X91" i="1"/>
  <c r="W91" i="1"/>
  <c r="V91" i="1"/>
  <c r="U91" i="1"/>
  <c r="N91" i="1"/>
  <c r="M91" i="1"/>
  <c r="L91" i="1"/>
  <c r="K91" i="1"/>
  <c r="F91" i="1"/>
  <c r="AN90" i="1"/>
  <c r="AM90" i="1"/>
  <c r="AL90" i="1"/>
  <c r="AJ90" i="1"/>
  <c r="AI90" i="1"/>
  <c r="AH90" i="1"/>
  <c r="AG90" i="1"/>
  <c r="AF90" i="1"/>
  <c r="AE90" i="1"/>
  <c r="X90" i="1"/>
  <c r="W90" i="1" s="1"/>
  <c r="V90" i="1"/>
  <c r="U90" i="1"/>
  <c r="N90" i="1"/>
  <c r="F90" i="1"/>
  <c r="AN89" i="1"/>
  <c r="AL89" i="1"/>
  <c r="AM89" i="1" s="1"/>
  <c r="AJ89" i="1"/>
  <c r="AI89" i="1"/>
  <c r="AH89" i="1"/>
  <c r="AG89" i="1"/>
  <c r="AF89" i="1"/>
  <c r="AE89" i="1"/>
  <c r="X89" i="1"/>
  <c r="W89" i="1"/>
  <c r="U89" i="1"/>
  <c r="V89" i="1" s="1"/>
  <c r="N89" i="1"/>
  <c r="M89" i="1"/>
  <c r="L89" i="1"/>
  <c r="K89" i="1"/>
  <c r="F89" i="1"/>
  <c r="AN88" i="1"/>
  <c r="AL88" i="1"/>
  <c r="AM88" i="1" s="1"/>
  <c r="AJ88" i="1"/>
  <c r="AI88" i="1"/>
  <c r="AH88" i="1"/>
  <c r="AG88" i="1"/>
  <c r="AF88" i="1"/>
  <c r="AE88" i="1"/>
  <c r="X88" i="1"/>
  <c r="W88" i="1"/>
  <c r="U88" i="1"/>
  <c r="V88" i="1" s="1"/>
  <c r="N88" i="1"/>
  <c r="M88" i="1"/>
  <c r="L88" i="1"/>
  <c r="K88" i="1"/>
  <c r="F88" i="1"/>
  <c r="AN87" i="1"/>
  <c r="AL87" i="1"/>
  <c r="AM87" i="1" s="1"/>
  <c r="AJ87" i="1"/>
  <c r="AI87" i="1"/>
  <c r="AH87" i="1"/>
  <c r="AG87" i="1"/>
  <c r="AF87" i="1"/>
  <c r="AE87" i="1"/>
  <c r="X87" i="1"/>
  <c r="W87" i="1"/>
  <c r="U87" i="1"/>
  <c r="V87" i="1" s="1"/>
  <c r="N87" i="1"/>
  <c r="M87" i="1"/>
  <c r="L87" i="1"/>
  <c r="K87" i="1"/>
  <c r="F87" i="1"/>
  <c r="AN86" i="1"/>
  <c r="AL86" i="1"/>
  <c r="AM86" i="1" s="1"/>
  <c r="AJ86" i="1"/>
  <c r="AI86" i="1"/>
  <c r="AH86" i="1"/>
  <c r="AG86" i="1"/>
  <c r="AF86" i="1"/>
  <c r="AE86" i="1"/>
  <c r="X86" i="1"/>
  <c r="W86" i="1"/>
  <c r="U86" i="1"/>
  <c r="V86" i="1" s="1"/>
  <c r="N86" i="1"/>
  <c r="M86" i="1"/>
  <c r="L86" i="1"/>
  <c r="K86" i="1"/>
  <c r="F86" i="1"/>
  <c r="AN85" i="1"/>
  <c r="AL85" i="1"/>
  <c r="AM85" i="1" s="1"/>
  <c r="AJ85" i="1"/>
  <c r="AI85" i="1"/>
  <c r="AH85" i="1"/>
  <c r="AG85" i="1"/>
  <c r="AF85" i="1"/>
  <c r="AE85" i="1"/>
  <c r="X85" i="1"/>
  <c r="W85" i="1"/>
  <c r="U85" i="1"/>
  <c r="V85" i="1" s="1"/>
  <c r="N85" i="1"/>
  <c r="M85" i="1"/>
  <c r="L85" i="1"/>
  <c r="K85" i="1"/>
  <c r="F85" i="1"/>
  <c r="AN84" i="1"/>
  <c r="AL84" i="1"/>
  <c r="AM84" i="1" s="1"/>
  <c r="AJ84" i="1"/>
  <c r="AI84" i="1"/>
  <c r="AH84" i="1"/>
  <c r="AG84" i="1"/>
  <c r="AF84" i="1"/>
  <c r="AE84" i="1"/>
  <c r="X84" i="1"/>
  <c r="W84" i="1"/>
  <c r="U84" i="1"/>
  <c r="V84" i="1" s="1"/>
  <c r="N84" i="1"/>
  <c r="M84" i="1"/>
  <c r="L84" i="1"/>
  <c r="K84" i="1"/>
  <c r="F84" i="1"/>
  <c r="AN83" i="1"/>
  <c r="AL83" i="1"/>
  <c r="AM83" i="1" s="1"/>
  <c r="AJ83" i="1"/>
  <c r="AI83" i="1"/>
  <c r="AH83" i="1"/>
  <c r="AG83" i="1"/>
  <c r="AF83" i="1"/>
  <c r="AE83" i="1"/>
  <c r="X83" i="1"/>
  <c r="W83" i="1"/>
  <c r="U83" i="1"/>
  <c r="V83" i="1" s="1"/>
  <c r="N83" i="1"/>
  <c r="M83" i="1"/>
  <c r="L83" i="1"/>
  <c r="K83" i="1"/>
  <c r="F83" i="1"/>
  <c r="AN82" i="1"/>
  <c r="AL82" i="1"/>
  <c r="AM82" i="1" s="1"/>
  <c r="AJ82" i="1"/>
  <c r="AI82" i="1"/>
  <c r="AH82" i="1"/>
  <c r="AG82" i="1"/>
  <c r="AF82" i="1"/>
  <c r="AE82" i="1"/>
  <c r="X82" i="1"/>
  <c r="W82" i="1"/>
  <c r="U82" i="1"/>
  <c r="V82" i="1" s="1"/>
  <c r="N82" i="1"/>
  <c r="M82" i="1"/>
  <c r="L82" i="1"/>
  <c r="K82" i="1"/>
  <c r="F82" i="1"/>
  <c r="AN81" i="1"/>
  <c r="AL81" i="1"/>
  <c r="AM81" i="1" s="1"/>
  <c r="AJ81" i="1"/>
  <c r="AI81" i="1"/>
  <c r="AH81" i="1"/>
  <c r="AG81" i="1"/>
  <c r="AF81" i="1"/>
  <c r="AE81" i="1"/>
  <c r="X81" i="1"/>
  <c r="W81" i="1"/>
  <c r="U81" i="1"/>
  <c r="V81" i="1" s="1"/>
  <c r="N81" i="1"/>
  <c r="M81" i="1"/>
  <c r="L81" i="1"/>
  <c r="K81" i="1"/>
  <c r="F81" i="1"/>
  <c r="AN80" i="1"/>
  <c r="AL80" i="1"/>
  <c r="AM80" i="1" s="1"/>
  <c r="AJ80" i="1"/>
  <c r="AI80" i="1"/>
  <c r="AH80" i="1"/>
  <c r="AG80" i="1"/>
  <c r="AF80" i="1"/>
  <c r="AE80" i="1"/>
  <c r="X80" i="1"/>
  <c r="W80" i="1"/>
  <c r="U80" i="1"/>
  <c r="V80" i="1" s="1"/>
  <c r="N80" i="1"/>
  <c r="M80" i="1"/>
  <c r="L80" i="1"/>
  <c r="K80" i="1"/>
  <c r="F80" i="1"/>
  <c r="AN79" i="1"/>
  <c r="AL79" i="1"/>
  <c r="AM79" i="1" s="1"/>
  <c r="AJ79" i="1"/>
  <c r="AI79" i="1"/>
  <c r="AH79" i="1"/>
  <c r="AG79" i="1"/>
  <c r="AF79" i="1"/>
  <c r="AE79" i="1"/>
  <c r="X79" i="1"/>
  <c r="W79" i="1"/>
  <c r="U79" i="1"/>
  <c r="V79" i="1" s="1"/>
  <c r="N79" i="1"/>
  <c r="M79" i="1"/>
  <c r="L79" i="1"/>
  <c r="K79" i="1"/>
  <c r="F79" i="1"/>
  <c r="AN78" i="1"/>
  <c r="AL78" i="1"/>
  <c r="AM78" i="1" s="1"/>
  <c r="AJ78" i="1"/>
  <c r="AI78" i="1"/>
  <c r="AH78" i="1"/>
  <c r="AG78" i="1"/>
  <c r="AF78" i="1"/>
  <c r="AE78" i="1"/>
  <c r="X78" i="1"/>
  <c r="W78" i="1"/>
  <c r="U78" i="1"/>
  <c r="V78" i="1" s="1"/>
  <c r="N78" i="1"/>
  <c r="F78" i="1"/>
  <c r="AN77" i="1"/>
  <c r="AL77" i="1"/>
  <c r="AJ77" i="1"/>
  <c r="AI77" i="1"/>
  <c r="AH77" i="1"/>
  <c r="AG77" i="1"/>
  <c r="AF77" i="1"/>
  <c r="AE77" i="1"/>
  <c r="X77" i="1"/>
  <c r="W77" i="1" s="1"/>
  <c r="U77" i="1"/>
  <c r="V77" i="1" s="1"/>
  <c r="N77" i="1"/>
  <c r="M77" i="1"/>
  <c r="L77" i="1"/>
  <c r="K77" i="1"/>
  <c r="F77" i="1"/>
  <c r="AM77" i="1" s="1"/>
  <c r="AN76" i="1"/>
  <c r="AL76" i="1"/>
  <c r="AM76" i="1" s="1"/>
  <c r="AJ76" i="1"/>
  <c r="AI76" i="1"/>
  <c r="AH76" i="1"/>
  <c r="AG76" i="1"/>
  <c r="AF76" i="1"/>
  <c r="AE76" i="1"/>
  <c r="X76" i="1"/>
  <c r="W76" i="1"/>
  <c r="V76" i="1"/>
  <c r="U76" i="1"/>
  <c r="N76" i="1"/>
  <c r="M76" i="1"/>
  <c r="L76" i="1"/>
  <c r="K76" i="1"/>
  <c r="F76" i="1"/>
  <c r="AN75" i="1"/>
  <c r="AM75" i="1"/>
  <c r="AL75" i="1"/>
  <c r="AJ75" i="1"/>
  <c r="AI75" i="1"/>
  <c r="AH75" i="1"/>
  <c r="AG75" i="1"/>
  <c r="AF75" i="1"/>
  <c r="AE75" i="1"/>
  <c r="X75" i="1"/>
  <c r="W75" i="1" s="1"/>
  <c r="U75" i="1"/>
  <c r="V75" i="1" s="1"/>
  <c r="N75" i="1"/>
  <c r="M75" i="1"/>
  <c r="L75" i="1"/>
  <c r="K75" i="1"/>
  <c r="F75" i="1"/>
  <c r="AN74" i="1"/>
  <c r="AL74" i="1"/>
  <c r="AM74" i="1" s="1"/>
  <c r="AJ74" i="1"/>
  <c r="AI74" i="1"/>
  <c r="AH74" i="1"/>
  <c r="AG74" i="1"/>
  <c r="AF74" i="1"/>
  <c r="AE74" i="1"/>
  <c r="X74" i="1"/>
  <c r="W74" i="1"/>
  <c r="V74" i="1"/>
  <c r="U74" i="1"/>
  <c r="N74" i="1"/>
  <c r="M74" i="1"/>
  <c r="L74" i="1"/>
  <c r="K74" i="1"/>
  <c r="F74" i="1"/>
  <c r="AN73" i="1"/>
  <c r="AL73" i="1"/>
  <c r="AJ73" i="1"/>
  <c r="AI73" i="1"/>
  <c r="AH73" i="1"/>
  <c r="AG73" i="1"/>
  <c r="AF73" i="1"/>
  <c r="AE73" i="1"/>
  <c r="X73" i="1"/>
  <c r="W73" i="1" s="1"/>
  <c r="U73" i="1"/>
  <c r="V73" i="1" s="1"/>
  <c r="N73" i="1"/>
  <c r="M73" i="1"/>
  <c r="L73" i="1"/>
  <c r="K73" i="1"/>
  <c r="F73" i="1"/>
  <c r="AM73" i="1" s="1"/>
  <c r="AN72" i="1"/>
  <c r="AL72" i="1"/>
  <c r="AM72" i="1" s="1"/>
  <c r="AJ72" i="1"/>
  <c r="AI72" i="1"/>
  <c r="AH72" i="1"/>
  <c r="AG72" i="1"/>
  <c r="AF72" i="1"/>
  <c r="AE72" i="1"/>
  <c r="X72" i="1"/>
  <c r="W72" i="1"/>
  <c r="V72" i="1"/>
  <c r="U72" i="1"/>
  <c r="N72" i="1"/>
  <c r="M72" i="1"/>
  <c r="L72" i="1"/>
  <c r="K72" i="1"/>
  <c r="F72" i="1"/>
  <c r="AN71" i="1"/>
  <c r="AM71" i="1"/>
  <c r="AL71" i="1"/>
  <c r="AJ71" i="1"/>
  <c r="AI71" i="1"/>
  <c r="AH71" i="1"/>
  <c r="AG71" i="1"/>
  <c r="AF71" i="1"/>
  <c r="AE71" i="1"/>
  <c r="X71" i="1"/>
  <c r="W71" i="1" s="1"/>
  <c r="U71" i="1"/>
  <c r="V71" i="1" s="1"/>
  <c r="N71" i="1"/>
  <c r="M71" i="1"/>
  <c r="L71" i="1"/>
  <c r="K71" i="1"/>
  <c r="F71" i="1"/>
  <c r="AN70" i="1"/>
  <c r="AL70" i="1"/>
  <c r="AM70" i="1" s="1"/>
  <c r="AJ70" i="1"/>
  <c r="AI70" i="1"/>
  <c r="AH70" i="1"/>
  <c r="AG70" i="1"/>
  <c r="AF70" i="1"/>
  <c r="AE70" i="1"/>
  <c r="X70" i="1"/>
  <c r="W70" i="1"/>
  <c r="V70" i="1"/>
  <c r="U70" i="1"/>
  <c r="N70" i="1"/>
  <c r="M70" i="1"/>
  <c r="L70" i="1"/>
  <c r="K70" i="1"/>
  <c r="F70" i="1"/>
  <c r="AN69" i="1"/>
  <c r="AM69" i="1"/>
  <c r="AL69" i="1"/>
  <c r="AJ69" i="1"/>
  <c r="AI69" i="1"/>
  <c r="AH69" i="1"/>
  <c r="AG69" i="1"/>
  <c r="AF69" i="1"/>
  <c r="AE69" i="1"/>
  <c r="X69" i="1"/>
  <c r="W69" i="1" s="1"/>
  <c r="U69" i="1"/>
  <c r="N69" i="1"/>
  <c r="M69" i="1"/>
  <c r="L69" i="1"/>
  <c r="K69" i="1"/>
  <c r="F69" i="1"/>
  <c r="AN68" i="1"/>
  <c r="AL68" i="1"/>
  <c r="AM68" i="1" s="1"/>
  <c r="AJ68" i="1"/>
  <c r="AI68" i="1"/>
  <c r="AH68" i="1"/>
  <c r="AG68" i="1"/>
  <c r="AF68" i="1"/>
  <c r="AE68" i="1"/>
  <c r="X68" i="1"/>
  <c r="W68" i="1"/>
  <c r="V68" i="1"/>
  <c r="U68" i="1"/>
  <c r="N68" i="1"/>
  <c r="M68" i="1"/>
  <c r="L68" i="1"/>
  <c r="K68" i="1"/>
  <c r="F68" i="1"/>
  <c r="AN67" i="1"/>
  <c r="AL67" i="1"/>
  <c r="AJ67" i="1"/>
  <c r="AI67" i="1"/>
  <c r="AH67" i="1"/>
  <c r="AG67" i="1"/>
  <c r="AF67" i="1"/>
  <c r="AE67" i="1"/>
  <c r="X67" i="1"/>
  <c r="W67" i="1" s="1"/>
  <c r="U67" i="1"/>
  <c r="V67" i="1" s="1"/>
  <c r="N67" i="1"/>
  <c r="M67" i="1"/>
  <c r="L67" i="1"/>
  <c r="K67" i="1"/>
  <c r="F67" i="1"/>
  <c r="AM67" i="1" s="1"/>
  <c r="AN66" i="1"/>
  <c r="AL66" i="1"/>
  <c r="AM66" i="1" s="1"/>
  <c r="AJ66" i="1"/>
  <c r="AI66" i="1"/>
  <c r="AH66" i="1"/>
  <c r="AG66" i="1"/>
  <c r="AF66" i="1"/>
  <c r="AE66" i="1"/>
  <c r="X66" i="1"/>
  <c r="W66" i="1"/>
  <c r="V66" i="1"/>
  <c r="U66" i="1"/>
  <c r="N66" i="1"/>
  <c r="M66" i="1"/>
  <c r="L66" i="1"/>
  <c r="K66" i="1"/>
  <c r="F66" i="1"/>
  <c r="AN65" i="1"/>
  <c r="AM65" i="1"/>
  <c r="AL65" i="1"/>
  <c r="AJ65" i="1"/>
  <c r="AI65" i="1"/>
  <c r="AH65" i="1"/>
  <c r="AG65" i="1"/>
  <c r="AF65" i="1"/>
  <c r="AE65" i="1"/>
  <c r="X65" i="1"/>
  <c r="W65" i="1" s="1"/>
  <c r="U65" i="1"/>
  <c r="V65" i="1" s="1"/>
  <c r="N65" i="1"/>
  <c r="F65" i="1"/>
  <c r="AN64" i="1"/>
  <c r="AL64" i="1"/>
  <c r="AM64" i="1" s="1"/>
  <c r="AJ64" i="1"/>
  <c r="AI64" i="1"/>
  <c r="AH64" i="1"/>
  <c r="AG64" i="1"/>
  <c r="AF64" i="1"/>
  <c r="AE64" i="1"/>
  <c r="X64" i="1"/>
  <c r="W64" i="1"/>
  <c r="U64" i="1"/>
  <c r="V64" i="1" s="1"/>
  <c r="N64" i="1"/>
  <c r="M64" i="1"/>
  <c r="L64" i="1"/>
  <c r="K64" i="1"/>
  <c r="F64" i="1"/>
  <c r="AN63" i="1"/>
  <c r="AL63" i="1"/>
  <c r="AM63" i="1" s="1"/>
  <c r="AJ63" i="1"/>
  <c r="AI63" i="1"/>
  <c r="AH63" i="1"/>
  <c r="AG63" i="1"/>
  <c r="AF63" i="1"/>
  <c r="AE63" i="1"/>
  <c r="X63" i="1"/>
  <c r="W63" i="1"/>
  <c r="V63" i="1"/>
  <c r="U63" i="1"/>
  <c r="N63" i="1"/>
  <c r="M63" i="1"/>
  <c r="L63" i="1"/>
  <c r="K63" i="1"/>
  <c r="F63" i="1"/>
  <c r="AN62" i="1"/>
  <c r="AM62" i="1"/>
  <c r="AL62" i="1"/>
  <c r="AJ62" i="1"/>
  <c r="AI62" i="1"/>
  <c r="AH62" i="1"/>
  <c r="AG62" i="1"/>
  <c r="AF62" i="1"/>
  <c r="AE62" i="1"/>
  <c r="X62" i="1"/>
  <c r="W62" i="1" s="1"/>
  <c r="U62" i="1"/>
  <c r="V62" i="1" s="1"/>
  <c r="N62" i="1"/>
  <c r="M62" i="1"/>
  <c r="L62" i="1"/>
  <c r="K62" i="1"/>
  <c r="F62" i="1"/>
  <c r="AN61" i="1"/>
  <c r="AL61" i="1"/>
  <c r="AM61" i="1" s="1"/>
  <c r="AJ61" i="1"/>
  <c r="AI61" i="1"/>
  <c r="AH61" i="1"/>
  <c r="AG61" i="1"/>
  <c r="AF61" i="1"/>
  <c r="AE61" i="1"/>
  <c r="X61" i="1"/>
  <c r="W61" i="1"/>
  <c r="V61" i="1"/>
  <c r="U61" i="1"/>
  <c r="N61" i="1"/>
  <c r="M61" i="1"/>
  <c r="L61" i="1"/>
  <c r="K61" i="1"/>
  <c r="F61" i="1"/>
  <c r="AN60" i="1"/>
  <c r="AM60" i="1"/>
  <c r="AL60" i="1"/>
  <c r="AJ60" i="1"/>
  <c r="AI60" i="1"/>
  <c r="AH60" i="1"/>
  <c r="AG60" i="1"/>
  <c r="AF60" i="1"/>
  <c r="AE60" i="1"/>
  <c r="X60" i="1"/>
  <c r="W60" i="1" s="1"/>
  <c r="U60" i="1"/>
  <c r="N60" i="1"/>
  <c r="M60" i="1"/>
  <c r="L60" i="1"/>
  <c r="K60" i="1"/>
  <c r="F60" i="1"/>
  <c r="AN59" i="1"/>
  <c r="AL59" i="1"/>
  <c r="AM59" i="1" s="1"/>
  <c r="AJ59" i="1"/>
  <c r="AI59" i="1"/>
  <c r="AH59" i="1"/>
  <c r="AG59" i="1"/>
  <c r="AF59" i="1"/>
  <c r="AE59" i="1"/>
  <c r="X59" i="1"/>
  <c r="W59" i="1"/>
  <c r="U59" i="1"/>
  <c r="V59" i="1" s="1"/>
  <c r="N59" i="1"/>
  <c r="M59" i="1"/>
  <c r="L59" i="1"/>
  <c r="K59" i="1"/>
  <c r="F59" i="1"/>
  <c r="AN58" i="1"/>
  <c r="AL58" i="1"/>
  <c r="AM58" i="1" s="1"/>
  <c r="AJ58" i="1"/>
  <c r="AI58" i="1"/>
  <c r="AH58" i="1"/>
  <c r="AG58" i="1"/>
  <c r="AF58" i="1"/>
  <c r="AE58" i="1"/>
  <c r="X58" i="1"/>
  <c r="W58" i="1" s="1"/>
  <c r="U58" i="1"/>
  <c r="V58" i="1" s="1"/>
  <c r="N58" i="1"/>
  <c r="M58" i="1"/>
  <c r="L58" i="1"/>
  <c r="K58" i="1"/>
  <c r="F58" i="1"/>
  <c r="AN57" i="1"/>
  <c r="AL57" i="1"/>
  <c r="AM57" i="1" s="1"/>
  <c r="AJ57" i="1"/>
  <c r="AI57" i="1"/>
  <c r="AH57" i="1"/>
  <c r="AG57" i="1"/>
  <c r="AF57" i="1"/>
  <c r="AE57" i="1"/>
  <c r="X57" i="1"/>
  <c r="W57" i="1"/>
  <c r="V57" i="1"/>
  <c r="U57" i="1"/>
  <c r="N57" i="1"/>
  <c r="M57" i="1"/>
  <c r="L57" i="1"/>
  <c r="K57" i="1"/>
  <c r="F57" i="1"/>
  <c r="AN56" i="1"/>
  <c r="AL56" i="1"/>
  <c r="AJ56" i="1"/>
  <c r="AI56" i="1"/>
  <c r="AH56" i="1"/>
  <c r="AG56" i="1"/>
  <c r="AF56" i="1"/>
  <c r="AE56" i="1"/>
  <c r="X56" i="1"/>
  <c r="W56" i="1" s="1"/>
  <c r="U56" i="1"/>
  <c r="N56" i="1"/>
  <c r="F56" i="1"/>
  <c r="AM56" i="1" s="1"/>
  <c r="AN55" i="1"/>
  <c r="AL55" i="1"/>
  <c r="AM55" i="1" s="1"/>
  <c r="AJ55" i="1"/>
  <c r="AI55" i="1"/>
  <c r="AH55" i="1"/>
  <c r="AG55" i="1"/>
  <c r="AF55" i="1"/>
  <c r="AE55" i="1"/>
  <c r="X55" i="1"/>
  <c r="W55" i="1" s="1"/>
  <c r="V55" i="1"/>
  <c r="U55" i="1"/>
  <c r="N55" i="1"/>
  <c r="M55" i="1"/>
  <c r="L55" i="1"/>
  <c r="K55" i="1"/>
  <c r="F55" i="1"/>
  <c r="AN54" i="1"/>
  <c r="AM54" i="1"/>
  <c r="AL54" i="1"/>
  <c r="AJ54" i="1"/>
  <c r="AI54" i="1"/>
  <c r="AH54" i="1"/>
  <c r="AG54" i="1"/>
  <c r="AF54" i="1"/>
  <c r="AE54" i="1"/>
  <c r="X54" i="1"/>
  <c r="W54" i="1" s="1"/>
  <c r="U54" i="1"/>
  <c r="V54" i="1" s="1"/>
  <c r="N54" i="1"/>
  <c r="M54" i="1"/>
  <c r="L54" i="1"/>
  <c r="K54" i="1"/>
  <c r="F54" i="1"/>
  <c r="AN53" i="1"/>
  <c r="AL53" i="1"/>
  <c r="AM53" i="1" s="1"/>
  <c r="AJ53" i="1"/>
  <c r="AI53" i="1"/>
  <c r="AH53" i="1"/>
  <c r="AG53" i="1"/>
  <c r="AF53" i="1"/>
  <c r="AE53" i="1"/>
  <c r="X53" i="1"/>
  <c r="W53" i="1"/>
  <c r="U53" i="1"/>
  <c r="V53" i="1" s="1"/>
  <c r="N53" i="1"/>
  <c r="M53" i="1"/>
  <c r="L53" i="1"/>
  <c r="K53" i="1"/>
  <c r="F53" i="1"/>
  <c r="AN52" i="1"/>
  <c r="AL52" i="1"/>
  <c r="AM52" i="1" s="1"/>
  <c r="AJ52" i="1"/>
  <c r="AI52" i="1"/>
  <c r="AH52" i="1"/>
  <c r="AG52" i="1"/>
  <c r="AF52" i="1"/>
  <c r="AE52" i="1"/>
  <c r="X52" i="1"/>
  <c r="W52" i="1"/>
  <c r="U52" i="1"/>
  <c r="V52" i="1" s="1"/>
  <c r="N52" i="1"/>
  <c r="M52" i="1"/>
  <c r="L52" i="1"/>
  <c r="K52" i="1"/>
  <c r="F52" i="1"/>
  <c r="AN51" i="1"/>
  <c r="AL51" i="1"/>
  <c r="AM51" i="1" s="1"/>
  <c r="AJ51" i="1"/>
  <c r="AI51" i="1"/>
  <c r="AH51" i="1"/>
  <c r="AG51" i="1"/>
  <c r="AF51" i="1"/>
  <c r="AE51" i="1"/>
  <c r="X51" i="1"/>
  <c r="W51" i="1"/>
  <c r="U51" i="1"/>
  <c r="N51" i="1"/>
  <c r="M51" i="1"/>
  <c r="L51" i="1"/>
  <c r="K51" i="1"/>
  <c r="F51" i="1"/>
  <c r="V51" i="1" s="1"/>
  <c r="AN50" i="1"/>
  <c r="AL50" i="1"/>
  <c r="AJ50" i="1"/>
  <c r="AI50" i="1"/>
  <c r="AH50" i="1"/>
  <c r="AG50" i="1"/>
  <c r="AF50" i="1"/>
  <c r="AE50" i="1"/>
  <c r="X50" i="1"/>
  <c r="W50" i="1" s="1"/>
  <c r="U50" i="1"/>
  <c r="N50" i="1"/>
  <c r="M50" i="1"/>
  <c r="L50" i="1"/>
  <c r="K50" i="1"/>
  <c r="F50" i="1"/>
  <c r="AM50" i="1" s="1"/>
  <c r="AN49" i="1"/>
  <c r="AL49" i="1"/>
  <c r="AM49" i="1" s="1"/>
  <c r="AJ49" i="1"/>
  <c r="AI49" i="1"/>
  <c r="AH49" i="1"/>
  <c r="AG49" i="1"/>
  <c r="AF49" i="1"/>
  <c r="AE49" i="1"/>
  <c r="X49" i="1"/>
  <c r="W49" i="1"/>
  <c r="U49" i="1"/>
  <c r="V49" i="1" s="1"/>
  <c r="N49" i="1"/>
  <c r="M49" i="1"/>
  <c r="L49" i="1"/>
  <c r="K49" i="1"/>
  <c r="F49" i="1"/>
  <c r="AN48" i="1"/>
  <c r="AL48" i="1"/>
  <c r="AM48" i="1" s="1"/>
  <c r="AJ48" i="1"/>
  <c r="AI48" i="1"/>
  <c r="AH48" i="1"/>
  <c r="AG48" i="1"/>
  <c r="AF48" i="1"/>
  <c r="AE48" i="1"/>
  <c r="X48" i="1"/>
  <c r="W48" i="1" s="1"/>
  <c r="V48" i="1"/>
  <c r="U48" i="1"/>
  <c r="N48" i="1"/>
  <c r="M48" i="1"/>
  <c r="L48" i="1"/>
  <c r="K48" i="1"/>
  <c r="F48" i="1"/>
  <c r="AN47" i="1"/>
  <c r="AL47" i="1"/>
  <c r="AJ47" i="1"/>
  <c r="AI47" i="1"/>
  <c r="AH47" i="1"/>
  <c r="AG47" i="1"/>
  <c r="AF47" i="1"/>
  <c r="AE47" i="1"/>
  <c r="X47" i="1"/>
  <c r="W47" i="1" s="1"/>
  <c r="V47" i="1"/>
  <c r="U47" i="1"/>
  <c r="N47" i="1"/>
  <c r="M47" i="1"/>
  <c r="L47" i="1"/>
  <c r="K47" i="1"/>
  <c r="F47" i="1"/>
  <c r="AM47" i="1" s="1"/>
  <c r="AN46" i="1"/>
  <c r="AM46" i="1"/>
  <c r="AL46" i="1"/>
  <c r="AJ46" i="1"/>
  <c r="AI46" i="1"/>
  <c r="AH46" i="1"/>
  <c r="AG46" i="1"/>
  <c r="AF46" i="1"/>
  <c r="AE46" i="1"/>
  <c r="X46" i="1"/>
  <c r="W46" i="1" s="1"/>
  <c r="U46" i="1"/>
  <c r="N46" i="1"/>
  <c r="M46" i="1"/>
  <c r="L46" i="1"/>
  <c r="K46" i="1"/>
  <c r="F46" i="1"/>
  <c r="AN45" i="1"/>
  <c r="AL45" i="1"/>
  <c r="AM45" i="1" s="1"/>
  <c r="AJ45" i="1"/>
  <c r="AI45" i="1"/>
  <c r="AH45" i="1"/>
  <c r="AG45" i="1"/>
  <c r="AF45" i="1"/>
  <c r="AE45" i="1"/>
  <c r="X45" i="1"/>
  <c r="W45" i="1"/>
  <c r="U45" i="1"/>
  <c r="V45" i="1" s="1"/>
  <c r="N45" i="1"/>
  <c r="M45" i="1"/>
  <c r="L45" i="1"/>
  <c r="K45" i="1"/>
  <c r="F45" i="1"/>
  <c r="AN44" i="1"/>
  <c r="AL44" i="1"/>
  <c r="AM44" i="1" s="1"/>
  <c r="AJ44" i="1"/>
  <c r="AI44" i="1"/>
  <c r="AH44" i="1"/>
  <c r="AG44" i="1"/>
  <c r="AF44" i="1"/>
  <c r="AE44" i="1"/>
  <c r="X44" i="1"/>
  <c r="W44" i="1"/>
  <c r="U44" i="1"/>
  <c r="V44" i="1" s="1"/>
  <c r="N44" i="1"/>
  <c r="M44" i="1"/>
  <c r="L44" i="1"/>
  <c r="K44" i="1"/>
  <c r="F44" i="1"/>
  <c r="AN43" i="1"/>
  <c r="AL43" i="1"/>
  <c r="AM43" i="1" s="1"/>
  <c r="AJ43" i="1"/>
  <c r="AI43" i="1"/>
  <c r="AH43" i="1"/>
  <c r="AG43" i="1"/>
  <c r="AF43" i="1"/>
  <c r="AE43" i="1"/>
  <c r="X43" i="1"/>
  <c r="W43" i="1" s="1"/>
  <c r="U43" i="1"/>
  <c r="N43" i="1"/>
  <c r="M43" i="1"/>
  <c r="L43" i="1"/>
  <c r="K43" i="1"/>
  <c r="F43" i="1"/>
  <c r="V43" i="1" s="1"/>
  <c r="AN42" i="1"/>
  <c r="AL42" i="1"/>
  <c r="AJ42" i="1"/>
  <c r="AI42" i="1"/>
  <c r="AH42" i="1"/>
  <c r="AG42" i="1"/>
  <c r="AF42" i="1"/>
  <c r="AE42" i="1"/>
  <c r="X42" i="1"/>
  <c r="W42" i="1" s="1"/>
  <c r="V42" i="1"/>
  <c r="U42" i="1"/>
  <c r="N42" i="1"/>
  <c r="M42" i="1"/>
  <c r="L42" i="1"/>
  <c r="K42" i="1"/>
  <c r="F42" i="1"/>
  <c r="AM42" i="1" s="1"/>
  <c r="AN41" i="1"/>
  <c r="AL41" i="1"/>
  <c r="AJ41" i="1"/>
  <c r="AI41" i="1"/>
  <c r="AH41" i="1"/>
  <c r="AG41" i="1"/>
  <c r="AF41" i="1"/>
  <c r="AE41" i="1"/>
  <c r="X41" i="1"/>
  <c r="W41" i="1" s="1"/>
  <c r="V41" i="1"/>
  <c r="U41" i="1"/>
  <c r="N41" i="1"/>
  <c r="M41" i="1"/>
  <c r="L41" i="1"/>
  <c r="K41" i="1"/>
  <c r="F41" i="1"/>
  <c r="AM41" i="1" s="1"/>
  <c r="AN40" i="1"/>
  <c r="AL40" i="1"/>
  <c r="AJ40" i="1"/>
  <c r="AI40" i="1"/>
  <c r="AH40" i="1"/>
  <c r="AG40" i="1"/>
  <c r="AF40" i="1"/>
  <c r="AE40" i="1"/>
  <c r="X40" i="1"/>
  <c r="W40" i="1" s="1"/>
  <c r="V40" i="1"/>
  <c r="U40" i="1"/>
  <c r="N40" i="1"/>
  <c r="M40" i="1"/>
  <c r="L40" i="1"/>
  <c r="K40" i="1"/>
  <c r="F40" i="1"/>
  <c r="AM40" i="1" s="1"/>
  <c r="AN39" i="1"/>
  <c r="AM39" i="1"/>
  <c r="AL39" i="1"/>
  <c r="AJ39" i="1"/>
  <c r="AI39" i="1"/>
  <c r="AH39" i="1"/>
  <c r="AG39" i="1"/>
  <c r="AF39" i="1"/>
  <c r="AE39" i="1"/>
  <c r="X39" i="1"/>
  <c r="W39" i="1" s="1"/>
  <c r="U39" i="1"/>
  <c r="N39" i="1"/>
  <c r="F39" i="1"/>
  <c r="V39" i="1" s="1"/>
  <c r="AN38" i="1"/>
  <c r="AL38" i="1"/>
  <c r="AM38" i="1" s="1"/>
  <c r="AJ38" i="1"/>
  <c r="AI38" i="1"/>
  <c r="AH38" i="1"/>
  <c r="AG38" i="1"/>
  <c r="AF38" i="1"/>
  <c r="AE38" i="1"/>
  <c r="X38" i="1"/>
  <c r="W38" i="1"/>
  <c r="U38" i="1"/>
  <c r="N38" i="1"/>
  <c r="M38" i="1"/>
  <c r="L38" i="1"/>
  <c r="K38" i="1"/>
  <c r="F38" i="1"/>
  <c r="V38" i="1" s="1"/>
  <c r="AN37" i="1"/>
  <c r="AL37" i="1"/>
  <c r="AJ37" i="1"/>
  <c r="AI37" i="1"/>
  <c r="AH37" i="1"/>
  <c r="AG37" i="1"/>
  <c r="AF37" i="1"/>
  <c r="AE37" i="1"/>
  <c r="X37" i="1"/>
  <c r="W37" i="1" s="1"/>
  <c r="U37" i="1"/>
  <c r="N37" i="1"/>
  <c r="M37" i="1"/>
  <c r="L37" i="1"/>
  <c r="K37" i="1"/>
  <c r="F37" i="1"/>
  <c r="AM37" i="1" s="1"/>
  <c r="AN36" i="1"/>
  <c r="AL36" i="1"/>
  <c r="AM36" i="1" s="1"/>
  <c r="AJ36" i="1"/>
  <c r="AI36" i="1"/>
  <c r="AH36" i="1"/>
  <c r="AG36" i="1"/>
  <c r="AF36" i="1"/>
  <c r="AE36" i="1"/>
  <c r="X36" i="1"/>
  <c r="W36" i="1"/>
  <c r="U36" i="1"/>
  <c r="V36" i="1" s="1"/>
  <c r="N36" i="1"/>
  <c r="M36" i="1"/>
  <c r="L36" i="1"/>
  <c r="K36" i="1"/>
  <c r="F36" i="1"/>
  <c r="AN35" i="1"/>
  <c r="AL35" i="1"/>
  <c r="AM35" i="1" s="1"/>
  <c r="AJ35" i="1"/>
  <c r="AI35" i="1"/>
  <c r="AH35" i="1"/>
  <c r="AG35" i="1"/>
  <c r="AF35" i="1"/>
  <c r="AE35" i="1"/>
  <c r="X35" i="1"/>
  <c r="W35" i="1"/>
  <c r="U35" i="1"/>
  <c r="V35" i="1" s="1"/>
  <c r="N35" i="1"/>
  <c r="M35" i="1"/>
  <c r="L35" i="1"/>
  <c r="K35" i="1"/>
  <c r="F35" i="1"/>
  <c r="AN34" i="1"/>
  <c r="AL34" i="1"/>
  <c r="AM34" i="1" s="1"/>
  <c r="AJ34" i="1"/>
  <c r="AI34" i="1"/>
  <c r="AH34" i="1"/>
  <c r="AG34" i="1"/>
  <c r="AF34" i="1"/>
  <c r="AE34" i="1"/>
  <c r="X34" i="1"/>
  <c r="W34" i="1"/>
  <c r="U34" i="1"/>
  <c r="V34" i="1" s="1"/>
  <c r="N34" i="1"/>
  <c r="M34" i="1"/>
  <c r="L34" i="1"/>
  <c r="K34" i="1"/>
  <c r="F34" i="1"/>
  <c r="AN33" i="1"/>
  <c r="AL33" i="1"/>
  <c r="AM33" i="1" s="1"/>
  <c r="AJ33" i="1"/>
  <c r="AI33" i="1"/>
  <c r="AH33" i="1"/>
  <c r="AG33" i="1"/>
  <c r="AF33" i="1"/>
  <c r="AE33" i="1"/>
  <c r="X33" i="1"/>
  <c r="W33" i="1"/>
  <c r="U33" i="1"/>
  <c r="N33" i="1"/>
  <c r="M33" i="1"/>
  <c r="L33" i="1"/>
  <c r="K33" i="1"/>
  <c r="F33" i="1"/>
  <c r="AN32" i="1"/>
  <c r="AL32" i="1"/>
  <c r="AM32" i="1" s="1"/>
  <c r="AJ32" i="1"/>
  <c r="AI32" i="1"/>
  <c r="AH32" i="1"/>
  <c r="AG32" i="1"/>
  <c r="AF32" i="1"/>
  <c r="AE32" i="1"/>
  <c r="X32" i="1"/>
  <c r="W32" i="1"/>
  <c r="V32" i="1"/>
  <c r="U32" i="1"/>
  <c r="N32" i="1"/>
  <c r="M32" i="1"/>
  <c r="L32" i="1"/>
  <c r="K32" i="1"/>
  <c r="F32" i="1"/>
  <c r="AN31" i="1"/>
  <c r="AL31" i="1"/>
  <c r="AJ31" i="1"/>
  <c r="AI31" i="1"/>
  <c r="AH31" i="1"/>
  <c r="AG31" i="1"/>
  <c r="AF31" i="1"/>
  <c r="AE31" i="1"/>
  <c r="X31" i="1"/>
  <c r="W31" i="1" s="1"/>
  <c r="U31" i="1"/>
  <c r="V31" i="1" s="1"/>
  <c r="N31" i="1"/>
  <c r="M31" i="1"/>
  <c r="L31" i="1"/>
  <c r="K31" i="1"/>
  <c r="F31" i="1"/>
  <c r="AM31" i="1" s="1"/>
  <c r="AN30" i="1"/>
  <c r="AL30" i="1"/>
  <c r="AM30" i="1" s="1"/>
  <c r="AJ30" i="1"/>
  <c r="AI30" i="1"/>
  <c r="AH30" i="1"/>
  <c r="AG30" i="1"/>
  <c r="AF30" i="1"/>
  <c r="AE30" i="1"/>
  <c r="X30" i="1"/>
  <c r="W30" i="1"/>
  <c r="U30" i="1"/>
  <c r="V30" i="1" s="1"/>
  <c r="N30" i="1"/>
  <c r="M30" i="1"/>
  <c r="L30" i="1"/>
  <c r="K30" i="1"/>
  <c r="F30" i="1"/>
  <c r="AN29" i="1"/>
  <c r="AL29" i="1"/>
  <c r="AM29" i="1" s="1"/>
  <c r="AJ29" i="1"/>
  <c r="AI29" i="1"/>
  <c r="AH29" i="1"/>
  <c r="AG29" i="1"/>
  <c r="AF29" i="1"/>
  <c r="AE29" i="1"/>
  <c r="X29" i="1"/>
  <c r="W29" i="1"/>
  <c r="U29" i="1"/>
  <c r="N29" i="1"/>
  <c r="M29" i="1"/>
  <c r="L29" i="1"/>
  <c r="K29" i="1"/>
  <c r="F29" i="1"/>
  <c r="AN28" i="1"/>
  <c r="AL28" i="1"/>
  <c r="AM28" i="1" s="1"/>
  <c r="AJ28" i="1"/>
  <c r="AI28" i="1"/>
  <c r="AH28" i="1"/>
  <c r="AG28" i="1"/>
  <c r="AF28" i="1"/>
  <c r="AE28" i="1"/>
  <c r="X28" i="1"/>
  <c r="W28" i="1"/>
  <c r="U28" i="1"/>
  <c r="V28" i="1" s="1"/>
  <c r="N28" i="1"/>
  <c r="F28" i="1"/>
  <c r="AN27" i="1"/>
  <c r="AM27" i="1"/>
  <c r="AL27" i="1"/>
  <c r="AJ27" i="1"/>
  <c r="AI27" i="1"/>
  <c r="AH27" i="1"/>
  <c r="AG27" i="1"/>
  <c r="AF27" i="1"/>
  <c r="AE27" i="1"/>
  <c r="X27" i="1"/>
  <c r="W27" i="1" s="1"/>
  <c r="U27" i="1"/>
  <c r="V27" i="1" s="1"/>
  <c r="N27" i="1"/>
  <c r="M27" i="1"/>
  <c r="L27" i="1"/>
  <c r="K27" i="1"/>
  <c r="F27" i="1"/>
  <c r="AN26" i="1"/>
  <c r="AL26" i="1"/>
  <c r="AM26" i="1" s="1"/>
  <c r="AJ26" i="1"/>
  <c r="AI26" i="1"/>
  <c r="AH26" i="1"/>
  <c r="AG26" i="1"/>
  <c r="AF26" i="1"/>
  <c r="AE26" i="1"/>
  <c r="X26" i="1"/>
  <c r="W26" i="1"/>
  <c r="U26" i="1"/>
  <c r="V26" i="1" s="1"/>
  <c r="N26" i="1"/>
  <c r="M26" i="1"/>
  <c r="L26" i="1"/>
  <c r="K26" i="1"/>
  <c r="F26" i="1"/>
  <c r="AN25" i="1"/>
  <c r="AL25" i="1"/>
  <c r="AM25" i="1" s="1"/>
  <c r="AJ25" i="1"/>
  <c r="AI25" i="1"/>
  <c r="AH25" i="1"/>
  <c r="AG25" i="1"/>
  <c r="AF25" i="1"/>
  <c r="AE25" i="1"/>
  <c r="X25" i="1"/>
  <c r="W25" i="1"/>
  <c r="U25" i="1"/>
  <c r="N25" i="1"/>
  <c r="M25" i="1"/>
  <c r="L25" i="1"/>
  <c r="K25" i="1"/>
  <c r="F25" i="1"/>
  <c r="V25" i="1" s="1"/>
  <c r="AN24" i="1"/>
  <c r="AL24" i="1"/>
  <c r="AJ24" i="1"/>
  <c r="AI24" i="1"/>
  <c r="AH24" i="1"/>
  <c r="AG24" i="1"/>
  <c r="AF24" i="1"/>
  <c r="AE24" i="1"/>
  <c r="X24" i="1"/>
  <c r="W24" i="1" s="1"/>
  <c r="U24" i="1"/>
  <c r="N24" i="1"/>
  <c r="M24" i="1"/>
  <c r="L24" i="1"/>
  <c r="K24" i="1"/>
  <c r="F24" i="1"/>
  <c r="AM24" i="1" s="1"/>
  <c r="AN23" i="1"/>
  <c r="AM23" i="1"/>
  <c r="AL23" i="1"/>
  <c r="AJ23" i="1"/>
  <c r="AI23" i="1"/>
  <c r="AH23" i="1"/>
  <c r="AG23" i="1"/>
  <c r="AF23" i="1"/>
  <c r="AE23" i="1"/>
  <c r="X23" i="1"/>
  <c r="W23" i="1" s="1"/>
  <c r="V23" i="1"/>
  <c r="U23" i="1"/>
  <c r="N23" i="1"/>
  <c r="M23" i="1"/>
  <c r="L23" i="1"/>
  <c r="K23" i="1"/>
  <c r="F23" i="1"/>
  <c r="AN22" i="1"/>
  <c r="AL22" i="1"/>
  <c r="AJ22" i="1"/>
  <c r="AI22" i="1"/>
  <c r="AH22" i="1"/>
  <c r="AG22" i="1"/>
  <c r="AF22" i="1"/>
  <c r="AE22" i="1"/>
  <c r="X22" i="1"/>
  <c r="W22" i="1" s="1"/>
  <c r="V22" i="1"/>
  <c r="U22" i="1"/>
  <c r="N22" i="1"/>
  <c r="M22" i="1"/>
  <c r="L22" i="1"/>
  <c r="K22" i="1"/>
  <c r="F22" i="1"/>
  <c r="AM22" i="1" s="1"/>
  <c r="AN21" i="1"/>
  <c r="AL21" i="1"/>
  <c r="AJ21" i="1"/>
  <c r="AI21" i="1"/>
  <c r="AH21" i="1"/>
  <c r="AG21" i="1"/>
  <c r="AF21" i="1"/>
  <c r="AE21" i="1"/>
  <c r="X21" i="1"/>
  <c r="W21" i="1" s="1"/>
  <c r="V21" i="1"/>
  <c r="U21" i="1"/>
  <c r="N21" i="1"/>
  <c r="M21" i="1"/>
  <c r="L21" i="1"/>
  <c r="K21" i="1"/>
  <c r="F21" i="1"/>
  <c r="AM21" i="1" s="1"/>
  <c r="AN20" i="1"/>
  <c r="AL20" i="1"/>
  <c r="AJ20" i="1"/>
  <c r="AI20" i="1"/>
  <c r="AH20" i="1"/>
  <c r="AG20" i="1"/>
  <c r="AF20" i="1"/>
  <c r="AE20" i="1"/>
  <c r="X20" i="1"/>
  <c r="W20" i="1" s="1"/>
  <c r="U20" i="1"/>
  <c r="N20" i="1"/>
  <c r="M20" i="1"/>
  <c r="L20" i="1"/>
  <c r="K20" i="1"/>
  <c r="F20" i="1"/>
  <c r="V20" i="1" s="1"/>
  <c r="AN19" i="1"/>
  <c r="AL19" i="1"/>
  <c r="AJ19" i="1"/>
  <c r="AI19" i="1"/>
  <c r="AH19" i="1"/>
  <c r="AG19" i="1"/>
  <c r="AF19" i="1"/>
  <c r="AE19" i="1"/>
  <c r="X19" i="1"/>
  <c r="W19" i="1" s="1"/>
  <c r="U19" i="1"/>
  <c r="V19" i="1" s="1"/>
  <c r="N19" i="1"/>
  <c r="M19" i="1"/>
  <c r="L19" i="1"/>
  <c r="K19" i="1"/>
  <c r="F19" i="1"/>
  <c r="AM19" i="1" s="1"/>
  <c r="AN18" i="1"/>
  <c r="AL18" i="1"/>
  <c r="AM18" i="1" s="1"/>
  <c r="AJ18" i="1"/>
  <c r="AI18" i="1"/>
  <c r="AH18" i="1"/>
  <c r="AG18" i="1"/>
  <c r="AF18" i="1"/>
  <c r="AE18" i="1"/>
  <c r="X18" i="1"/>
  <c r="W18" i="1"/>
  <c r="U18" i="1"/>
  <c r="V18" i="1" s="1"/>
  <c r="N18" i="1"/>
  <c r="M18" i="1"/>
  <c r="L18" i="1"/>
  <c r="K18" i="1"/>
  <c r="F18" i="1"/>
  <c r="AN17" i="1"/>
  <c r="AL17" i="1"/>
  <c r="AM17" i="1" s="1"/>
  <c r="AJ17" i="1"/>
  <c r="AI17" i="1"/>
  <c r="AH17" i="1"/>
  <c r="AG17" i="1"/>
  <c r="AF17" i="1"/>
  <c r="AE17" i="1"/>
  <c r="X17" i="1"/>
  <c r="W17" i="1"/>
  <c r="U17" i="1"/>
  <c r="V17" i="1" s="1"/>
  <c r="N17" i="1"/>
  <c r="M17" i="1"/>
  <c r="L17" i="1"/>
  <c r="K17" i="1"/>
  <c r="F17" i="1"/>
  <c r="AN16" i="1"/>
  <c r="AL16" i="1"/>
  <c r="AM16" i="1" s="1"/>
  <c r="AJ16" i="1"/>
  <c r="AI16" i="1"/>
  <c r="AH16" i="1"/>
  <c r="AG16" i="1"/>
  <c r="AF16" i="1"/>
  <c r="AE16" i="1"/>
  <c r="X16" i="1"/>
  <c r="W16" i="1"/>
  <c r="U16" i="1"/>
  <c r="N16" i="1"/>
  <c r="M16" i="1"/>
  <c r="L16" i="1"/>
  <c r="K16" i="1"/>
  <c r="F16" i="1"/>
  <c r="V16" i="1" s="1"/>
  <c r="AN15" i="1"/>
  <c r="AL15" i="1"/>
  <c r="AJ15" i="1"/>
  <c r="AI15" i="1"/>
  <c r="AH15" i="1"/>
  <c r="AG15" i="1"/>
  <c r="AF15" i="1"/>
  <c r="AE15" i="1"/>
  <c r="X15" i="1"/>
  <c r="W15" i="1" s="1"/>
  <c r="U15" i="1"/>
  <c r="V15" i="1" s="1"/>
  <c r="N15" i="1"/>
  <c r="M15" i="1"/>
  <c r="L15" i="1"/>
  <c r="K15" i="1"/>
  <c r="F15" i="1"/>
  <c r="AM15" i="1" s="1"/>
  <c r="AN14" i="1"/>
  <c r="AL14" i="1"/>
  <c r="AM14" i="1" s="1"/>
  <c r="AJ14" i="1"/>
  <c r="AI14" i="1"/>
  <c r="AH14" i="1"/>
  <c r="AG14" i="1"/>
  <c r="AF14" i="1"/>
  <c r="AE14" i="1"/>
  <c r="X14" i="1"/>
  <c r="W14" i="1"/>
  <c r="U14" i="1"/>
  <c r="V14" i="1" s="1"/>
  <c r="N14" i="1"/>
  <c r="M14" i="1"/>
  <c r="L14" i="1"/>
  <c r="K14" i="1"/>
  <c r="F14" i="1"/>
  <c r="AN13" i="1"/>
  <c r="AL13" i="1"/>
  <c r="AM13" i="1" s="1"/>
  <c r="AJ13" i="1"/>
  <c r="AI13" i="1"/>
  <c r="AH13" i="1"/>
  <c r="AG13" i="1"/>
  <c r="AF13" i="1"/>
  <c r="AE13" i="1"/>
  <c r="X13" i="1"/>
  <c r="W13" i="1" s="1"/>
  <c r="V13" i="1"/>
  <c r="U13" i="1"/>
  <c r="N13" i="1"/>
  <c r="M13" i="1"/>
  <c r="L13" i="1"/>
  <c r="K13" i="1"/>
  <c r="F13" i="1"/>
  <c r="AN12" i="1"/>
  <c r="AL12" i="1"/>
  <c r="AJ12" i="1"/>
  <c r="AI12" i="1"/>
  <c r="AH12" i="1"/>
  <c r="AG12" i="1"/>
  <c r="AF12" i="1"/>
  <c r="AE12" i="1"/>
  <c r="X12" i="1"/>
  <c r="W12" i="1" s="1"/>
  <c r="V12" i="1"/>
  <c r="U12" i="1"/>
  <c r="N12" i="1"/>
  <c r="M12" i="1"/>
  <c r="L12" i="1"/>
  <c r="K12" i="1"/>
  <c r="F12" i="1"/>
  <c r="AM12" i="1" s="1"/>
  <c r="AN11" i="1"/>
  <c r="AM11" i="1"/>
  <c r="AL11" i="1"/>
  <c r="AJ11" i="1"/>
  <c r="AI11" i="1"/>
  <c r="AH11" i="1"/>
  <c r="AG11" i="1"/>
  <c r="AF11" i="1"/>
  <c r="AE11" i="1"/>
  <c r="X11" i="1"/>
  <c r="W11" i="1" s="1"/>
  <c r="U11" i="1"/>
  <c r="N11" i="1"/>
  <c r="M11" i="1"/>
  <c r="L11" i="1"/>
  <c r="K11" i="1"/>
  <c r="F11" i="1"/>
  <c r="V11" i="1" s="1"/>
  <c r="AN10" i="1"/>
  <c r="AL10" i="1"/>
  <c r="AJ10" i="1"/>
  <c r="AI10" i="1"/>
  <c r="AH10" i="1"/>
  <c r="AG10" i="1"/>
  <c r="AF10" i="1"/>
  <c r="AE10" i="1"/>
  <c r="X10" i="1"/>
  <c r="W10" i="1" s="1"/>
  <c r="U10" i="1"/>
  <c r="V10" i="1" s="1"/>
  <c r="N10" i="1"/>
  <c r="M10" i="1"/>
  <c r="L10" i="1"/>
  <c r="K10" i="1"/>
  <c r="F10" i="1"/>
  <c r="AM10" i="1" s="1"/>
  <c r="AN9" i="1"/>
  <c r="AL9" i="1"/>
  <c r="AM9" i="1" s="1"/>
  <c r="AJ9" i="1"/>
  <c r="AI9" i="1"/>
  <c r="AH9" i="1"/>
  <c r="AG9" i="1"/>
  <c r="AF9" i="1"/>
  <c r="AE9" i="1"/>
  <c r="X9" i="1"/>
  <c r="W9" i="1"/>
  <c r="U9" i="1"/>
  <c r="V9" i="1" s="1"/>
  <c r="N9" i="1"/>
  <c r="M9" i="1"/>
  <c r="L9" i="1"/>
  <c r="K9" i="1"/>
  <c r="F9" i="1"/>
  <c r="AN8" i="1"/>
  <c r="AL8" i="1"/>
  <c r="AM8" i="1" s="1"/>
  <c r="AJ8" i="1"/>
  <c r="AI8" i="1"/>
  <c r="AH8" i="1"/>
  <c r="AG8" i="1"/>
  <c r="AF8" i="1"/>
  <c r="AE8" i="1"/>
  <c r="X8" i="1"/>
  <c r="W8" i="1"/>
  <c r="V8" i="1"/>
  <c r="U8" i="1"/>
  <c r="N8" i="1"/>
  <c r="M8" i="1"/>
  <c r="L8" i="1"/>
  <c r="K8" i="1"/>
  <c r="F8" i="1"/>
  <c r="AN7" i="1"/>
  <c r="AL7" i="1"/>
  <c r="AJ7" i="1"/>
  <c r="AI7" i="1"/>
  <c r="AH7" i="1"/>
  <c r="AG7" i="1"/>
  <c r="AF7" i="1"/>
  <c r="AE7" i="1"/>
  <c r="X7" i="1"/>
  <c r="W7" i="1" s="1"/>
  <c r="V7" i="1"/>
  <c r="U7" i="1"/>
  <c r="N7" i="1"/>
  <c r="M7" i="1"/>
  <c r="L7" i="1"/>
  <c r="K7" i="1"/>
  <c r="F7" i="1"/>
  <c r="AM7" i="1" s="1"/>
  <c r="AN6" i="1"/>
  <c r="AL6" i="1"/>
  <c r="AJ6" i="1"/>
  <c r="AI6" i="1"/>
  <c r="AH6" i="1"/>
  <c r="AG6" i="1"/>
  <c r="AF6" i="1"/>
  <c r="AE6" i="1"/>
  <c r="X6" i="1"/>
  <c r="W6" i="1" s="1"/>
  <c r="U6" i="1"/>
  <c r="V6" i="1" s="1"/>
  <c r="N6" i="1"/>
  <c r="M6" i="1"/>
  <c r="L6" i="1"/>
  <c r="K6" i="1"/>
  <c r="F6" i="1"/>
  <c r="AM6" i="1" s="1"/>
  <c r="AN5" i="1"/>
  <c r="AL5" i="1"/>
  <c r="AM5" i="1" s="1"/>
  <c r="AJ5" i="1"/>
  <c r="AI5" i="1"/>
  <c r="AH5" i="1"/>
  <c r="AG5" i="1"/>
  <c r="AF5" i="1"/>
  <c r="AE5" i="1"/>
  <c r="X5" i="1"/>
  <c r="W5" i="1"/>
  <c r="U5" i="1"/>
  <c r="V5" i="1" s="1"/>
  <c r="N5" i="1"/>
  <c r="M5" i="1"/>
  <c r="L5" i="1"/>
  <c r="K5" i="1"/>
  <c r="F5" i="1"/>
  <c r="AN4" i="1"/>
  <c r="AL4" i="1"/>
  <c r="AM4" i="1" s="1"/>
  <c r="AJ4" i="1"/>
  <c r="AI4" i="1"/>
  <c r="AH4" i="1"/>
  <c r="AG4" i="1"/>
  <c r="AF4" i="1"/>
  <c r="AE4" i="1"/>
  <c r="X4" i="1"/>
  <c r="W4" i="1"/>
  <c r="V4" i="1"/>
  <c r="U4" i="1"/>
  <c r="N4" i="1"/>
  <c r="M4" i="1"/>
  <c r="L4" i="1"/>
  <c r="K4" i="1"/>
  <c r="F4" i="1"/>
  <c r="AG3" i="1"/>
  <c r="AM20" i="1" l="1"/>
  <c r="V29" i="1"/>
  <c r="V46" i="1"/>
  <c r="V69" i="1"/>
  <c r="AM207" i="1"/>
  <c r="AM223" i="1"/>
  <c r="AM242" i="1"/>
  <c r="V242" i="1"/>
  <c r="AM105" i="1"/>
  <c r="AM149" i="1"/>
  <c r="V199" i="1"/>
  <c r="V24" i="1"/>
  <c r="V37" i="1"/>
  <c r="W2" i="1" s="1"/>
  <c r="AM199" i="1"/>
  <c r="V50" i="1"/>
  <c r="V60" i="1"/>
  <c r="AM166" i="1"/>
  <c r="AM181" i="1"/>
  <c r="AM190" i="1"/>
  <c r="AM196" i="1"/>
  <c r="V2" i="1"/>
  <c r="V56" i="1"/>
  <c r="V33" i="1"/>
  <c r="AM94" i="1"/>
  <c r="AM201" i="1"/>
  <c r="V203" i="1"/>
  <c r="AM245" i="1"/>
  <c r="AM401" i="1"/>
  <c r="AM202" i="1"/>
  <c r="V210" i="1"/>
  <c r="V236" i="1"/>
  <c r="V246" i="1"/>
  <c r="V330" i="1"/>
  <c r="AM330" i="1"/>
  <c r="V198" i="1"/>
  <c r="AM209" i="1"/>
  <c r="V211" i="1"/>
  <c r="V193" i="1"/>
  <c r="AM210" i="1"/>
  <c r="AM218" i="1"/>
  <c r="V220" i="1"/>
  <c r="V228" i="1"/>
  <c r="AM236" i="1"/>
  <c r="V244" i="1"/>
  <c r="AM192" i="1"/>
  <c r="AM241" i="1"/>
  <c r="AM360" i="1"/>
  <c r="V386" i="1"/>
  <c r="AM386" i="1"/>
  <c r="V358" i="1"/>
  <c r="AM395" i="1"/>
  <c r="V399" i="1"/>
  <c r="AM405" i="1"/>
  <c r="V448" i="1"/>
  <c r="AM456" i="1"/>
  <c r="AM592" i="1"/>
  <c r="AM636" i="1"/>
  <c r="AM353" i="1"/>
  <c r="AM399" i="1"/>
  <c r="V403" i="1"/>
  <c r="V440" i="1"/>
  <c r="AM576" i="1"/>
  <c r="V351" i="1"/>
  <c r="V354" i="1"/>
  <c r="AM369" i="1"/>
  <c r="AM393" i="1"/>
  <c r="V397" i="1"/>
  <c r="V408" i="1"/>
  <c r="AM421" i="1"/>
  <c r="AM568" i="1"/>
  <c r="V328" i="1"/>
  <c r="V349" i="1"/>
  <c r="AM403" i="1"/>
  <c r="AM408" i="1"/>
  <c r="AM560" i="1"/>
  <c r="V327" i="1"/>
  <c r="AM385" i="1"/>
  <c r="AM397" i="1"/>
  <c r="V401" i="1"/>
  <c r="AM515" i="1"/>
  <c r="AM552" i="1"/>
  <c r="AM616" i="1"/>
  <c r="AM339" i="1"/>
  <c r="AM383" i="1"/>
  <c r="AM388" i="1"/>
  <c r="AM391" i="1"/>
  <c r="AM410" i="1"/>
  <c r="AM507" i="1"/>
  <c r="AM544" i="1"/>
  <c r="AM608" i="1"/>
  <c r="V427" i="1"/>
  <c r="V431" i="1"/>
  <c r="V435" i="1"/>
  <c r="V461" i="1"/>
  <c r="V465" i="1"/>
  <c r="V469" i="1"/>
  <c r="V473" i="1"/>
  <c r="V477" i="1"/>
  <c r="V481" i="1"/>
  <c r="V485" i="1"/>
  <c r="V489" i="1"/>
  <c r="V493" i="1"/>
  <c r="V497" i="1"/>
  <c r="V5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Alrik Degenkolb</author>
  </authors>
  <commentList>
    <comment ref="H25" authorId="0" shapeId="0" xr:uid="{3C4997C9-9888-4C28-97F3-C7FCF1654A96}">
      <text>
        <r>
          <rPr>
            <b/>
            <sz val="9"/>
            <color indexed="81"/>
            <rFont val="Segoe UI"/>
            <family val="2"/>
          </rPr>
          <t>Alrik Degenkolb: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<sst xmlns="http://schemas.openxmlformats.org/spreadsheetml/2006/main" count="4462" uniqueCount="114">
  <si>
    <t>FILTER FÜR ABRECHNUNG!</t>
  </si>
  <si>
    <t>Kunde</t>
  </si>
  <si>
    <t>Datum</t>
  </si>
  <si>
    <t>Start</t>
  </si>
  <si>
    <t>Ende</t>
  </si>
  <si>
    <t>Stunden</t>
  </si>
  <si>
    <t>Kilometer</t>
  </si>
  <si>
    <t>Senioren Engel</t>
  </si>
  <si>
    <t>Art</t>
  </si>
  <si>
    <t>Budget</t>
  </si>
  <si>
    <t>Pflegekasse - Name</t>
  </si>
  <si>
    <t>Pflegekasse - IK</t>
  </si>
  <si>
    <t>Versichertennummer</t>
  </si>
  <si>
    <t>Pflegegrad</t>
  </si>
  <si>
    <t>Durchgeführt</t>
  </si>
  <si>
    <t>Leistungsnachweis</t>
  </si>
  <si>
    <t>Ablage</t>
  </si>
  <si>
    <t>€/h</t>
  </si>
  <si>
    <t>Umsatz</t>
  </si>
  <si>
    <t>Umsatz Km</t>
  </si>
  <si>
    <t>Vertragstyp</t>
  </si>
  <si>
    <t>Abgerechnet</t>
  </si>
  <si>
    <t>Bezahlt</t>
  </si>
  <si>
    <t>Monat/Jahr</t>
  </si>
  <si>
    <t>Budgettopf</t>
  </si>
  <si>
    <t>00001|Rosemarie|Schröder</t>
  </si>
  <si>
    <t>Celina Panther</t>
  </si>
  <si>
    <t>Hauswirtschaft</t>
  </si>
  <si>
    <t>Entlastungsleistung</t>
  </si>
  <si>
    <t>Ja</t>
  </si>
  <si>
    <t>Unterschrieben</t>
  </si>
  <si>
    <t>Link</t>
  </si>
  <si>
    <t>00002|Wolfgang|Nagler</t>
  </si>
  <si>
    <t>Christiane Fiebag</t>
  </si>
  <si>
    <t>00006|Dieter|Berghold</t>
  </si>
  <si>
    <t>00007|Elke|Berghold</t>
  </si>
  <si>
    <t>00004|Ingrid|Haufe</t>
  </si>
  <si>
    <t>00005|Lothar|Haufe</t>
  </si>
  <si>
    <t>00008|Christian|Jungnickel</t>
  </si>
  <si>
    <t>00010|Helga|Dienelt</t>
  </si>
  <si>
    <t>Franziska Wächtler</t>
  </si>
  <si>
    <t>Alltagsbegleitung</t>
  </si>
  <si>
    <t>00011|Martin|Schmidt</t>
  </si>
  <si>
    <t>00014|Inge|Leupold</t>
  </si>
  <si>
    <t>00009|Dieter|Kraft</t>
  </si>
  <si>
    <t>00015|Hella|Reißig</t>
  </si>
  <si>
    <t>Manuela Richter</t>
  </si>
  <si>
    <t>KNAPPSCHAFT</t>
  </si>
  <si>
    <t>F862750970</t>
  </si>
  <si>
    <t>00013|Rita|Neubert</t>
  </si>
  <si>
    <t>00012|Lothar|Krawalski</t>
  </si>
  <si>
    <t>00003|Günter|Marx</t>
  </si>
  <si>
    <t>00017|Matthias|Roß</t>
  </si>
  <si>
    <t>ja</t>
  </si>
  <si>
    <t>00016|Rita|Nitschke</t>
  </si>
  <si>
    <t>Doreen Luzyna</t>
  </si>
  <si>
    <t>00018|Gudrun|Hentschel</t>
  </si>
  <si>
    <t>00019|Egon|Bochmann</t>
  </si>
  <si>
    <t>00020|Bernd|Fischer</t>
  </si>
  <si>
    <t>00021|Anita|Fischer</t>
  </si>
  <si>
    <t>00024|Ellenore|Lein</t>
  </si>
  <si>
    <t>00025|Elke|Mühle</t>
  </si>
  <si>
    <t>00023|Hannelore|Köhler</t>
  </si>
  <si>
    <t>00028|Joachim|Röder</t>
  </si>
  <si>
    <t>Ursula Ullmann</t>
  </si>
  <si>
    <t>00030|Beate|Konradt</t>
  </si>
  <si>
    <t>00026|Sigrid|Müller</t>
  </si>
  <si>
    <t>00027|Luzia|Pohlers</t>
  </si>
  <si>
    <t>00029|Jutta|Seidel</t>
  </si>
  <si>
    <t>00022|Bettina|Jungnickel</t>
  </si>
  <si>
    <t>00031|Renate|Schade</t>
  </si>
  <si>
    <t>00033|Wolfgang|Seidel</t>
  </si>
  <si>
    <t>Verhinderungs-/Kurzzeitpflege</t>
  </si>
  <si>
    <t>00032|Christine|Klewer</t>
  </si>
  <si>
    <t>00037|Gertraude|Falk</t>
  </si>
  <si>
    <t>Fehlt</t>
  </si>
  <si>
    <t>00035|Margitta|Friedmann</t>
  </si>
  <si>
    <t>Janet Klitzsch</t>
  </si>
  <si>
    <t>00043|Gunnar|Schenke</t>
  </si>
  <si>
    <t>00042|Lianne|Kröher</t>
  </si>
  <si>
    <t>00039|Helly|Wuchrer</t>
  </si>
  <si>
    <t>00041|Amelie|Hengst</t>
  </si>
  <si>
    <t>00038|Renate|Pittag</t>
  </si>
  <si>
    <t>00034|Reinhard|Neiser</t>
  </si>
  <si>
    <t>00045|Rene|Janek-Göbel</t>
  </si>
  <si>
    <t>Naji El Ali</t>
  </si>
  <si>
    <t>00046|Jens|Wolf</t>
  </si>
  <si>
    <t>00049|Günter|Hofmann</t>
  </si>
  <si>
    <t>00056|Franziska|Roderfeld</t>
  </si>
  <si>
    <t>Neu</t>
  </si>
  <si>
    <t>00055|Julian Pascal|Roderfeld</t>
  </si>
  <si>
    <t>00051|Maria|Löscher</t>
  </si>
  <si>
    <t>Ute Ahnert</t>
  </si>
  <si>
    <t>00059|Sieglinde|Jacobi</t>
  </si>
  <si>
    <t>00054|Katrin|Vavrin</t>
  </si>
  <si>
    <t>Nein</t>
  </si>
  <si>
    <t>00057|Ursula|Neuber</t>
  </si>
  <si>
    <t>00047|Bernd|Funke</t>
  </si>
  <si>
    <t>00050|Antje|Jungnickel</t>
  </si>
  <si>
    <t>00052|Cornelia|Posern</t>
  </si>
  <si>
    <t>00053|Ingeborg|Müller</t>
  </si>
  <si>
    <t>00048|Linda|Döring</t>
  </si>
  <si>
    <t>Monique Geitner</t>
  </si>
  <si>
    <t>00063|Tom|Fischer</t>
  </si>
  <si>
    <t>00060|Helga|Bochmann</t>
  </si>
  <si>
    <t>00062|Rita|Stammler</t>
  </si>
  <si>
    <t>00066|Detlef|Schubert</t>
  </si>
  <si>
    <t>00065|Maxim Nicolai|Käthe</t>
  </si>
  <si>
    <t>Yvonne Heidel</t>
  </si>
  <si>
    <t>00067|Marvin|Schröder</t>
  </si>
  <si>
    <t>00070|Rosali|Demirer</t>
  </si>
  <si>
    <t>Marcel Fiebag</t>
  </si>
  <si>
    <t>00072|Gabriele|Schmuck</t>
  </si>
  <si>
    <t>Anja Schäfer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</si>
</sst>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mm/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theme="0" tint="-0.499984740745262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/>
    <xf numFmtId="8" fontId="1" fillId="2" borderId="0" xfId="0" applyNumberFormat="1" applyFont="1" applyFill="1" applyAlignment="1">
      <alignment horizontal="right"/>
    </xf>
    <xf numFmtId="9" fontId="1" fillId="2" borderId="0" xfId="0" applyNumberFormat="1" applyFont="1" applyFill="1"/>
    <xf numFmtId="8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2" fillId="0" borderId="2" xfId="1" applyBorder="1"/>
    <xf numFmtId="8" fontId="0" fillId="0" borderId="1" xfId="0" applyNumberFormat="1" applyBorder="1" applyAlignment="1">
      <alignment horizontal="right"/>
    </xf>
    <xf numFmtId="8" fontId="0" fillId="0" borderId="1" xfId="0" applyNumberFormat="1" applyBorder="1" applyAlignment="1">
      <alignment horizontal="left"/>
    </xf>
    <xf numFmtId="164" fontId="0" fillId="0" borderId="1" xfId="0" applyNumberFormat="1" applyBorder="1"/>
    <xf numFmtId="8" fontId="0" fillId="0" borderId="0" xfId="0" applyNumberFormat="1"/>
    <xf numFmtId="14" fontId="0" fillId="0" borderId="3" xfId="0" applyNumberFormat="1" applyBorder="1"/>
    <xf numFmtId="0" fontId="0" fillId="0" borderId="3" xfId="0" applyBorder="1"/>
    <xf numFmtId="0" fontId="0" fillId="3" borderId="3" xfId="0" applyFill="1" applyBorder="1"/>
    <xf numFmtId="14" fontId="0" fillId="3" borderId="3" xfId="0" applyNumberFormat="1" applyFill="1" applyBorder="1"/>
    <xf numFmtId="20" fontId="0" fillId="3" borderId="1" xfId="0" applyNumberFormat="1" applyFill="1" applyBorder="1"/>
    <xf numFmtId="4" fontId="0" fillId="3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0" fillId="6" borderId="1" xfId="0" applyFill="1" applyBorder="1"/>
    <xf numFmtId="14" fontId="0" fillId="6" borderId="1" xfId="0" applyNumberFormat="1" applyFill="1" applyBorder="1"/>
    <xf numFmtId="20" fontId="0" fillId="6" borderId="1" xfId="0" applyNumberFormat="1" applyFill="1" applyBorder="1"/>
    <xf numFmtId="14" fontId="0" fillId="4" borderId="3" xfId="0" applyNumberFormat="1" applyFill="1" applyBorder="1"/>
    <xf numFmtId="4" fontId="0" fillId="7" borderId="1" xfId="0" applyNumberFormat="1" applyFill="1" applyBorder="1"/>
    <xf numFmtId="4" fontId="0" fillId="4" borderId="1" xfId="0" applyNumberFormat="1" applyFill="1" applyBorder="1"/>
    <xf numFmtId="4" fontId="0" fillId="0" borderId="3" xfId="0" applyNumberFormat="1" applyBorder="1"/>
    <xf numFmtId="0" fontId="0" fillId="8" borderId="0" xfId="0" applyFill="1"/>
    <xf numFmtId="0" fontId="0" fillId="8" borderId="1" xfId="0" applyFill="1" applyBorder="1"/>
    <xf numFmtId="0" fontId="0" fillId="7" borderId="0" xfId="0" applyFill="1"/>
    <xf numFmtId="0" fontId="0" fillId="4" borderId="1" xfId="0" applyFill="1" applyBorder="1"/>
  </cellXfs>
  <cellStyles count="2">
    <cellStyle name="Link" xfId="1" builtinId="8"/>
    <cellStyle name="Standard" xfId="0" builtinId="0"/>
  </cellStyles>
  <dxfs count="136"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EE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Relationship Id="rId1" Type="http://schemas.openxmlformats.org/officeDocument/2006/relationships/externalLinkPath" Target="https://seniorenengelalltagsbegleit-my.sharepoint.com/personal/kontakt_seniorenengel-alltagsbegleitung_de/Documents/Senioren%20Engel%20Alltagsbegleitung/05_Kunden/Angebots-%20und%20Kunden&#252;bersic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fragen"/>
      <sheetName val="Dashboard"/>
      <sheetName val="Kundenübersicht"/>
      <sheetName val="Budgets"/>
      <sheetName val="Verfügbarkeiten"/>
      <sheetName val="Pflegekassen"/>
      <sheetName val="Budget_Kunde"/>
      <sheetName val="Abrechnung -&gt;"/>
      <sheetName val="Lexware_Auszahlungen"/>
      <sheetName val="Controlling_MA_Leistungen"/>
      <sheetName val="Vollkosten"/>
      <sheetName val="Tabelle2"/>
      <sheetName val="MA_übertrag"/>
      <sheetName val="Mitarbeiter"/>
      <sheetName val="Tracking Rechnungen"/>
      <sheetName val="Leistungsübersicht"/>
      <sheetName val="Rechnung"/>
      <sheetName val="Alt -&gt;"/>
      <sheetName val="Kundenübersicht_inaktiv"/>
      <sheetName val="BusinessCase - Fahrtdienst"/>
      <sheetName val="Business Case - §37 Beratung"/>
    </sheetNames>
    <sheetDataSet>
      <sheetData sheetId="0"/>
      <sheetData sheetId="1"/>
      <sheetData sheetId="2">
        <row r="3">
          <cell r="E3" t="str">
            <v>ID</v>
          </cell>
          <cell r="G3" t="str">
            <v>Nr.</v>
          </cell>
          <cell r="H3" t="str">
            <v>Anrede 1</v>
          </cell>
          <cell r="I3" t="str">
            <v>Anrede 2</v>
          </cell>
          <cell r="J3" t="str">
            <v>Vorname</v>
          </cell>
          <cell r="K3" t="str">
            <v>Name</v>
          </cell>
          <cell r="L3" t="str">
            <v>Straße</v>
          </cell>
          <cell r="M3" t="str">
            <v>Hausnummer</v>
          </cell>
          <cell r="N3" t="str">
            <v>PLZ</v>
          </cell>
          <cell r="O3" t="str">
            <v>Ort</v>
          </cell>
          <cell r="P3" t="str">
            <v>E-Mail</v>
          </cell>
          <cell r="Q3" t="str">
            <v>Geburtsdatum</v>
          </cell>
          <cell r="R3" t="str">
            <v>Postkarte</v>
          </cell>
          <cell r="S3" t="str">
            <v>Pflegegrad</v>
          </cell>
          <cell r="T3" t="str">
            <v>Pflegegrad seit</v>
          </cell>
          <cell r="U3" t="str">
            <v>Pflegegrad - Alt</v>
          </cell>
          <cell r="V3" t="str">
            <v>Pflegegrad seit - Alt</v>
          </cell>
          <cell r="W3" t="str">
            <v>Senioren Engel #1</v>
          </cell>
          <cell r="X3" t="str">
            <v>Senioren Engel #2</v>
          </cell>
          <cell r="Y3" t="str">
            <v>Versichertennummer</v>
          </cell>
          <cell r="Z3" t="str">
            <v>Pflegekasse - Name</v>
          </cell>
          <cell r="AA3" t="str">
            <v>Pflegekasse - IK</v>
          </cell>
          <cell r="AB3" t="str">
            <v>Versichertennummer - ALT</v>
          </cell>
          <cell r="AC3" t="str">
            <v>Pflegekasse - Name - ALT</v>
          </cell>
          <cell r="AD3" t="str">
            <v>Hauswirtschaft [€/Stunde]</v>
          </cell>
          <cell r="AE3" t="str">
            <v>HW ab 2026 [€/Stunde]</v>
          </cell>
          <cell r="AF3" t="str">
            <v>Alltagsbegleitung [€/Stunde]</v>
          </cell>
          <cell r="AG3" t="str">
            <v>Vertragstyp</v>
          </cell>
          <cell r="AH3" t="str">
            <v>Monate in 2025</v>
          </cell>
          <cell r="AI3" t="str">
            <v>Budget
Entlastung</v>
          </cell>
          <cell r="AJ3" t="str">
            <v>Budget
Umwandlung</v>
          </cell>
          <cell r="AK3" t="str">
            <v>Budget
Ersatzpflege</v>
          </cell>
          <cell r="AL3" t="str">
            <v>Abgerechnet
Entlastung</v>
          </cell>
          <cell r="AM3" t="str">
            <v>Abgerechnet
Umwandlung</v>
          </cell>
          <cell r="AN3" t="str">
            <v>Abgerechnet
Ersatzpflege</v>
          </cell>
          <cell r="AO3" t="str">
            <v>Delta
Entlastung</v>
          </cell>
          <cell r="AP3" t="str">
            <v>Delta
Umwandlung</v>
          </cell>
          <cell r="AQ3" t="str">
            <v>Delta
Ersatzpflege</v>
          </cell>
          <cell r="AR3" t="str">
            <v>Delta
Gesamt</v>
          </cell>
          <cell r="AS3" t="str">
            <v>Monate in 2025</v>
          </cell>
          <cell r="AT3" t="str">
            <v>Budget
Entlastung 2025</v>
          </cell>
          <cell r="AU3" t="str">
            <v>Budget
Entlastung
2026</v>
          </cell>
          <cell r="AV3" t="str">
            <v>Budget
Umwandlung</v>
          </cell>
          <cell r="AW3" t="str">
            <v>Budget
Ersatzpflege</v>
          </cell>
          <cell r="AX3" t="str">
            <v>Abgerechnet</v>
          </cell>
          <cell r="AY3" t="str">
            <v>Delta</v>
          </cell>
        </row>
        <row r="4">
          <cell r="E4" t="str">
            <v>00001|Rosemarie|Schröder</v>
          </cell>
          <cell r="F4" t="str">
            <v>Rosemarie Schröder</v>
          </cell>
          <cell r="G4" t="str">
            <v>00001</v>
          </cell>
          <cell r="H4" t="str">
            <v>Sehr geehrte</v>
          </cell>
          <cell r="I4" t="str">
            <v>Frau</v>
          </cell>
          <cell r="J4" t="str">
            <v>Rosemarie</v>
          </cell>
          <cell r="K4" t="str">
            <v>Schröder</v>
          </cell>
          <cell r="L4" t="str">
            <v>Neefestraße</v>
          </cell>
          <cell r="M4">
            <v>131</v>
          </cell>
          <cell r="N4" t="str">
            <v>09119</v>
          </cell>
          <cell r="O4" t="str">
            <v>Chemnitz</v>
          </cell>
          <cell r="Q4">
            <v>13779</v>
          </cell>
          <cell r="S4" t="str">
            <v>PG 1</v>
          </cell>
          <cell r="T4">
            <v>45763</v>
          </cell>
          <cell r="W4" t="str">
            <v>Janet Klitzsch</v>
          </cell>
          <cell r="Y4" t="str">
            <v>Z817157321</v>
          </cell>
          <cell r="Z4" t="str">
            <v>Barmer Pflegekasse</v>
          </cell>
          <cell r="AA4">
            <v>184940005</v>
          </cell>
          <cell r="AD4">
            <v>32.75</v>
          </cell>
          <cell r="AE4">
            <v>38</v>
          </cell>
          <cell r="AF4">
            <v>42</v>
          </cell>
          <cell r="AG4" t="str">
            <v>Alt</v>
          </cell>
          <cell r="AH4">
            <v>9</v>
          </cell>
          <cell r="AI4">
            <v>1179</v>
          </cell>
          <cell r="AJ4">
            <v>0</v>
          </cell>
          <cell r="AL4">
            <v>818.74999999999989</v>
          </cell>
          <cell r="AM4">
            <v>0</v>
          </cell>
          <cell r="AN4">
            <v>0</v>
          </cell>
          <cell r="AO4">
            <v>360.25000000000011</v>
          </cell>
          <cell r="AP4">
            <v>0</v>
          </cell>
          <cell r="AQ4">
            <v>0</v>
          </cell>
          <cell r="AR4">
            <v>360.25000000000011</v>
          </cell>
          <cell r="AS4">
            <v>12</v>
          </cell>
          <cell r="AT4">
            <v>360.25000000000011</v>
          </cell>
          <cell r="AU4">
            <v>1572</v>
          </cell>
          <cell r="AV4">
            <v>0</v>
          </cell>
          <cell r="AX4">
            <v>0</v>
          </cell>
          <cell r="AY4">
            <v>1572</v>
          </cell>
        </row>
        <row r="5">
          <cell r="E5" t="str">
            <v>00002|Wolfgang|Nagler</v>
          </cell>
          <cell r="F5" t="str">
            <v>Wolfgang Nagler</v>
          </cell>
          <cell r="G5" t="str">
            <v>00002</v>
          </cell>
          <cell r="H5" t="str">
            <v>Sehr geehrter</v>
          </cell>
          <cell r="I5" t="str">
            <v>Herr</v>
          </cell>
          <cell r="J5" t="str">
            <v>Wolfgang</v>
          </cell>
          <cell r="K5" t="str">
            <v>Nagler</v>
          </cell>
          <cell r="L5" t="str">
            <v>Gaußstraße</v>
          </cell>
          <cell r="M5">
            <v>28</v>
          </cell>
          <cell r="N5" t="str">
            <v>09117</v>
          </cell>
          <cell r="O5" t="str">
            <v>Chemnitz</v>
          </cell>
          <cell r="Q5">
            <v>19809</v>
          </cell>
          <cell r="S5" t="str">
            <v>PG 2</v>
          </cell>
          <cell r="T5">
            <v>46054</v>
          </cell>
          <cell r="U5" t="str">
            <v>PG 1</v>
          </cell>
          <cell r="V5">
            <v>45734</v>
          </cell>
          <cell r="W5" t="str">
            <v>Christiane Fiebag</v>
          </cell>
          <cell r="Y5" t="str">
            <v>A268233642</v>
          </cell>
          <cell r="Z5" t="str">
            <v>IKK Classic</v>
          </cell>
          <cell r="AA5" t="str">
            <v>187202793</v>
          </cell>
          <cell r="AD5">
            <v>32.75</v>
          </cell>
          <cell r="AE5">
            <v>38</v>
          </cell>
          <cell r="AF5">
            <v>42</v>
          </cell>
          <cell r="AG5" t="str">
            <v>Alt</v>
          </cell>
          <cell r="AH5">
            <v>10</v>
          </cell>
          <cell r="AI5">
            <v>1310</v>
          </cell>
          <cell r="AJ5">
            <v>3184.0000000000005</v>
          </cell>
          <cell r="AL5">
            <v>458.5</v>
          </cell>
          <cell r="AM5">
            <v>0</v>
          </cell>
          <cell r="AN5">
            <v>0</v>
          </cell>
          <cell r="AO5">
            <v>851.5</v>
          </cell>
          <cell r="AP5">
            <v>3184.0000000000005</v>
          </cell>
          <cell r="AQ5">
            <v>0</v>
          </cell>
          <cell r="AR5">
            <v>4035.5000000000005</v>
          </cell>
          <cell r="AS5">
            <v>11</v>
          </cell>
          <cell r="AT5">
            <v>851.5</v>
          </cell>
          <cell r="AU5">
            <v>1441</v>
          </cell>
          <cell r="AV5">
            <v>3502.4000000000005</v>
          </cell>
          <cell r="AX5">
            <v>0</v>
          </cell>
          <cell r="AY5">
            <v>4943.4000000000005</v>
          </cell>
        </row>
        <row r="6">
          <cell r="E6" t="str">
            <v>00003|Günter|Marx</v>
          </cell>
          <cell r="F6" t="str">
            <v>Günter Marx</v>
          </cell>
          <cell r="G6" t="str">
            <v>00003</v>
          </cell>
          <cell r="H6" t="str">
            <v>Sehr geehrter</v>
          </cell>
          <cell r="I6" t="str">
            <v>Herr</v>
          </cell>
          <cell r="J6" t="str">
            <v>Günter</v>
          </cell>
          <cell r="K6" t="str">
            <v>Marx</v>
          </cell>
          <cell r="O6" t="str">
            <v>Chemnitz</v>
          </cell>
          <cell r="Q6">
            <v>20874</v>
          </cell>
          <cell r="S6" t="str">
            <v>PG 2</v>
          </cell>
          <cell r="Y6" t="str">
            <v>U297967139</v>
          </cell>
          <cell r="Z6" t="str">
            <v>Siemens Betriebskrankenkasse</v>
          </cell>
          <cell r="AA6" t="str">
            <v>108833505</v>
          </cell>
          <cell r="AD6">
            <v>32.75</v>
          </cell>
          <cell r="AF6">
            <v>42</v>
          </cell>
          <cell r="AG6" t="str">
            <v>Alt</v>
          </cell>
          <cell r="AH6">
            <v>12</v>
          </cell>
          <cell r="AI6">
            <v>1572</v>
          </cell>
          <cell r="AJ6">
            <v>3820.8</v>
          </cell>
          <cell r="AL6">
            <v>163.75</v>
          </cell>
          <cell r="AM6">
            <v>0</v>
          </cell>
          <cell r="AN6">
            <v>0</v>
          </cell>
          <cell r="AO6">
            <v>1408.25</v>
          </cell>
          <cell r="AP6">
            <v>3820.8</v>
          </cell>
          <cell r="AQ6">
            <v>0</v>
          </cell>
          <cell r="AR6">
            <v>5229.05</v>
          </cell>
          <cell r="AS6">
            <v>12</v>
          </cell>
          <cell r="AT6">
            <v>1408.25</v>
          </cell>
          <cell r="AU6">
            <v>1572</v>
          </cell>
          <cell r="AV6">
            <v>3820.8</v>
          </cell>
          <cell r="AX6">
            <v>0</v>
          </cell>
          <cell r="AY6">
            <v>5392.8</v>
          </cell>
        </row>
        <row r="7">
          <cell r="E7" t="str">
            <v>00004|Ingrid|Haufe</v>
          </cell>
          <cell r="F7" t="str">
            <v>Ingrid Haufe</v>
          </cell>
          <cell r="G7" t="str">
            <v>00004</v>
          </cell>
          <cell r="H7" t="str">
            <v>Sehr geehrte</v>
          </cell>
          <cell r="I7" t="str">
            <v>Frau</v>
          </cell>
          <cell r="J7" t="str">
            <v>Ingrid</v>
          </cell>
          <cell r="K7" t="str">
            <v>Haufe</v>
          </cell>
          <cell r="L7" t="str">
            <v>Am Bahrehang</v>
          </cell>
          <cell r="M7">
            <v>138</v>
          </cell>
          <cell r="N7" t="str">
            <v>09114</v>
          </cell>
          <cell r="O7" t="str">
            <v>Chemnitz</v>
          </cell>
          <cell r="Q7">
            <v>16483</v>
          </cell>
          <cell r="R7">
            <v>46063</v>
          </cell>
          <cell r="S7" t="str">
            <v>PG 1</v>
          </cell>
          <cell r="T7">
            <v>45799</v>
          </cell>
          <cell r="W7" t="str">
            <v>Christiane Fiebag</v>
          </cell>
          <cell r="Y7" t="str">
            <v>X365499146</v>
          </cell>
          <cell r="Z7" t="str">
            <v>IKK Classic</v>
          </cell>
          <cell r="AA7" t="str">
            <v>187202793</v>
          </cell>
          <cell r="AD7">
            <v>32.75</v>
          </cell>
          <cell r="AE7">
            <v>38</v>
          </cell>
          <cell r="AF7">
            <v>42</v>
          </cell>
          <cell r="AG7" t="str">
            <v>Alt</v>
          </cell>
          <cell r="AH7">
            <v>8</v>
          </cell>
          <cell r="AI7">
            <v>1048</v>
          </cell>
          <cell r="AJ7">
            <v>0</v>
          </cell>
          <cell r="AL7">
            <v>982.5</v>
          </cell>
          <cell r="AM7">
            <v>0</v>
          </cell>
          <cell r="AN7">
            <v>0</v>
          </cell>
          <cell r="AO7">
            <v>65.5</v>
          </cell>
          <cell r="AP7">
            <v>0</v>
          </cell>
          <cell r="AQ7">
            <v>0</v>
          </cell>
          <cell r="AR7">
            <v>65.5</v>
          </cell>
          <cell r="AS7">
            <v>12</v>
          </cell>
          <cell r="AT7">
            <v>65.5</v>
          </cell>
          <cell r="AU7">
            <v>1572</v>
          </cell>
          <cell r="AV7">
            <v>0</v>
          </cell>
          <cell r="AX7">
            <v>0</v>
          </cell>
          <cell r="AY7">
            <v>1572</v>
          </cell>
        </row>
        <row r="8">
          <cell r="E8" t="str">
            <v>00005|Lothar|Haufe</v>
          </cell>
          <cell r="F8" t="str">
            <v>Lothar Haufe</v>
          </cell>
          <cell r="G8" t="str">
            <v>00005</v>
          </cell>
          <cell r="H8" t="str">
            <v>Sehr geehrter</v>
          </cell>
          <cell r="I8" t="str">
            <v>Herr</v>
          </cell>
          <cell r="J8" t="str">
            <v>Lothar</v>
          </cell>
          <cell r="K8" t="str">
            <v>Haufe</v>
          </cell>
          <cell r="L8" t="str">
            <v>Am Bahrehang</v>
          </cell>
          <cell r="M8">
            <v>138</v>
          </cell>
          <cell r="N8" t="str">
            <v>09114</v>
          </cell>
          <cell r="O8" t="str">
            <v>Chemnitz</v>
          </cell>
          <cell r="Q8">
            <v>16452</v>
          </cell>
          <cell r="S8" t="str">
            <v>PG 1</v>
          </cell>
          <cell r="T8">
            <v>45799</v>
          </cell>
          <cell r="W8" t="str">
            <v>Christiane Fiebag</v>
          </cell>
          <cell r="Y8" t="str">
            <v>E434900220</v>
          </cell>
          <cell r="Z8" t="str">
            <v>IKK Classic</v>
          </cell>
          <cell r="AA8" t="str">
            <v>187202793</v>
          </cell>
          <cell r="AD8">
            <v>32.75</v>
          </cell>
          <cell r="AE8">
            <v>38</v>
          </cell>
          <cell r="AF8">
            <v>42</v>
          </cell>
          <cell r="AG8" t="str">
            <v>Alt</v>
          </cell>
          <cell r="AH8">
            <v>8</v>
          </cell>
          <cell r="AI8">
            <v>1048</v>
          </cell>
          <cell r="AJ8">
            <v>0</v>
          </cell>
          <cell r="AL8">
            <v>458.5</v>
          </cell>
          <cell r="AM8">
            <v>0</v>
          </cell>
          <cell r="AN8">
            <v>0</v>
          </cell>
          <cell r="AO8">
            <v>589.5</v>
          </cell>
          <cell r="AP8">
            <v>0</v>
          </cell>
          <cell r="AQ8">
            <v>0</v>
          </cell>
          <cell r="AR8">
            <v>589.5</v>
          </cell>
          <cell r="AS8">
            <v>12</v>
          </cell>
          <cell r="AT8">
            <v>589.5</v>
          </cell>
          <cell r="AU8">
            <v>1572</v>
          </cell>
          <cell r="AV8">
            <v>0</v>
          </cell>
          <cell r="AX8">
            <v>0</v>
          </cell>
          <cell r="AY8">
            <v>1572</v>
          </cell>
        </row>
        <row r="9">
          <cell r="E9" t="str">
            <v>00006|Dieter|Berghold</v>
          </cell>
          <cell r="F9" t="str">
            <v>Dieter Berghold</v>
          </cell>
          <cell r="G9" t="str">
            <v>00006</v>
          </cell>
          <cell r="H9" t="str">
            <v>Sehr geehrter</v>
          </cell>
          <cell r="I9" t="str">
            <v>Herr</v>
          </cell>
          <cell r="J9" t="str">
            <v>Dieter</v>
          </cell>
          <cell r="K9" t="str">
            <v>Berghold</v>
          </cell>
          <cell r="L9" t="str">
            <v>Carl-von-Ossietzky-Straße</v>
          </cell>
          <cell r="M9">
            <v>220</v>
          </cell>
          <cell r="N9" t="str">
            <v>09127</v>
          </cell>
          <cell r="O9" t="str">
            <v>Chemnitz</v>
          </cell>
          <cell r="Q9">
            <v>15545</v>
          </cell>
          <cell r="S9" t="str">
            <v>PG 2</v>
          </cell>
          <cell r="T9">
            <v>42736</v>
          </cell>
          <cell r="W9" t="str">
            <v>Christiane Fiebag</v>
          </cell>
          <cell r="Y9" t="str">
            <v>R234942678</v>
          </cell>
          <cell r="Z9" t="str">
            <v>AOK PLUS</v>
          </cell>
          <cell r="AA9">
            <v>107299005</v>
          </cell>
          <cell r="AD9">
            <v>32.75</v>
          </cell>
          <cell r="AE9">
            <v>38</v>
          </cell>
          <cell r="AF9">
            <v>42</v>
          </cell>
          <cell r="AG9" t="str">
            <v>Alt</v>
          </cell>
          <cell r="AH9">
            <v>12</v>
          </cell>
          <cell r="AI9">
            <v>1572</v>
          </cell>
          <cell r="AJ9">
            <v>3820.8</v>
          </cell>
          <cell r="AL9">
            <v>969.5</v>
          </cell>
          <cell r="AM9">
            <v>0</v>
          </cell>
          <cell r="AN9">
            <v>0</v>
          </cell>
          <cell r="AO9">
            <v>602.5</v>
          </cell>
          <cell r="AP9">
            <v>3820.8</v>
          </cell>
          <cell r="AQ9">
            <v>0</v>
          </cell>
          <cell r="AR9">
            <v>4423.3</v>
          </cell>
          <cell r="AS9">
            <v>12</v>
          </cell>
          <cell r="AT9">
            <v>602.5</v>
          </cell>
          <cell r="AU9">
            <v>1572</v>
          </cell>
          <cell r="AV9">
            <v>3820.8</v>
          </cell>
          <cell r="AX9">
            <v>0</v>
          </cell>
          <cell r="AY9">
            <v>5392.8</v>
          </cell>
        </row>
        <row r="10">
          <cell r="E10" t="str">
            <v>00007|Elke|Berghold</v>
          </cell>
          <cell r="F10" t="str">
            <v>Elke Berghold</v>
          </cell>
          <cell r="G10" t="str">
            <v>00007</v>
          </cell>
          <cell r="H10" t="str">
            <v>Sehr geehrte</v>
          </cell>
          <cell r="I10" t="str">
            <v>Frau</v>
          </cell>
          <cell r="J10" t="str">
            <v>Elke</v>
          </cell>
          <cell r="K10" t="str">
            <v>Berghold</v>
          </cell>
          <cell r="L10" t="str">
            <v>Carl-von-Ossietzky-Straße</v>
          </cell>
          <cell r="M10">
            <v>220</v>
          </cell>
          <cell r="N10" t="str">
            <v>09127</v>
          </cell>
          <cell r="O10" t="str">
            <v>Chemnitz</v>
          </cell>
          <cell r="Q10">
            <v>16309</v>
          </cell>
          <cell r="S10" t="str">
            <v>PG 3</v>
          </cell>
          <cell r="T10">
            <v>46054</v>
          </cell>
          <cell r="U10" t="str">
            <v>PG 2</v>
          </cell>
          <cell r="V10">
            <v>45352</v>
          </cell>
          <cell r="W10" t="str">
            <v>Christiane Fiebag</v>
          </cell>
          <cell r="Y10" t="str">
            <v>P722909118</v>
          </cell>
          <cell r="Z10" t="str">
            <v>AOK PLUS</v>
          </cell>
          <cell r="AA10">
            <v>107299005</v>
          </cell>
          <cell r="AD10">
            <v>32.75</v>
          </cell>
          <cell r="AE10">
            <v>38</v>
          </cell>
          <cell r="AF10">
            <v>42</v>
          </cell>
          <cell r="AG10" t="str">
            <v>Alt</v>
          </cell>
          <cell r="AH10">
            <v>12</v>
          </cell>
          <cell r="AI10">
            <v>1572</v>
          </cell>
          <cell r="AJ10">
            <v>7185.6</v>
          </cell>
          <cell r="AL10">
            <v>1181.9999999999998</v>
          </cell>
          <cell r="AM10">
            <v>0</v>
          </cell>
          <cell r="AN10">
            <v>0</v>
          </cell>
          <cell r="AO10">
            <v>390.00000000000023</v>
          </cell>
          <cell r="AP10">
            <v>7185.6</v>
          </cell>
          <cell r="AQ10">
            <v>0</v>
          </cell>
          <cell r="AR10">
            <v>7575.6</v>
          </cell>
          <cell r="AS10">
            <v>11</v>
          </cell>
          <cell r="AT10">
            <v>390.00000000000023</v>
          </cell>
          <cell r="AU10">
            <v>1441</v>
          </cell>
          <cell r="AV10">
            <v>6586.8000000000011</v>
          </cell>
          <cell r="AX10">
            <v>0</v>
          </cell>
          <cell r="AY10">
            <v>8027.8000000000011</v>
          </cell>
        </row>
        <row r="11">
          <cell r="E11" t="str">
            <v>00008|Christian|Jungnickel</v>
          </cell>
          <cell r="F11" t="str">
            <v>Christian Jungnickel</v>
          </cell>
          <cell r="G11" t="str">
            <v>00008</v>
          </cell>
          <cell r="H11" t="str">
            <v>Sehr geehrter</v>
          </cell>
          <cell r="I11" t="str">
            <v>Herr</v>
          </cell>
          <cell r="J11" t="str">
            <v>Christian</v>
          </cell>
          <cell r="K11" t="str">
            <v>Jungnickel</v>
          </cell>
          <cell r="L11" t="str">
            <v>Gaußstraße</v>
          </cell>
          <cell r="M11">
            <v>30</v>
          </cell>
          <cell r="N11" t="str">
            <v>09117</v>
          </cell>
          <cell r="O11" t="str">
            <v>Chemnitz</v>
          </cell>
          <cell r="Q11">
            <v>25840</v>
          </cell>
          <cell r="S11" t="str">
            <v>PG 1</v>
          </cell>
          <cell r="T11">
            <v>45689</v>
          </cell>
          <cell r="W11" t="str">
            <v>Christiane Fiebag</v>
          </cell>
          <cell r="Y11" t="str">
            <v>R782602114</v>
          </cell>
          <cell r="Z11" t="str">
            <v>AOK PLUS</v>
          </cell>
          <cell r="AA11">
            <v>107299005</v>
          </cell>
          <cell r="AD11">
            <v>32.75</v>
          </cell>
          <cell r="AE11">
            <v>38</v>
          </cell>
          <cell r="AF11">
            <v>42</v>
          </cell>
          <cell r="AG11" t="str">
            <v>Alt</v>
          </cell>
          <cell r="AH11">
            <v>11</v>
          </cell>
          <cell r="AI11">
            <v>1441</v>
          </cell>
          <cell r="AJ11">
            <v>0</v>
          </cell>
          <cell r="AL11">
            <v>687.75</v>
          </cell>
          <cell r="AM11">
            <v>0</v>
          </cell>
          <cell r="AN11">
            <v>0</v>
          </cell>
          <cell r="AO11">
            <v>753.25</v>
          </cell>
          <cell r="AP11">
            <v>0</v>
          </cell>
          <cell r="AQ11">
            <v>0</v>
          </cell>
          <cell r="AR11">
            <v>753.25</v>
          </cell>
          <cell r="AS11">
            <v>12</v>
          </cell>
          <cell r="AT11">
            <v>753.25</v>
          </cell>
          <cell r="AU11">
            <v>1572</v>
          </cell>
          <cell r="AV11">
            <v>0</v>
          </cell>
          <cell r="AX11">
            <v>0</v>
          </cell>
          <cell r="AY11">
            <v>1572</v>
          </cell>
        </row>
        <row r="12">
          <cell r="E12" t="str">
            <v>00009|Dieter|Kraft</v>
          </cell>
          <cell r="F12" t="str">
            <v>Dieter Kraft</v>
          </cell>
          <cell r="G12" t="str">
            <v>00009</v>
          </cell>
          <cell r="H12" t="str">
            <v>Sehr geehrter</v>
          </cell>
          <cell r="I12" t="str">
            <v>Herr</v>
          </cell>
          <cell r="J12" t="str">
            <v>Dieter</v>
          </cell>
          <cell r="K12" t="str">
            <v>Kraft</v>
          </cell>
          <cell r="L12" t="str">
            <v>Charlottenstraße</v>
          </cell>
          <cell r="M12" t="str">
            <v>4a</v>
          </cell>
          <cell r="N12" t="str">
            <v>09126</v>
          </cell>
          <cell r="O12" t="str">
            <v>Chemnitz</v>
          </cell>
          <cell r="Q12">
            <v>14940</v>
          </cell>
          <cell r="S12" t="str">
            <v>PG 1</v>
          </cell>
          <cell r="T12">
            <v>45460</v>
          </cell>
          <cell r="W12" t="str">
            <v>Christiane Fiebag</v>
          </cell>
          <cell r="Y12" t="str">
            <v>Y800652371</v>
          </cell>
          <cell r="Z12" t="str">
            <v>Barmer Pflegekasse</v>
          </cell>
          <cell r="AA12">
            <v>184940005</v>
          </cell>
          <cell r="AD12">
            <v>32.75</v>
          </cell>
          <cell r="AE12">
            <v>38</v>
          </cell>
          <cell r="AF12">
            <v>42</v>
          </cell>
          <cell r="AG12" t="str">
            <v>Alt</v>
          </cell>
          <cell r="AH12">
            <v>12</v>
          </cell>
          <cell r="AI12">
            <v>1572</v>
          </cell>
          <cell r="AJ12">
            <v>0</v>
          </cell>
          <cell r="AL12">
            <v>450.3125</v>
          </cell>
          <cell r="AM12">
            <v>0</v>
          </cell>
          <cell r="AN12">
            <v>0</v>
          </cell>
          <cell r="AO12">
            <v>1121.6875</v>
          </cell>
          <cell r="AP12">
            <v>0</v>
          </cell>
          <cell r="AQ12">
            <v>0</v>
          </cell>
          <cell r="AR12">
            <v>1121.6875</v>
          </cell>
          <cell r="AS12">
            <v>12</v>
          </cell>
          <cell r="AT12">
            <v>1121.6875</v>
          </cell>
          <cell r="AU12">
            <v>1572</v>
          </cell>
          <cell r="AV12">
            <v>0</v>
          </cell>
          <cell r="AX12">
            <v>0</v>
          </cell>
          <cell r="AY12">
            <v>1572</v>
          </cell>
        </row>
        <row r="13">
          <cell r="E13" t="str">
            <v>00010|Helga|Dienelt</v>
          </cell>
          <cell r="F13" t="str">
            <v>Helga Dienelt</v>
          </cell>
          <cell r="G13" t="str">
            <v>00010</v>
          </cell>
          <cell r="H13" t="str">
            <v>Sehr geehrte</v>
          </cell>
          <cell r="I13" t="str">
            <v>Frau</v>
          </cell>
          <cell r="J13" t="str">
            <v>Helga</v>
          </cell>
          <cell r="K13" t="str">
            <v>Dienelt</v>
          </cell>
          <cell r="L13" t="str">
            <v>Bahnhofstraße</v>
          </cell>
          <cell r="M13">
            <v>78</v>
          </cell>
          <cell r="N13" t="str">
            <v>09111</v>
          </cell>
          <cell r="O13" t="str">
            <v>Chemnitz</v>
          </cell>
          <cell r="Q13">
            <v>14228</v>
          </cell>
          <cell r="S13" t="str">
            <v>PG 2</v>
          </cell>
          <cell r="T13">
            <v>45170</v>
          </cell>
          <cell r="W13" t="str">
            <v>Franziska Wächtler</v>
          </cell>
          <cell r="Y13" t="str">
            <v>Q445657677</v>
          </cell>
          <cell r="Z13" t="str">
            <v>AOK PLUS</v>
          </cell>
          <cell r="AA13">
            <v>107299005</v>
          </cell>
          <cell r="AD13">
            <v>32.75</v>
          </cell>
          <cell r="AE13">
            <v>38</v>
          </cell>
          <cell r="AF13">
            <v>42</v>
          </cell>
          <cell r="AG13" t="str">
            <v>Alt</v>
          </cell>
          <cell r="AH13">
            <v>12</v>
          </cell>
          <cell r="AI13">
            <v>1572</v>
          </cell>
          <cell r="AJ13">
            <v>3820.8</v>
          </cell>
          <cell r="AL13">
            <v>887</v>
          </cell>
          <cell r="AM13">
            <v>0</v>
          </cell>
          <cell r="AN13">
            <v>0</v>
          </cell>
          <cell r="AO13">
            <v>685</v>
          </cell>
          <cell r="AP13">
            <v>3820.8</v>
          </cell>
          <cell r="AQ13">
            <v>0</v>
          </cell>
          <cell r="AR13">
            <v>4505.8</v>
          </cell>
          <cell r="AS13">
            <v>12</v>
          </cell>
          <cell r="AT13">
            <v>685</v>
          </cell>
          <cell r="AU13">
            <v>1572</v>
          </cell>
          <cell r="AV13">
            <v>3820.8</v>
          </cell>
          <cell r="AX13">
            <v>0</v>
          </cell>
          <cell r="AY13">
            <v>5392.8</v>
          </cell>
        </row>
        <row r="14">
          <cell r="E14" t="str">
            <v>00011|Martin|Schmidt</v>
          </cell>
          <cell r="F14" t="str">
            <v>Martin Schmidt</v>
          </cell>
          <cell r="G14" t="str">
            <v>00011</v>
          </cell>
          <cell r="H14" t="str">
            <v>Sehr geehrter</v>
          </cell>
          <cell r="I14" t="str">
            <v>Herr</v>
          </cell>
          <cell r="J14" t="str">
            <v>Martin</v>
          </cell>
          <cell r="K14" t="str">
            <v>Schmidt</v>
          </cell>
          <cell r="L14" t="str">
            <v>Ulmenhof</v>
          </cell>
          <cell r="M14">
            <v>9</v>
          </cell>
          <cell r="N14" t="str">
            <v>09117</v>
          </cell>
          <cell r="O14" t="str">
            <v>Chemnitz</v>
          </cell>
          <cell r="Q14">
            <v>19703</v>
          </cell>
          <cell r="S14" t="str">
            <v>PG 2</v>
          </cell>
          <cell r="T14">
            <v>45631</v>
          </cell>
          <cell r="W14" t="str">
            <v>Christiane Fiebag</v>
          </cell>
          <cell r="Y14" t="str">
            <v>E759973784</v>
          </cell>
          <cell r="Z14" t="str">
            <v>Techniker Krankenkasse</v>
          </cell>
          <cell r="AA14">
            <v>101575519</v>
          </cell>
          <cell r="AD14">
            <v>32.75</v>
          </cell>
          <cell r="AE14">
            <v>38</v>
          </cell>
          <cell r="AF14">
            <v>42</v>
          </cell>
          <cell r="AG14" t="str">
            <v>Alt</v>
          </cell>
          <cell r="AH14">
            <v>12</v>
          </cell>
          <cell r="AI14">
            <v>1572</v>
          </cell>
          <cell r="AJ14">
            <v>3820.8</v>
          </cell>
          <cell r="AL14">
            <v>343.87500000000011</v>
          </cell>
          <cell r="AM14">
            <v>0</v>
          </cell>
          <cell r="AN14">
            <v>0</v>
          </cell>
          <cell r="AO14">
            <v>1228.125</v>
          </cell>
          <cell r="AP14">
            <v>3820.8</v>
          </cell>
          <cell r="AQ14">
            <v>0</v>
          </cell>
          <cell r="AR14">
            <v>5048.9250000000002</v>
          </cell>
          <cell r="AS14">
            <v>12</v>
          </cell>
          <cell r="AT14">
            <v>1228.125</v>
          </cell>
          <cell r="AU14">
            <v>1572</v>
          </cell>
          <cell r="AV14">
            <v>3820.8</v>
          </cell>
          <cell r="AX14">
            <v>0</v>
          </cell>
          <cell r="AY14">
            <v>5392.8</v>
          </cell>
        </row>
        <row r="15">
          <cell r="E15" t="str">
            <v>00012|Lothar|Krawalski</v>
          </cell>
          <cell r="F15" t="str">
            <v>Lothar Krawalski</v>
          </cell>
          <cell r="G15" t="str">
            <v>00012</v>
          </cell>
          <cell r="H15" t="str">
            <v>Sehr geehrter</v>
          </cell>
          <cell r="I15" t="str">
            <v>Herr</v>
          </cell>
          <cell r="J15" t="str">
            <v>Lothar</v>
          </cell>
          <cell r="K15" t="str">
            <v>Krawalski</v>
          </cell>
          <cell r="L15" t="str">
            <v>Kochstraße</v>
          </cell>
          <cell r="M15">
            <v>70</v>
          </cell>
          <cell r="N15" t="str">
            <v>09116</v>
          </cell>
          <cell r="O15" t="str">
            <v>Chemnitz</v>
          </cell>
          <cell r="Q15">
            <v>14161</v>
          </cell>
          <cell r="S15" t="str">
            <v>PG 1</v>
          </cell>
          <cell r="T15">
            <v>45748</v>
          </cell>
          <cell r="W15" t="str">
            <v>Manuela Richter</v>
          </cell>
          <cell r="Y15" t="str">
            <v>L212281967</v>
          </cell>
          <cell r="Z15" t="str">
            <v>AOK PLUS</v>
          </cell>
          <cell r="AA15">
            <v>107299005</v>
          </cell>
          <cell r="AD15">
            <v>32.75</v>
          </cell>
          <cell r="AE15">
            <v>38</v>
          </cell>
          <cell r="AF15">
            <v>42</v>
          </cell>
          <cell r="AG15" t="str">
            <v>Alt</v>
          </cell>
          <cell r="AH15">
            <v>9</v>
          </cell>
          <cell r="AI15">
            <v>1179</v>
          </cell>
          <cell r="AJ15">
            <v>0</v>
          </cell>
          <cell r="AL15">
            <v>777.81249999999955</v>
          </cell>
          <cell r="AM15">
            <v>0</v>
          </cell>
          <cell r="AN15">
            <v>0</v>
          </cell>
          <cell r="AO15">
            <v>401.18750000000045</v>
          </cell>
          <cell r="AP15">
            <v>0</v>
          </cell>
          <cell r="AQ15">
            <v>0</v>
          </cell>
          <cell r="AR15">
            <v>401.18750000000045</v>
          </cell>
          <cell r="AS15">
            <v>12</v>
          </cell>
          <cell r="AT15">
            <v>401.18750000000045</v>
          </cell>
          <cell r="AU15">
            <v>1572</v>
          </cell>
          <cell r="AV15">
            <v>0</v>
          </cell>
          <cell r="AX15">
            <v>0</v>
          </cell>
          <cell r="AY15">
            <v>1572</v>
          </cell>
        </row>
        <row r="16">
          <cell r="E16" t="str">
            <v>00013|Rita|Neubert</v>
          </cell>
          <cell r="F16" t="str">
            <v>Rita Neubert</v>
          </cell>
          <cell r="G16" t="str">
            <v>00013</v>
          </cell>
          <cell r="H16" t="str">
            <v>Sehr geehrte</v>
          </cell>
          <cell r="I16" t="str">
            <v>Frau</v>
          </cell>
          <cell r="J16" t="str">
            <v>Rita</v>
          </cell>
          <cell r="K16" t="str">
            <v>Neubert</v>
          </cell>
          <cell r="L16" t="str">
            <v>Yorckstraße</v>
          </cell>
          <cell r="M16" t="str">
            <v>42d</v>
          </cell>
          <cell r="N16" t="str">
            <v>09130</v>
          </cell>
          <cell r="O16" t="str">
            <v>Chemnitz</v>
          </cell>
          <cell r="Q16">
            <v>16475</v>
          </cell>
          <cell r="R16">
            <v>46052</v>
          </cell>
          <cell r="S16" t="str">
            <v>PG 2</v>
          </cell>
          <cell r="T16">
            <v>45992</v>
          </cell>
          <cell r="U16" t="str">
            <v>PG 1</v>
          </cell>
          <cell r="V16">
            <v>44835</v>
          </cell>
          <cell r="W16" t="str">
            <v>Janet Klitzsch</v>
          </cell>
          <cell r="Y16" t="str">
            <v>T309560658</v>
          </cell>
          <cell r="Z16" t="str">
            <v>AOK PLUS</v>
          </cell>
          <cell r="AA16">
            <v>107299005</v>
          </cell>
          <cell r="AD16">
            <v>32.75</v>
          </cell>
          <cell r="AE16">
            <v>38</v>
          </cell>
          <cell r="AF16">
            <v>42</v>
          </cell>
          <cell r="AG16" t="str">
            <v>Alt</v>
          </cell>
          <cell r="AH16">
            <v>12</v>
          </cell>
          <cell r="AI16">
            <v>1572</v>
          </cell>
          <cell r="AJ16">
            <v>3820.8</v>
          </cell>
          <cell r="AL16">
            <v>360.25000000000063</v>
          </cell>
          <cell r="AM16">
            <v>0</v>
          </cell>
          <cell r="AN16">
            <v>0</v>
          </cell>
          <cell r="AO16">
            <v>1211.7499999999993</v>
          </cell>
          <cell r="AP16">
            <v>3820.8</v>
          </cell>
          <cell r="AQ16">
            <v>0</v>
          </cell>
          <cell r="AR16">
            <v>5032.5499999999993</v>
          </cell>
          <cell r="AS16">
            <v>12</v>
          </cell>
          <cell r="AT16">
            <v>1211.7499999999993</v>
          </cell>
          <cell r="AU16">
            <v>1572</v>
          </cell>
          <cell r="AV16">
            <v>3820.8</v>
          </cell>
          <cell r="AX16">
            <v>0</v>
          </cell>
          <cell r="AY16">
            <v>5392.8</v>
          </cell>
        </row>
        <row r="17">
          <cell r="E17" t="str">
            <v>00014|Inge|Leupold</v>
          </cell>
          <cell r="F17" t="str">
            <v>Inge Leupold</v>
          </cell>
          <cell r="G17" t="str">
            <v>00014</v>
          </cell>
          <cell r="H17" t="str">
            <v>Sehr geehrte</v>
          </cell>
          <cell r="I17" t="str">
            <v>Frau</v>
          </cell>
          <cell r="J17" t="str">
            <v>Inge</v>
          </cell>
          <cell r="K17" t="str">
            <v>Leupold</v>
          </cell>
          <cell r="L17" t="str">
            <v>Weststraße</v>
          </cell>
          <cell r="M17">
            <v>6</v>
          </cell>
          <cell r="N17" t="str">
            <v>09112</v>
          </cell>
          <cell r="O17" t="str">
            <v>Chemnitz</v>
          </cell>
          <cell r="Q17">
            <v>17232</v>
          </cell>
          <cell r="S17" t="str">
            <v>PG 1</v>
          </cell>
          <cell r="T17">
            <v>45809</v>
          </cell>
          <cell r="Y17" t="str">
            <v>I323820679</v>
          </cell>
          <cell r="Z17" t="str">
            <v>AOK PLUS</v>
          </cell>
          <cell r="AA17">
            <v>107299005</v>
          </cell>
          <cell r="AD17">
            <v>32.75</v>
          </cell>
          <cell r="AF17">
            <v>42</v>
          </cell>
          <cell r="AG17" t="str">
            <v>Alt</v>
          </cell>
          <cell r="AH17">
            <v>7</v>
          </cell>
          <cell r="AI17">
            <v>917</v>
          </cell>
          <cell r="AJ17">
            <v>0</v>
          </cell>
          <cell r="AL17">
            <v>425.75</v>
          </cell>
          <cell r="AM17">
            <v>0</v>
          </cell>
          <cell r="AN17">
            <v>0</v>
          </cell>
          <cell r="AO17">
            <v>491.25</v>
          </cell>
          <cell r="AP17">
            <v>0</v>
          </cell>
          <cell r="AQ17">
            <v>0</v>
          </cell>
          <cell r="AR17">
            <v>491.25</v>
          </cell>
          <cell r="AS17">
            <v>12</v>
          </cell>
          <cell r="AT17">
            <v>491.25</v>
          </cell>
          <cell r="AU17">
            <v>1572</v>
          </cell>
          <cell r="AV17">
            <v>0</v>
          </cell>
          <cell r="AX17">
            <v>0</v>
          </cell>
          <cell r="AY17">
            <v>1572</v>
          </cell>
        </row>
        <row r="18">
          <cell r="E18" t="str">
            <v>00015|Hella|Reißig</v>
          </cell>
          <cell r="F18" t="str">
            <v>Hella Reißig</v>
          </cell>
          <cell r="G18" t="str">
            <v>00015</v>
          </cell>
          <cell r="H18" t="str">
            <v>Sehr geehrte</v>
          </cell>
          <cell r="I18" t="str">
            <v>Frau</v>
          </cell>
          <cell r="J18" t="str">
            <v>Hella</v>
          </cell>
          <cell r="K18" t="str">
            <v>Reißig</v>
          </cell>
          <cell r="L18" t="str">
            <v>Fürstenstraße</v>
          </cell>
          <cell r="M18">
            <v>143</v>
          </cell>
          <cell r="N18" t="str">
            <v>09130</v>
          </cell>
          <cell r="O18" t="str">
            <v>Chemnitz</v>
          </cell>
          <cell r="Q18">
            <v>16693</v>
          </cell>
          <cell r="S18" t="str">
            <v>PG 1</v>
          </cell>
          <cell r="T18">
            <v>45566</v>
          </cell>
          <cell r="W18" t="str">
            <v>Janet Klitzsch</v>
          </cell>
          <cell r="Y18" t="str">
            <v>F862750970</v>
          </cell>
          <cell r="Z18" t="str">
            <v>AOK PLUS</v>
          </cell>
          <cell r="AA18">
            <v>107299005</v>
          </cell>
          <cell r="AB18" t="str">
            <v>F862750970</v>
          </cell>
          <cell r="AC18" t="str">
            <v>KNAPPSCHAFT</v>
          </cell>
          <cell r="AD18">
            <v>32.75</v>
          </cell>
          <cell r="AE18">
            <v>38</v>
          </cell>
          <cell r="AF18">
            <v>42</v>
          </cell>
          <cell r="AG18" t="str">
            <v>Alt</v>
          </cell>
          <cell r="AH18">
            <v>12</v>
          </cell>
          <cell r="AI18">
            <v>1572</v>
          </cell>
          <cell r="AJ18">
            <v>0</v>
          </cell>
          <cell r="AL18">
            <v>1026.625</v>
          </cell>
          <cell r="AM18">
            <v>0</v>
          </cell>
          <cell r="AN18">
            <v>0</v>
          </cell>
          <cell r="AO18">
            <v>545.375</v>
          </cell>
          <cell r="AP18">
            <v>0</v>
          </cell>
          <cell r="AQ18">
            <v>0</v>
          </cell>
          <cell r="AR18">
            <v>545.375</v>
          </cell>
          <cell r="AS18">
            <v>12</v>
          </cell>
          <cell r="AT18">
            <v>545.375</v>
          </cell>
          <cell r="AU18">
            <v>1572</v>
          </cell>
          <cell r="AV18">
            <v>0</v>
          </cell>
          <cell r="AX18">
            <v>0</v>
          </cell>
          <cell r="AY18">
            <v>1572</v>
          </cell>
        </row>
        <row r="19">
          <cell r="E19" t="str">
            <v>00016|Rita|Nitschke</v>
          </cell>
          <cell r="F19" t="str">
            <v>Rita Nitschke</v>
          </cell>
          <cell r="G19" t="str">
            <v>00016</v>
          </cell>
          <cell r="H19" t="str">
            <v>Sehr geehrte</v>
          </cell>
          <cell r="I19" t="str">
            <v>Frau</v>
          </cell>
          <cell r="J19" t="str">
            <v>Rita</v>
          </cell>
          <cell r="K19" t="str">
            <v>Nitschke</v>
          </cell>
          <cell r="L19" t="str">
            <v>Funkstraße</v>
          </cell>
          <cell r="M19">
            <v>25</v>
          </cell>
          <cell r="N19" t="str">
            <v>09123</v>
          </cell>
          <cell r="O19" t="str">
            <v>Chemnitz</v>
          </cell>
          <cell r="Q19">
            <v>15242</v>
          </cell>
          <cell r="S19" t="str">
            <v>PG 1</v>
          </cell>
          <cell r="T19">
            <v>45805</v>
          </cell>
          <cell r="W19" t="str">
            <v>Christiane Fiebag</v>
          </cell>
          <cell r="Y19" t="str">
            <v>J775476677</v>
          </cell>
          <cell r="Z19" t="str">
            <v>Barmer Pflegekasse</v>
          </cell>
          <cell r="AA19">
            <v>184940005</v>
          </cell>
          <cell r="AD19">
            <v>32.75</v>
          </cell>
          <cell r="AE19">
            <v>38</v>
          </cell>
          <cell r="AF19">
            <v>42</v>
          </cell>
          <cell r="AG19" t="str">
            <v>Alt</v>
          </cell>
          <cell r="AH19">
            <v>8</v>
          </cell>
          <cell r="AI19">
            <v>1048</v>
          </cell>
          <cell r="AJ19">
            <v>0</v>
          </cell>
          <cell r="AL19">
            <v>114.62500000000003</v>
          </cell>
          <cell r="AM19">
            <v>0</v>
          </cell>
          <cell r="AN19">
            <v>0</v>
          </cell>
          <cell r="AO19">
            <v>933.375</v>
          </cell>
          <cell r="AP19">
            <v>0</v>
          </cell>
          <cell r="AQ19">
            <v>0</v>
          </cell>
          <cell r="AR19">
            <v>933.375</v>
          </cell>
          <cell r="AS19">
            <v>12</v>
          </cell>
          <cell r="AT19">
            <v>933.375</v>
          </cell>
          <cell r="AU19">
            <v>1572</v>
          </cell>
          <cell r="AV19">
            <v>0</v>
          </cell>
          <cell r="AX19">
            <v>0</v>
          </cell>
          <cell r="AY19">
            <v>1572</v>
          </cell>
        </row>
        <row r="20">
          <cell r="E20" t="str">
            <v>00017|Matthias|Roß</v>
          </cell>
          <cell r="F20" t="str">
            <v>Matthias Roß</v>
          </cell>
          <cell r="G20" t="str">
            <v>00017</v>
          </cell>
          <cell r="H20" t="str">
            <v>Sehr geehrter</v>
          </cell>
          <cell r="I20" t="str">
            <v>Herr</v>
          </cell>
          <cell r="J20" t="str">
            <v>Matthias</v>
          </cell>
          <cell r="K20" t="str">
            <v>Roß</v>
          </cell>
          <cell r="L20" t="str">
            <v>Wilhelm-Firl-Straße</v>
          </cell>
          <cell r="M20">
            <v>10</v>
          </cell>
          <cell r="N20" t="str">
            <v>09123</v>
          </cell>
          <cell r="O20" t="str">
            <v>Chemnitz</v>
          </cell>
          <cell r="Q20">
            <v>26009</v>
          </cell>
          <cell r="S20" t="str">
            <v>PG 2</v>
          </cell>
          <cell r="T20">
            <v>45717</v>
          </cell>
          <cell r="W20" t="str">
            <v>Christiane Fiebag</v>
          </cell>
          <cell r="Y20" t="str">
            <v>G562042888</v>
          </cell>
          <cell r="Z20" t="str">
            <v>AOK PLUS</v>
          </cell>
          <cell r="AA20">
            <v>107299005</v>
          </cell>
          <cell r="AD20">
            <v>32.75</v>
          </cell>
          <cell r="AE20">
            <v>38</v>
          </cell>
          <cell r="AF20">
            <v>42</v>
          </cell>
          <cell r="AG20" t="str">
            <v>Alt</v>
          </cell>
          <cell r="AH20">
            <v>10</v>
          </cell>
          <cell r="AI20">
            <v>1310</v>
          </cell>
          <cell r="AJ20">
            <v>3184.0000000000005</v>
          </cell>
          <cell r="AL20">
            <v>1228.125</v>
          </cell>
          <cell r="AM20">
            <v>0</v>
          </cell>
          <cell r="AN20">
            <v>0</v>
          </cell>
          <cell r="AO20">
            <v>81.875</v>
          </cell>
          <cell r="AP20">
            <v>3184.0000000000005</v>
          </cell>
          <cell r="AQ20">
            <v>0</v>
          </cell>
          <cell r="AR20">
            <v>3265.8750000000005</v>
          </cell>
          <cell r="AS20">
            <v>12</v>
          </cell>
          <cell r="AT20">
            <v>81.875</v>
          </cell>
          <cell r="AU20">
            <v>1572</v>
          </cell>
          <cell r="AV20">
            <v>3820.8</v>
          </cell>
          <cell r="AX20">
            <v>0</v>
          </cell>
          <cell r="AY20">
            <v>5392.8</v>
          </cell>
        </row>
        <row r="21">
          <cell r="E21" t="str">
            <v>00018|Gudrun|Hentschel</v>
          </cell>
          <cell r="F21" t="str">
            <v>Gudrun Hentschel</v>
          </cell>
          <cell r="G21" t="str">
            <v>00018</v>
          </cell>
          <cell r="H21" t="str">
            <v>Sehr geehrte</v>
          </cell>
          <cell r="I21" t="str">
            <v>Frau</v>
          </cell>
          <cell r="J21" t="str">
            <v>Gudrun</v>
          </cell>
          <cell r="K21" t="str">
            <v>Hentschel</v>
          </cell>
          <cell r="L21" t="str">
            <v>Alfons-Pech-Straße</v>
          </cell>
          <cell r="M21">
            <v>14</v>
          </cell>
          <cell r="N21" t="str">
            <v>09116</v>
          </cell>
          <cell r="O21" t="str">
            <v>Chemnitz</v>
          </cell>
          <cell r="Q21">
            <v>17759</v>
          </cell>
          <cell r="S21" t="str">
            <v>PG 1</v>
          </cell>
          <cell r="T21">
            <v>45761</v>
          </cell>
          <cell r="W21" t="str">
            <v>Ursula Ullmann</v>
          </cell>
          <cell r="Y21" t="str">
            <v>F006688944</v>
          </cell>
          <cell r="Z21" t="str">
            <v>Barmer Pflegekasse</v>
          </cell>
          <cell r="AA21">
            <v>184940005</v>
          </cell>
          <cell r="AD21">
            <v>32.75</v>
          </cell>
          <cell r="AE21">
            <v>38</v>
          </cell>
          <cell r="AF21">
            <v>42</v>
          </cell>
          <cell r="AG21" t="str">
            <v>Alt</v>
          </cell>
          <cell r="AH21">
            <v>9</v>
          </cell>
          <cell r="AI21">
            <v>1179</v>
          </cell>
          <cell r="AJ21">
            <v>0</v>
          </cell>
          <cell r="AL21">
            <v>556.74999999999977</v>
          </cell>
          <cell r="AM21">
            <v>0</v>
          </cell>
          <cell r="AN21">
            <v>0</v>
          </cell>
          <cell r="AO21">
            <v>622.25000000000023</v>
          </cell>
          <cell r="AP21">
            <v>0</v>
          </cell>
          <cell r="AQ21">
            <v>0</v>
          </cell>
          <cell r="AR21">
            <v>622.25000000000023</v>
          </cell>
          <cell r="AS21">
            <v>12</v>
          </cell>
          <cell r="AT21">
            <v>622.25000000000023</v>
          </cell>
          <cell r="AU21">
            <v>1572</v>
          </cell>
          <cell r="AV21">
            <v>0</v>
          </cell>
          <cell r="AX21">
            <v>0</v>
          </cell>
          <cell r="AY21">
            <v>1572</v>
          </cell>
        </row>
        <row r="22">
          <cell r="E22" t="str">
            <v>00019|Egon|Bochmann</v>
          </cell>
          <cell r="F22" t="str">
            <v>Egon Bochmann</v>
          </cell>
          <cell r="G22" t="str">
            <v>00019</v>
          </cell>
          <cell r="H22" t="str">
            <v>Sehr geehrter</v>
          </cell>
          <cell r="I22" t="str">
            <v>Herr</v>
          </cell>
          <cell r="J22" t="str">
            <v>Egon</v>
          </cell>
          <cell r="K22" t="str">
            <v>Bochmann</v>
          </cell>
          <cell r="L22" t="str">
            <v>Albert-Schweitzer-Straße</v>
          </cell>
          <cell r="M22">
            <v>74</v>
          </cell>
          <cell r="N22" t="str">
            <v>09116</v>
          </cell>
          <cell r="O22" t="str">
            <v>Chemnitz</v>
          </cell>
          <cell r="Q22">
            <v>13275</v>
          </cell>
          <cell r="S22" t="str">
            <v>PG 1</v>
          </cell>
          <cell r="T22">
            <v>45703</v>
          </cell>
          <cell r="W22" t="str">
            <v>Ursula Ullmann</v>
          </cell>
          <cell r="Y22" t="str">
            <v>N303904545</v>
          </cell>
          <cell r="Z22" t="str">
            <v>AOK PLUS</v>
          </cell>
          <cell r="AA22">
            <v>107299005</v>
          </cell>
          <cell r="AD22">
            <v>32.75</v>
          </cell>
          <cell r="AE22">
            <v>38</v>
          </cell>
          <cell r="AF22">
            <v>42</v>
          </cell>
          <cell r="AG22" t="str">
            <v>Alt</v>
          </cell>
          <cell r="AH22">
            <v>11</v>
          </cell>
          <cell r="AI22">
            <v>1441</v>
          </cell>
          <cell r="AJ22">
            <v>0</v>
          </cell>
          <cell r="AL22">
            <v>448.875</v>
          </cell>
          <cell r="AM22">
            <v>0</v>
          </cell>
          <cell r="AN22">
            <v>0</v>
          </cell>
          <cell r="AO22">
            <v>992.125</v>
          </cell>
          <cell r="AP22">
            <v>0</v>
          </cell>
          <cell r="AQ22">
            <v>0</v>
          </cell>
          <cell r="AR22">
            <v>992.125</v>
          </cell>
          <cell r="AS22">
            <v>12</v>
          </cell>
          <cell r="AT22">
            <v>992.125</v>
          </cell>
          <cell r="AU22">
            <v>1572</v>
          </cell>
          <cell r="AV22">
            <v>0</v>
          </cell>
          <cell r="AX22">
            <v>0</v>
          </cell>
          <cell r="AY22">
            <v>1572</v>
          </cell>
        </row>
        <row r="23">
          <cell r="E23" t="str">
            <v>00020|Bernd|Fischer</v>
          </cell>
          <cell r="F23" t="str">
            <v>Bernd Fischer</v>
          </cell>
          <cell r="G23" t="str">
            <v>00020</v>
          </cell>
          <cell r="H23" t="str">
            <v>Sehr geehrter</v>
          </cell>
          <cell r="I23" t="str">
            <v>Herr</v>
          </cell>
          <cell r="J23" t="str">
            <v>Bernd</v>
          </cell>
          <cell r="K23" t="str">
            <v>Fischer</v>
          </cell>
          <cell r="L23" t="str">
            <v>Steinwiese</v>
          </cell>
          <cell r="M23">
            <v>12</v>
          </cell>
          <cell r="N23" t="str">
            <v>09116</v>
          </cell>
          <cell r="O23" t="str">
            <v>Chemnitz</v>
          </cell>
          <cell r="Q23">
            <v>19698</v>
          </cell>
          <cell r="S23" t="str">
            <v>PG 2</v>
          </cell>
          <cell r="T23">
            <v>44699</v>
          </cell>
          <cell r="W23" t="str">
            <v>Ursula Ullmann</v>
          </cell>
          <cell r="Y23" t="str">
            <v>G520510754</v>
          </cell>
          <cell r="Z23" t="str">
            <v>IKK Classic</v>
          </cell>
          <cell r="AA23">
            <v>187202793</v>
          </cell>
          <cell r="AD23">
            <v>32.75</v>
          </cell>
          <cell r="AE23">
            <v>38</v>
          </cell>
          <cell r="AF23">
            <v>42</v>
          </cell>
          <cell r="AG23" t="str">
            <v>Alt</v>
          </cell>
          <cell r="AH23">
            <v>12</v>
          </cell>
          <cell r="AI23">
            <v>1572</v>
          </cell>
          <cell r="AJ23">
            <v>3820.8</v>
          </cell>
          <cell r="AL23">
            <v>327.5</v>
          </cell>
          <cell r="AM23">
            <v>0</v>
          </cell>
          <cell r="AN23">
            <v>0</v>
          </cell>
          <cell r="AO23">
            <v>1244.5</v>
          </cell>
          <cell r="AP23">
            <v>3820.8</v>
          </cell>
          <cell r="AQ23">
            <v>0</v>
          </cell>
          <cell r="AR23">
            <v>5065.3</v>
          </cell>
          <cell r="AS23">
            <v>12</v>
          </cell>
          <cell r="AT23">
            <v>1244.5</v>
          </cell>
          <cell r="AU23">
            <v>1572</v>
          </cell>
          <cell r="AV23">
            <v>3820.8</v>
          </cell>
          <cell r="AX23">
            <v>0</v>
          </cell>
          <cell r="AY23">
            <v>5392.8</v>
          </cell>
        </row>
        <row r="24">
          <cell r="E24" t="str">
            <v>00021|Anita|Fischer</v>
          </cell>
          <cell r="F24" t="str">
            <v>Anita Fischer</v>
          </cell>
          <cell r="G24" t="str">
            <v>00021</v>
          </cell>
          <cell r="H24" t="str">
            <v>Sehr geehrte</v>
          </cell>
          <cell r="I24" t="str">
            <v>Frau</v>
          </cell>
          <cell r="J24" t="str">
            <v>Anita</v>
          </cell>
          <cell r="K24" t="str">
            <v>Fischer</v>
          </cell>
          <cell r="L24" t="str">
            <v>Steinwiese</v>
          </cell>
          <cell r="M24">
            <v>12</v>
          </cell>
          <cell r="N24" t="str">
            <v>09116</v>
          </cell>
          <cell r="O24" t="str">
            <v>Chemnitz</v>
          </cell>
          <cell r="Q24">
            <v>19687</v>
          </cell>
          <cell r="S24" t="str">
            <v>PG 3</v>
          </cell>
          <cell r="T24">
            <v>45231</v>
          </cell>
          <cell r="W24" t="str">
            <v>Ursula Ullmann</v>
          </cell>
          <cell r="Y24" t="str">
            <v>E747849508</v>
          </cell>
          <cell r="Z24" t="str">
            <v>IKK Classic</v>
          </cell>
          <cell r="AA24">
            <v>187202793</v>
          </cell>
          <cell r="AD24">
            <v>32.75</v>
          </cell>
          <cell r="AE24">
            <v>38</v>
          </cell>
          <cell r="AF24">
            <v>42</v>
          </cell>
          <cell r="AG24" t="str">
            <v>Alt</v>
          </cell>
          <cell r="AH24">
            <v>12</v>
          </cell>
          <cell r="AI24">
            <v>1572</v>
          </cell>
          <cell r="AJ24">
            <v>7185.6</v>
          </cell>
          <cell r="AL24">
            <v>360.24999999999994</v>
          </cell>
          <cell r="AM24">
            <v>0</v>
          </cell>
          <cell r="AN24">
            <v>0</v>
          </cell>
          <cell r="AO24">
            <v>1211.75</v>
          </cell>
          <cell r="AP24">
            <v>7185.6</v>
          </cell>
          <cell r="AQ24">
            <v>0</v>
          </cell>
          <cell r="AR24">
            <v>8397.35</v>
          </cell>
          <cell r="AS24">
            <v>12</v>
          </cell>
          <cell r="AT24">
            <v>1211.75</v>
          </cell>
          <cell r="AU24">
            <v>1572</v>
          </cell>
          <cell r="AV24">
            <v>7185.6</v>
          </cell>
          <cell r="AX24">
            <v>0</v>
          </cell>
          <cell r="AY24">
            <v>8757.6</v>
          </cell>
        </row>
        <row r="25">
          <cell r="E25" t="str">
            <v>00022|Bettina|Jungnickel</v>
          </cell>
          <cell r="F25" t="str">
            <v>Bettina Jungnickel</v>
          </cell>
          <cell r="G25" t="str">
            <v>00022</v>
          </cell>
          <cell r="H25" t="str">
            <v>Sehr geehrte</v>
          </cell>
          <cell r="I25" t="str">
            <v>Frau</v>
          </cell>
          <cell r="J25" t="str">
            <v>Bettina</v>
          </cell>
          <cell r="K25" t="str">
            <v>Jungnickel</v>
          </cell>
          <cell r="L25" t="str">
            <v>Tännichtleite</v>
          </cell>
          <cell r="M25">
            <v>17</v>
          </cell>
          <cell r="N25" t="str">
            <v>09114</v>
          </cell>
          <cell r="O25" t="str">
            <v>Chemnitz</v>
          </cell>
          <cell r="Q25">
            <v>16340</v>
          </cell>
          <cell r="S25" t="str">
            <v>PG 2</v>
          </cell>
          <cell r="T25">
            <v>45835</v>
          </cell>
          <cell r="W25" t="str">
            <v>Christiane Fiebag</v>
          </cell>
          <cell r="Y25" t="str">
            <v>G192083809</v>
          </cell>
          <cell r="Z25" t="str">
            <v>Barmer Pflegekasse</v>
          </cell>
          <cell r="AA25">
            <v>184940005</v>
          </cell>
          <cell r="AD25">
            <v>32.75</v>
          </cell>
          <cell r="AE25">
            <v>38</v>
          </cell>
          <cell r="AF25">
            <v>42</v>
          </cell>
          <cell r="AG25" t="str">
            <v>Alt</v>
          </cell>
          <cell r="AH25">
            <v>7</v>
          </cell>
          <cell r="AI25">
            <v>917</v>
          </cell>
          <cell r="AJ25">
            <v>2228.8000000000002</v>
          </cell>
          <cell r="AL25">
            <v>458.50000000000011</v>
          </cell>
          <cell r="AM25">
            <v>0</v>
          </cell>
          <cell r="AN25">
            <v>0</v>
          </cell>
          <cell r="AO25">
            <v>458.49999999999989</v>
          </cell>
          <cell r="AP25">
            <v>2228.8000000000002</v>
          </cell>
          <cell r="AQ25">
            <v>0</v>
          </cell>
          <cell r="AR25">
            <v>2687.3</v>
          </cell>
          <cell r="AS25">
            <v>12</v>
          </cell>
          <cell r="AT25">
            <v>458.49999999999989</v>
          </cell>
          <cell r="AU25">
            <v>1572</v>
          </cell>
          <cell r="AV25">
            <v>3820.8</v>
          </cell>
          <cell r="AX25">
            <v>0</v>
          </cell>
          <cell r="AY25">
            <v>5392.8</v>
          </cell>
        </row>
        <row r="26">
          <cell r="E26" t="str">
            <v>00023|Hannelore|Köhler</v>
          </cell>
          <cell r="F26" t="str">
            <v>Hannelore Köhler</v>
          </cell>
          <cell r="G26" t="str">
            <v>00023</v>
          </cell>
          <cell r="H26" t="str">
            <v>Sehr geehrte</v>
          </cell>
          <cell r="I26" t="str">
            <v>Frau</v>
          </cell>
          <cell r="J26" t="str">
            <v>Hannelore</v>
          </cell>
          <cell r="K26" t="str">
            <v>Köhler</v>
          </cell>
          <cell r="L26" t="str">
            <v>Semmelweisstraße</v>
          </cell>
          <cell r="M26">
            <v>15</v>
          </cell>
          <cell r="N26" t="str">
            <v>09130</v>
          </cell>
          <cell r="O26" t="str">
            <v>Chemnitz</v>
          </cell>
          <cell r="Q26">
            <v>15666</v>
          </cell>
          <cell r="S26" t="str">
            <v>PG 2</v>
          </cell>
          <cell r="T26">
            <v>44562</v>
          </cell>
          <cell r="W26" t="str">
            <v>Ursula Ullmann</v>
          </cell>
          <cell r="Y26" t="str">
            <v>D629015744</v>
          </cell>
          <cell r="Z26" t="str">
            <v>IKK Classic</v>
          </cell>
          <cell r="AA26">
            <v>187202793</v>
          </cell>
          <cell r="AD26">
            <v>32.75</v>
          </cell>
          <cell r="AE26">
            <v>38</v>
          </cell>
          <cell r="AF26">
            <v>42</v>
          </cell>
          <cell r="AG26" t="str">
            <v>Alt</v>
          </cell>
          <cell r="AH26">
            <v>12</v>
          </cell>
          <cell r="AI26">
            <v>1572</v>
          </cell>
          <cell r="AJ26">
            <v>3820.8</v>
          </cell>
          <cell r="AL26">
            <v>689.875</v>
          </cell>
          <cell r="AM26">
            <v>0</v>
          </cell>
          <cell r="AN26">
            <v>0</v>
          </cell>
          <cell r="AO26">
            <v>882.125</v>
          </cell>
          <cell r="AP26">
            <v>3820.8</v>
          </cell>
          <cell r="AQ26">
            <v>0</v>
          </cell>
          <cell r="AR26">
            <v>4702.9250000000002</v>
          </cell>
          <cell r="AS26">
            <v>12</v>
          </cell>
          <cell r="AT26">
            <v>882.125</v>
          </cell>
          <cell r="AU26">
            <v>1572</v>
          </cell>
          <cell r="AV26">
            <v>3820.8</v>
          </cell>
          <cell r="AX26">
            <v>0</v>
          </cell>
          <cell r="AY26">
            <v>5392.8</v>
          </cell>
        </row>
        <row r="27">
          <cell r="E27" t="str">
            <v>00024|Ellenore|Lein</v>
          </cell>
          <cell r="F27" t="str">
            <v>Ellenore Lein</v>
          </cell>
          <cell r="G27" t="str">
            <v>00024</v>
          </cell>
          <cell r="H27" t="str">
            <v>Sehr geehrte</v>
          </cell>
          <cell r="I27" t="str">
            <v>Frau</v>
          </cell>
          <cell r="J27" t="str">
            <v>Ellenore</v>
          </cell>
          <cell r="K27" t="str">
            <v>Lein</v>
          </cell>
          <cell r="L27" t="str">
            <v>Joachim-Kändler-Straße</v>
          </cell>
          <cell r="M27">
            <v>20</v>
          </cell>
          <cell r="N27" t="str">
            <v>09116</v>
          </cell>
          <cell r="O27" t="str">
            <v>Chemnitz</v>
          </cell>
          <cell r="Q27">
            <v>17301</v>
          </cell>
          <cell r="S27" t="str">
            <v>PG 2</v>
          </cell>
          <cell r="T27">
            <v>45681</v>
          </cell>
          <cell r="W27" t="str">
            <v>Ursula Ullmann</v>
          </cell>
          <cell r="Y27" t="str">
            <v>O824144952</v>
          </cell>
          <cell r="Z27" t="str">
            <v>Techniker Krankenkasse</v>
          </cell>
          <cell r="AA27">
            <v>101575519</v>
          </cell>
          <cell r="AD27">
            <v>32.75</v>
          </cell>
          <cell r="AE27">
            <v>38</v>
          </cell>
          <cell r="AF27">
            <v>42</v>
          </cell>
          <cell r="AG27" t="str">
            <v>Alt</v>
          </cell>
          <cell r="AH27">
            <v>12</v>
          </cell>
          <cell r="AI27">
            <v>1572</v>
          </cell>
          <cell r="AJ27">
            <v>3820.8</v>
          </cell>
          <cell r="AL27">
            <v>591.25</v>
          </cell>
          <cell r="AM27">
            <v>0</v>
          </cell>
          <cell r="AN27">
            <v>0</v>
          </cell>
          <cell r="AO27">
            <v>980.75</v>
          </cell>
          <cell r="AP27">
            <v>3820.8</v>
          </cell>
          <cell r="AQ27">
            <v>0</v>
          </cell>
          <cell r="AR27">
            <v>4801.55</v>
          </cell>
          <cell r="AS27">
            <v>12</v>
          </cell>
          <cell r="AT27">
            <v>980.75</v>
          </cell>
          <cell r="AU27">
            <v>1572</v>
          </cell>
          <cell r="AV27">
            <v>3820.8</v>
          </cell>
          <cell r="AX27">
            <v>0</v>
          </cell>
          <cell r="AY27">
            <v>5392.8</v>
          </cell>
        </row>
        <row r="28">
          <cell r="E28" t="str">
            <v>00025|Elke|Mühle</v>
          </cell>
          <cell r="F28" t="str">
            <v>Elke Mühle</v>
          </cell>
          <cell r="G28" t="str">
            <v>00025</v>
          </cell>
          <cell r="H28" t="str">
            <v>Sehr geehrte</v>
          </cell>
          <cell r="I28" t="str">
            <v>Frau</v>
          </cell>
          <cell r="J28" t="str">
            <v>Elke</v>
          </cell>
          <cell r="K28" t="str">
            <v>Mühle</v>
          </cell>
          <cell r="L28" t="str">
            <v>Rudolf-Harlaß-Straße</v>
          </cell>
          <cell r="M28">
            <v>11</v>
          </cell>
          <cell r="N28" t="str">
            <v>09228</v>
          </cell>
          <cell r="O28" t="str">
            <v>Chemnitz</v>
          </cell>
          <cell r="P28" t="str">
            <v>elke.mühle@online.de</v>
          </cell>
          <cell r="Q28">
            <v>21296</v>
          </cell>
          <cell r="S28" t="str">
            <v>PG 3</v>
          </cell>
          <cell r="T28">
            <v>44652</v>
          </cell>
          <cell r="W28" t="str">
            <v>Christiane Fiebag</v>
          </cell>
          <cell r="Y28" t="str">
            <v>F038854351</v>
          </cell>
          <cell r="Z28" t="str">
            <v>AOK PLUS</v>
          </cell>
          <cell r="AA28">
            <v>107299005</v>
          </cell>
          <cell r="AD28">
            <v>32.75</v>
          </cell>
          <cell r="AE28">
            <v>38</v>
          </cell>
          <cell r="AF28">
            <v>42</v>
          </cell>
          <cell r="AG28" t="str">
            <v>Alt</v>
          </cell>
          <cell r="AH28">
            <v>12</v>
          </cell>
          <cell r="AI28">
            <v>1572</v>
          </cell>
          <cell r="AJ28">
            <v>7185.6</v>
          </cell>
          <cell r="AL28">
            <v>229.24999999999997</v>
          </cell>
          <cell r="AM28">
            <v>0</v>
          </cell>
          <cell r="AN28">
            <v>0</v>
          </cell>
          <cell r="AO28">
            <v>1342.75</v>
          </cell>
          <cell r="AP28">
            <v>7185.6</v>
          </cell>
          <cell r="AQ28">
            <v>0</v>
          </cell>
          <cell r="AR28">
            <v>8528.35</v>
          </cell>
          <cell r="AS28">
            <v>12</v>
          </cell>
          <cell r="AT28">
            <v>1342.75</v>
          </cell>
          <cell r="AU28">
            <v>1572</v>
          </cell>
          <cell r="AV28">
            <v>7185.6</v>
          </cell>
          <cell r="AX28">
            <v>0</v>
          </cell>
          <cell r="AY28">
            <v>8757.6</v>
          </cell>
        </row>
        <row r="29">
          <cell r="E29" t="str">
            <v>00026|Sigrid|Müller</v>
          </cell>
          <cell r="F29" t="str">
            <v>Sigrid Müller</v>
          </cell>
          <cell r="G29" t="str">
            <v>00026</v>
          </cell>
          <cell r="H29" t="str">
            <v>Sehr geehrte</v>
          </cell>
          <cell r="I29" t="str">
            <v>Frau</v>
          </cell>
          <cell r="J29" t="str">
            <v>Sigrid</v>
          </cell>
          <cell r="K29" t="str">
            <v>Müller</v>
          </cell>
          <cell r="L29" t="str">
            <v>Am Karbel</v>
          </cell>
          <cell r="M29">
            <v>77</v>
          </cell>
          <cell r="N29" t="str">
            <v>09116</v>
          </cell>
          <cell r="O29" t="str">
            <v>Chemnitz</v>
          </cell>
          <cell r="Q29">
            <v>15300</v>
          </cell>
          <cell r="S29" t="str">
            <v>PG 2</v>
          </cell>
          <cell r="T29">
            <v>45691</v>
          </cell>
          <cell r="W29" t="str">
            <v>Ursula Ullmann</v>
          </cell>
          <cell r="Y29" t="str">
            <v>F167156079</v>
          </cell>
          <cell r="Z29" t="str">
            <v>KNAPPSCHAFT</v>
          </cell>
          <cell r="AA29">
            <v>109990508</v>
          </cell>
          <cell r="AD29">
            <v>38</v>
          </cell>
          <cell r="AE29">
            <v>38</v>
          </cell>
          <cell r="AF29">
            <v>42</v>
          </cell>
          <cell r="AG29" t="str">
            <v>Neu</v>
          </cell>
          <cell r="AH29">
            <v>11</v>
          </cell>
          <cell r="AI29">
            <v>1441</v>
          </cell>
          <cell r="AJ29">
            <v>3502.4000000000005</v>
          </cell>
          <cell r="AL29">
            <v>472.79999999999984</v>
          </cell>
          <cell r="AM29">
            <v>0</v>
          </cell>
          <cell r="AN29">
            <v>0</v>
          </cell>
          <cell r="AO29">
            <v>968.20000000000016</v>
          </cell>
          <cell r="AP29">
            <v>3502.4000000000005</v>
          </cell>
          <cell r="AQ29">
            <v>0</v>
          </cell>
          <cell r="AR29">
            <v>4470.6000000000004</v>
          </cell>
          <cell r="AS29">
            <v>12</v>
          </cell>
          <cell r="AT29">
            <v>968.20000000000016</v>
          </cell>
          <cell r="AU29">
            <v>1572</v>
          </cell>
          <cell r="AV29">
            <v>3820.8</v>
          </cell>
          <cell r="AX29">
            <v>0</v>
          </cell>
          <cell r="AY29">
            <v>5392.8</v>
          </cell>
        </row>
        <row r="30">
          <cell r="E30" t="str">
            <v>00027|Luzia|Pohlers</v>
          </cell>
          <cell r="F30" t="str">
            <v>Luzia Pohlers</v>
          </cell>
          <cell r="G30" t="str">
            <v>00027</v>
          </cell>
          <cell r="H30" t="str">
            <v>Sehr geehrte</v>
          </cell>
          <cell r="I30" t="str">
            <v>Frau</v>
          </cell>
          <cell r="J30" t="str">
            <v>Luzia</v>
          </cell>
          <cell r="K30" t="str">
            <v>Pohlers</v>
          </cell>
          <cell r="L30" t="str">
            <v>Agricolastraße</v>
          </cell>
          <cell r="M30">
            <v>48</v>
          </cell>
          <cell r="N30" t="str">
            <v>09112</v>
          </cell>
          <cell r="O30" t="str">
            <v>Chemnitz</v>
          </cell>
          <cell r="Q30">
            <v>14068</v>
          </cell>
          <cell r="S30" t="str">
            <v>PG 2</v>
          </cell>
          <cell r="T30">
            <v>43466</v>
          </cell>
          <cell r="W30" t="str">
            <v>Ursula Ullmann</v>
          </cell>
          <cell r="Y30" t="str">
            <v>K535388327</v>
          </cell>
          <cell r="Z30" t="str">
            <v>Barmer Pflegekasse</v>
          </cell>
          <cell r="AA30">
            <v>184940005</v>
          </cell>
          <cell r="AD30">
            <v>32.75</v>
          </cell>
          <cell r="AE30">
            <v>38</v>
          </cell>
          <cell r="AF30">
            <v>42</v>
          </cell>
          <cell r="AG30" t="str">
            <v>Alt</v>
          </cell>
          <cell r="AH30">
            <v>12</v>
          </cell>
          <cell r="AI30">
            <v>1241</v>
          </cell>
          <cell r="AJ30">
            <v>3820.8</v>
          </cell>
          <cell r="AL30">
            <v>523.99999999999977</v>
          </cell>
          <cell r="AM30">
            <v>0</v>
          </cell>
          <cell r="AN30">
            <v>0</v>
          </cell>
          <cell r="AO30">
            <v>717.00000000000023</v>
          </cell>
          <cell r="AP30">
            <v>3820.8</v>
          </cell>
          <cell r="AQ30">
            <v>0</v>
          </cell>
          <cell r="AR30">
            <v>4537.8</v>
          </cell>
          <cell r="AS30">
            <v>12</v>
          </cell>
          <cell r="AT30">
            <v>717.00000000000023</v>
          </cell>
          <cell r="AU30">
            <v>1572</v>
          </cell>
          <cell r="AV30">
            <v>3820.8</v>
          </cell>
          <cell r="AX30">
            <v>0</v>
          </cell>
          <cell r="AY30">
            <v>5392.8</v>
          </cell>
        </row>
        <row r="31">
          <cell r="E31" t="str">
            <v>00028|Joachim|Röder</v>
          </cell>
          <cell r="F31" t="str">
            <v>Joachim Röder</v>
          </cell>
          <cell r="G31" t="str">
            <v>00028</v>
          </cell>
          <cell r="H31" t="str">
            <v>Sehr geehrter</v>
          </cell>
          <cell r="I31" t="str">
            <v>Herr</v>
          </cell>
          <cell r="J31" t="str">
            <v>Joachim</v>
          </cell>
          <cell r="K31" t="str">
            <v>Röder</v>
          </cell>
          <cell r="L31" t="str">
            <v>Steinbruchsweg</v>
          </cell>
          <cell r="M31">
            <v>26</v>
          </cell>
          <cell r="N31" t="str">
            <v>09228</v>
          </cell>
          <cell r="O31" t="str">
            <v>Chemnitz</v>
          </cell>
          <cell r="Q31">
            <v>15170</v>
          </cell>
          <cell r="S31" t="str">
            <v>PG 2</v>
          </cell>
          <cell r="T31">
            <v>45818</v>
          </cell>
          <cell r="W31" t="str">
            <v>Christiane Fiebag</v>
          </cell>
          <cell r="Y31" t="str">
            <v>O816601650</v>
          </cell>
          <cell r="Z31" t="str">
            <v>Techniker Krankenkasse</v>
          </cell>
          <cell r="AA31">
            <v>101575519</v>
          </cell>
          <cell r="AD31">
            <v>32.75</v>
          </cell>
          <cell r="AE31">
            <v>38</v>
          </cell>
          <cell r="AF31">
            <v>42</v>
          </cell>
          <cell r="AG31" t="str">
            <v>Alt</v>
          </cell>
          <cell r="AH31">
            <v>7</v>
          </cell>
          <cell r="AI31">
            <v>917</v>
          </cell>
          <cell r="AJ31">
            <v>2228.8000000000002</v>
          </cell>
          <cell r="AL31">
            <v>589.49999999999989</v>
          </cell>
          <cell r="AM31">
            <v>0</v>
          </cell>
          <cell r="AN31">
            <v>0</v>
          </cell>
          <cell r="AO31">
            <v>327.50000000000011</v>
          </cell>
          <cell r="AP31">
            <v>2228.8000000000002</v>
          </cell>
          <cell r="AQ31">
            <v>0</v>
          </cell>
          <cell r="AR31">
            <v>2556.3000000000002</v>
          </cell>
          <cell r="AS31">
            <v>12</v>
          </cell>
          <cell r="AT31">
            <v>327.50000000000011</v>
          </cell>
          <cell r="AU31">
            <v>1572</v>
          </cell>
          <cell r="AV31">
            <v>3820.8</v>
          </cell>
          <cell r="AX31">
            <v>0</v>
          </cell>
          <cell r="AY31">
            <v>5392.8</v>
          </cell>
        </row>
        <row r="32">
          <cell r="E32" t="str">
            <v>00029|Jutta|Seidel</v>
          </cell>
          <cell r="F32" t="str">
            <v>Jutta Seidel</v>
          </cell>
          <cell r="G32" t="str">
            <v>00029</v>
          </cell>
          <cell r="H32" t="str">
            <v>Sehr geehrte</v>
          </cell>
          <cell r="I32" t="str">
            <v>Frau</v>
          </cell>
          <cell r="J32" t="str">
            <v>Jutta</v>
          </cell>
          <cell r="K32" t="str">
            <v>Seidel</v>
          </cell>
          <cell r="L32" t="str">
            <v>Walter-Ranft-Straße</v>
          </cell>
          <cell r="M32">
            <v>46</v>
          </cell>
          <cell r="N32" t="str">
            <v>09123</v>
          </cell>
          <cell r="O32" t="str">
            <v>Chemnitz</v>
          </cell>
          <cell r="Q32">
            <v>12696</v>
          </cell>
          <cell r="S32" t="str">
            <v>PG 1</v>
          </cell>
          <cell r="T32">
            <v>45839</v>
          </cell>
          <cell r="W32" t="str">
            <v>Ursula Ullmann</v>
          </cell>
          <cell r="Y32" t="str">
            <v>W183342294</v>
          </cell>
          <cell r="Z32" t="str">
            <v>AOK PLUS</v>
          </cell>
          <cell r="AA32">
            <v>107299005</v>
          </cell>
          <cell r="AD32">
            <v>38</v>
          </cell>
          <cell r="AE32">
            <v>38</v>
          </cell>
          <cell r="AF32">
            <v>42</v>
          </cell>
          <cell r="AG32" t="str">
            <v>Neu</v>
          </cell>
          <cell r="AH32">
            <v>6</v>
          </cell>
          <cell r="AI32">
            <v>786</v>
          </cell>
          <cell r="AJ32">
            <v>0</v>
          </cell>
          <cell r="AL32">
            <v>296.60000000000002</v>
          </cell>
          <cell r="AM32">
            <v>0</v>
          </cell>
          <cell r="AN32">
            <v>0</v>
          </cell>
          <cell r="AO32">
            <v>489.4</v>
          </cell>
          <cell r="AP32">
            <v>0</v>
          </cell>
          <cell r="AQ32">
            <v>0</v>
          </cell>
          <cell r="AR32">
            <v>489.4</v>
          </cell>
          <cell r="AS32">
            <v>12</v>
          </cell>
          <cell r="AT32">
            <v>489.4</v>
          </cell>
          <cell r="AU32">
            <v>1572</v>
          </cell>
          <cell r="AV32">
            <v>0</v>
          </cell>
          <cell r="AX32">
            <v>0</v>
          </cell>
          <cell r="AY32">
            <v>1572</v>
          </cell>
        </row>
        <row r="33">
          <cell r="E33" t="str">
            <v>00030|Beate|Konradt</v>
          </cell>
          <cell r="F33" t="str">
            <v>Beate Konradt</v>
          </cell>
          <cell r="G33" t="str">
            <v>00030</v>
          </cell>
          <cell r="H33" t="str">
            <v>Sehr geehrte</v>
          </cell>
          <cell r="I33" t="str">
            <v>Frau</v>
          </cell>
          <cell r="J33" t="str">
            <v>Beate</v>
          </cell>
          <cell r="K33" t="str">
            <v>Konradt</v>
          </cell>
          <cell r="L33" t="str">
            <v>Röntgenstraße</v>
          </cell>
          <cell r="M33">
            <v>19</v>
          </cell>
          <cell r="N33" t="str">
            <v>09117</v>
          </cell>
          <cell r="O33" t="str">
            <v>Chemnitz</v>
          </cell>
          <cell r="Q33">
            <v>24633</v>
          </cell>
          <cell r="S33" t="str">
            <v>PG 1</v>
          </cell>
          <cell r="T33">
            <v>45868</v>
          </cell>
          <cell r="W33" t="str">
            <v>Ursula Ullmann</v>
          </cell>
          <cell r="Y33" t="str">
            <v>Y341093341</v>
          </cell>
          <cell r="Z33" t="str">
            <v>IKK Südwest</v>
          </cell>
          <cell r="AA33">
            <v>109303301</v>
          </cell>
          <cell r="AD33">
            <v>38</v>
          </cell>
          <cell r="AE33">
            <v>38</v>
          </cell>
          <cell r="AF33">
            <v>42</v>
          </cell>
          <cell r="AG33" t="str">
            <v>Neu</v>
          </cell>
          <cell r="AH33">
            <v>6</v>
          </cell>
          <cell r="AI33">
            <v>786</v>
          </cell>
          <cell r="AJ33">
            <v>0</v>
          </cell>
          <cell r="AL33">
            <v>470.10499999999985</v>
          </cell>
          <cell r="AM33">
            <v>0</v>
          </cell>
          <cell r="AN33">
            <v>0</v>
          </cell>
          <cell r="AO33">
            <v>315.89500000000015</v>
          </cell>
          <cell r="AP33">
            <v>0</v>
          </cell>
          <cell r="AQ33">
            <v>0</v>
          </cell>
          <cell r="AR33">
            <v>315.89500000000015</v>
          </cell>
          <cell r="AS33">
            <v>12</v>
          </cell>
          <cell r="AT33">
            <v>315.89500000000015</v>
          </cell>
          <cell r="AU33">
            <v>1572</v>
          </cell>
          <cell r="AV33">
            <v>0</v>
          </cell>
          <cell r="AX33">
            <v>0</v>
          </cell>
          <cell r="AY33">
            <v>1572</v>
          </cell>
        </row>
        <row r="34">
          <cell r="E34" t="str">
            <v>00031|Renate|Schade</v>
          </cell>
          <cell r="F34" t="str">
            <v>Renate Schade</v>
          </cell>
          <cell r="G34" t="str">
            <v>00031</v>
          </cell>
          <cell r="H34" t="str">
            <v>Sehr geehrte</v>
          </cell>
          <cell r="I34" t="str">
            <v>Frau</v>
          </cell>
          <cell r="J34" t="str">
            <v>Renate</v>
          </cell>
          <cell r="K34" t="str">
            <v>Schade</v>
          </cell>
          <cell r="L34" t="str">
            <v>Carl-von-Ossietzky-Straße</v>
          </cell>
          <cell r="M34">
            <v>2</v>
          </cell>
          <cell r="N34" t="str">
            <v>09127</v>
          </cell>
          <cell r="O34" t="str">
            <v>Chemnitz</v>
          </cell>
          <cell r="Q34">
            <v>15190</v>
          </cell>
          <cell r="S34" t="str">
            <v>PG 1</v>
          </cell>
          <cell r="T34">
            <v>45772</v>
          </cell>
          <cell r="W34" t="str">
            <v>Christiane Fiebag</v>
          </cell>
          <cell r="Y34" t="str">
            <v>W255296774</v>
          </cell>
          <cell r="Z34" t="str">
            <v>Barmer Pflegekasse</v>
          </cell>
          <cell r="AA34">
            <v>184940005</v>
          </cell>
          <cell r="AD34">
            <v>38</v>
          </cell>
          <cell r="AE34">
            <v>38</v>
          </cell>
          <cell r="AF34">
            <v>42</v>
          </cell>
          <cell r="AG34" t="str">
            <v>Neu</v>
          </cell>
          <cell r="AH34">
            <v>9</v>
          </cell>
          <cell r="AI34">
            <v>1179</v>
          </cell>
          <cell r="AJ34">
            <v>0</v>
          </cell>
          <cell r="AL34">
            <v>414.08499999999992</v>
          </cell>
          <cell r="AM34">
            <v>0</v>
          </cell>
          <cell r="AN34">
            <v>0</v>
          </cell>
          <cell r="AO34">
            <v>764.91500000000008</v>
          </cell>
          <cell r="AP34">
            <v>0</v>
          </cell>
          <cell r="AQ34">
            <v>0</v>
          </cell>
          <cell r="AR34">
            <v>764.91500000000008</v>
          </cell>
          <cell r="AS34">
            <v>12</v>
          </cell>
          <cell r="AT34">
            <v>764.91500000000008</v>
          </cell>
          <cell r="AU34">
            <v>1572</v>
          </cell>
          <cell r="AV34">
            <v>0</v>
          </cell>
          <cell r="AX34">
            <v>0</v>
          </cell>
          <cell r="AY34">
            <v>1572</v>
          </cell>
        </row>
        <row r="35">
          <cell r="E35" t="str">
            <v>00032|Christine|Klewer</v>
          </cell>
          <cell r="F35" t="str">
            <v>Christine Klewer</v>
          </cell>
          <cell r="G35" t="str">
            <v>00032</v>
          </cell>
          <cell r="H35" t="str">
            <v>Sehr geehrte</v>
          </cell>
          <cell r="I35" t="str">
            <v>Frau</v>
          </cell>
          <cell r="J35" t="str">
            <v>Christine</v>
          </cell>
          <cell r="K35" t="str">
            <v>Klewer</v>
          </cell>
          <cell r="L35" t="str">
            <v>Flockenstraße</v>
          </cell>
          <cell r="M35">
            <v>45</v>
          </cell>
          <cell r="N35" t="str">
            <v>09385</v>
          </cell>
          <cell r="O35" t="str">
            <v>Lugau</v>
          </cell>
          <cell r="Q35">
            <v>15520</v>
          </cell>
          <cell r="S35" t="str">
            <v>PG 2</v>
          </cell>
          <cell r="T35">
            <v>45139</v>
          </cell>
          <cell r="W35" t="str">
            <v>Christiane Fiebag</v>
          </cell>
          <cell r="Y35" t="str">
            <v>A758670111</v>
          </cell>
          <cell r="Z35" t="str">
            <v>AOK PLUS</v>
          </cell>
          <cell r="AA35">
            <v>107299005</v>
          </cell>
          <cell r="AD35">
            <v>38</v>
          </cell>
          <cell r="AE35">
            <v>38</v>
          </cell>
          <cell r="AF35">
            <v>42</v>
          </cell>
          <cell r="AG35" t="str">
            <v>Neu</v>
          </cell>
          <cell r="AH35">
            <v>12</v>
          </cell>
          <cell r="AI35">
            <v>1572</v>
          </cell>
          <cell r="AJ35">
            <v>3820.8</v>
          </cell>
          <cell r="AL35">
            <v>285</v>
          </cell>
          <cell r="AM35">
            <v>0</v>
          </cell>
          <cell r="AN35">
            <v>0</v>
          </cell>
          <cell r="AO35">
            <v>1287</v>
          </cell>
          <cell r="AP35">
            <v>3820.8</v>
          </cell>
          <cell r="AQ35">
            <v>0</v>
          </cell>
          <cell r="AR35">
            <v>5107.8</v>
          </cell>
          <cell r="AS35">
            <v>12</v>
          </cell>
          <cell r="AT35">
            <v>1287</v>
          </cell>
          <cell r="AU35">
            <v>1572</v>
          </cell>
          <cell r="AV35">
            <v>3820.8</v>
          </cell>
          <cell r="AX35">
            <v>0</v>
          </cell>
          <cell r="AY35">
            <v>5392.8</v>
          </cell>
        </row>
        <row r="36">
          <cell r="E36" t="str">
            <v>00033|Wolfgang|Seidel</v>
          </cell>
          <cell r="F36" t="str">
            <v>Wolfgang Seidel</v>
          </cell>
          <cell r="G36" t="str">
            <v>00033</v>
          </cell>
          <cell r="H36" t="str">
            <v>Sehr geehrter</v>
          </cell>
          <cell r="I36" t="str">
            <v>Herr</v>
          </cell>
          <cell r="J36" t="str">
            <v>Wolfgang</v>
          </cell>
          <cell r="K36" t="str">
            <v>Seidel</v>
          </cell>
          <cell r="L36" t="str">
            <v>Kaßbergstraße</v>
          </cell>
          <cell r="M36">
            <v>2</v>
          </cell>
          <cell r="N36" t="str">
            <v>09112</v>
          </cell>
          <cell r="O36" t="str">
            <v>Chemnitz</v>
          </cell>
          <cell r="Q36">
            <v>12767</v>
          </cell>
          <cell r="S36" t="str">
            <v>PG 2</v>
          </cell>
          <cell r="T36">
            <v>45839</v>
          </cell>
          <cell r="W36" t="str">
            <v>Ursula Ullmann</v>
          </cell>
          <cell r="Y36" t="str">
            <v>V281460760</v>
          </cell>
          <cell r="Z36" t="str">
            <v>Techniker Krankenkasse</v>
          </cell>
          <cell r="AA36">
            <v>101575519</v>
          </cell>
          <cell r="AD36">
            <v>38</v>
          </cell>
          <cell r="AE36">
            <v>38</v>
          </cell>
          <cell r="AF36">
            <v>42</v>
          </cell>
          <cell r="AG36" t="str">
            <v>Neu</v>
          </cell>
          <cell r="AH36">
            <v>6</v>
          </cell>
          <cell r="AK36">
            <v>1600</v>
          </cell>
          <cell r="AL36">
            <v>0</v>
          </cell>
          <cell r="AM36">
            <v>0</v>
          </cell>
          <cell r="AN36">
            <v>1529.5</v>
          </cell>
          <cell r="AO36">
            <v>0</v>
          </cell>
          <cell r="AP36">
            <v>0</v>
          </cell>
          <cell r="AQ36">
            <v>70.5</v>
          </cell>
          <cell r="AR36">
            <v>70.5</v>
          </cell>
          <cell r="AS36">
            <v>12</v>
          </cell>
          <cell r="AW36">
            <v>3539</v>
          </cell>
          <cell r="AX36">
            <v>0</v>
          </cell>
          <cell r="AY36">
            <v>3539</v>
          </cell>
        </row>
        <row r="37">
          <cell r="E37" t="str">
            <v>00034|Reinhard|Neiser</v>
          </cell>
          <cell r="F37" t="str">
            <v>Reinhard Neiser</v>
          </cell>
          <cell r="G37" t="str">
            <v>00034</v>
          </cell>
          <cell r="H37" t="str">
            <v>Sehr geehrter</v>
          </cell>
          <cell r="I37" t="str">
            <v>Herr</v>
          </cell>
          <cell r="J37" t="str">
            <v>Reinhard</v>
          </cell>
          <cell r="K37" t="str">
            <v>Neiser</v>
          </cell>
          <cell r="L37" t="str">
            <v>Zieschestraße</v>
          </cell>
          <cell r="M37">
            <v>27</v>
          </cell>
          <cell r="N37" t="str">
            <v>09111</v>
          </cell>
          <cell r="O37" t="str">
            <v>Chemnitz</v>
          </cell>
          <cell r="Q37">
            <v>22793</v>
          </cell>
          <cell r="S37" t="str">
            <v>PG 1</v>
          </cell>
          <cell r="T37">
            <v>45870</v>
          </cell>
          <cell r="W37" t="str">
            <v>Christiane Fiebag</v>
          </cell>
          <cell r="Y37" t="str">
            <v>E575057323</v>
          </cell>
          <cell r="Z37" t="str">
            <v>AOK PLUS</v>
          </cell>
          <cell r="AA37">
            <v>107299005</v>
          </cell>
          <cell r="AD37">
            <v>38</v>
          </cell>
          <cell r="AE37">
            <v>38</v>
          </cell>
          <cell r="AF37">
            <v>42</v>
          </cell>
          <cell r="AG37" t="str">
            <v>Neu</v>
          </cell>
          <cell r="AH37">
            <v>5</v>
          </cell>
          <cell r="AI37">
            <v>655</v>
          </cell>
          <cell r="AJ37">
            <v>0</v>
          </cell>
          <cell r="AL37">
            <v>138.39000000000004</v>
          </cell>
          <cell r="AM37">
            <v>0</v>
          </cell>
          <cell r="AN37">
            <v>0</v>
          </cell>
          <cell r="AO37">
            <v>516.6099999999999</v>
          </cell>
          <cell r="AP37">
            <v>0</v>
          </cell>
          <cell r="AQ37">
            <v>0</v>
          </cell>
          <cell r="AR37">
            <v>516.6099999999999</v>
          </cell>
          <cell r="AS37">
            <v>12</v>
          </cell>
          <cell r="AT37">
            <v>516.6099999999999</v>
          </cell>
          <cell r="AU37">
            <v>1572</v>
          </cell>
          <cell r="AV37">
            <v>0</v>
          </cell>
          <cell r="AX37">
            <v>0</v>
          </cell>
          <cell r="AY37">
            <v>1572</v>
          </cell>
        </row>
        <row r="38">
          <cell r="E38" t="str">
            <v>00035|Margitta|Friedmann</v>
          </cell>
          <cell r="F38" t="str">
            <v>Margitta Friedmann</v>
          </cell>
          <cell r="G38" t="str">
            <v>00035</v>
          </cell>
          <cell r="H38" t="str">
            <v>Sehr geehrte</v>
          </cell>
          <cell r="I38" t="str">
            <v>Frau</v>
          </cell>
          <cell r="J38" t="str">
            <v>Margitta</v>
          </cell>
          <cell r="K38" t="str">
            <v>Friedmann</v>
          </cell>
          <cell r="L38" t="str">
            <v>Albert-Junghans-Straße</v>
          </cell>
          <cell r="M38">
            <v>21</v>
          </cell>
          <cell r="N38" t="str">
            <v>09127</v>
          </cell>
          <cell r="O38" t="str">
            <v>Chemnitz</v>
          </cell>
          <cell r="Q38">
            <v>17715</v>
          </cell>
          <cell r="S38" t="str">
            <v>PG 2</v>
          </cell>
          <cell r="T38">
            <v>44927</v>
          </cell>
          <cell r="W38" t="str">
            <v>Ursula Ullmann</v>
          </cell>
          <cell r="Y38" t="str">
            <v>H869008891</v>
          </cell>
          <cell r="Z38" t="str">
            <v>Barmer Pflegekasse</v>
          </cell>
          <cell r="AA38">
            <v>184940005</v>
          </cell>
          <cell r="AD38">
            <v>38</v>
          </cell>
          <cell r="AE38">
            <v>38</v>
          </cell>
          <cell r="AF38">
            <v>42</v>
          </cell>
          <cell r="AG38" t="str">
            <v>Neu</v>
          </cell>
          <cell r="AH38">
            <v>12</v>
          </cell>
          <cell r="AI38">
            <v>1572</v>
          </cell>
          <cell r="AJ38">
            <v>3820.8</v>
          </cell>
          <cell r="AL38">
            <v>275.62499999999994</v>
          </cell>
          <cell r="AM38">
            <v>0</v>
          </cell>
          <cell r="AN38">
            <v>0</v>
          </cell>
          <cell r="AO38">
            <v>1296.375</v>
          </cell>
          <cell r="AP38">
            <v>3820.8</v>
          </cell>
          <cell r="AQ38">
            <v>0</v>
          </cell>
          <cell r="AR38">
            <v>5117.1750000000002</v>
          </cell>
          <cell r="AS38">
            <v>12</v>
          </cell>
          <cell r="AT38">
            <v>1296.375</v>
          </cell>
          <cell r="AU38">
            <v>1572</v>
          </cell>
          <cell r="AV38">
            <v>3820.8</v>
          </cell>
          <cell r="AX38">
            <v>0</v>
          </cell>
          <cell r="AY38">
            <v>5392.8</v>
          </cell>
        </row>
        <row r="39">
          <cell r="E39" t="str">
            <v>00036|Frank|Friedmann</v>
          </cell>
          <cell r="F39" t="str">
            <v>Frank Friedmann</v>
          </cell>
          <cell r="G39" t="str">
            <v>00036</v>
          </cell>
          <cell r="H39" t="str">
            <v>Sehr geehrter</v>
          </cell>
          <cell r="I39" t="str">
            <v>Herr</v>
          </cell>
          <cell r="J39" t="str">
            <v>Frank</v>
          </cell>
          <cell r="K39" t="str">
            <v>Friedmann</v>
          </cell>
          <cell r="L39" t="str">
            <v>Albert-Junghans-Straße</v>
          </cell>
          <cell r="M39">
            <v>21</v>
          </cell>
          <cell r="N39" t="str">
            <v>09127</v>
          </cell>
          <cell r="O39" t="str">
            <v>Chemnitz</v>
          </cell>
          <cell r="Q39">
            <v>15540</v>
          </cell>
          <cell r="S39" t="str">
            <v>PG 1</v>
          </cell>
          <cell r="T39">
            <v>44927</v>
          </cell>
          <cell r="W39" t="str">
            <v>Ursula Ullmann</v>
          </cell>
          <cell r="Y39" t="str">
            <v>T754127294</v>
          </cell>
          <cell r="Z39" t="str">
            <v>Barmer Pflegekasse</v>
          </cell>
          <cell r="AA39">
            <v>184940005</v>
          </cell>
          <cell r="AD39">
            <v>38</v>
          </cell>
          <cell r="AE39">
            <v>38</v>
          </cell>
          <cell r="AF39">
            <v>42</v>
          </cell>
          <cell r="AG39" t="str">
            <v>Neu</v>
          </cell>
          <cell r="AH39">
            <v>12</v>
          </cell>
          <cell r="AI39">
            <v>1572</v>
          </cell>
          <cell r="AJ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1572</v>
          </cell>
          <cell r="AP39">
            <v>0</v>
          </cell>
          <cell r="AQ39">
            <v>0</v>
          </cell>
          <cell r="AR39">
            <v>1572</v>
          </cell>
          <cell r="AS39">
            <v>12</v>
          </cell>
          <cell r="AT39">
            <v>1572</v>
          </cell>
          <cell r="AU39">
            <v>1572</v>
          </cell>
          <cell r="AV39">
            <v>0</v>
          </cell>
          <cell r="AX39">
            <v>0</v>
          </cell>
          <cell r="AY39">
            <v>1572</v>
          </cell>
        </row>
        <row r="40">
          <cell r="E40" t="str">
            <v>00037|Gertraude|Falk</v>
          </cell>
          <cell r="F40" t="str">
            <v>Gertraude Falk</v>
          </cell>
          <cell r="G40" t="str">
            <v>00037</v>
          </cell>
          <cell r="H40" t="str">
            <v>Sehr geehrte</v>
          </cell>
          <cell r="I40" t="str">
            <v>Frau</v>
          </cell>
          <cell r="J40" t="str">
            <v>Gertraude</v>
          </cell>
          <cell r="K40" t="str">
            <v>Falk</v>
          </cell>
          <cell r="L40" t="str">
            <v>Scharnhorststraße</v>
          </cell>
          <cell r="M40">
            <v>8</v>
          </cell>
          <cell r="N40" t="str">
            <v>09130</v>
          </cell>
          <cell r="O40" t="str">
            <v>Chemnitz</v>
          </cell>
          <cell r="Q40">
            <v>15221</v>
          </cell>
          <cell r="S40" t="str">
            <v>PG 2</v>
          </cell>
          <cell r="T40">
            <v>45809</v>
          </cell>
          <cell r="W40" t="str">
            <v>Christiane Fiebag</v>
          </cell>
          <cell r="Y40" t="str">
            <v>V160231492</v>
          </cell>
          <cell r="Z40" t="str">
            <v>AOK PLUS</v>
          </cell>
          <cell r="AA40">
            <v>107299005</v>
          </cell>
          <cell r="AD40">
            <v>38</v>
          </cell>
          <cell r="AE40">
            <v>38</v>
          </cell>
          <cell r="AF40">
            <v>42</v>
          </cell>
          <cell r="AG40" t="str">
            <v>Neu</v>
          </cell>
          <cell r="AH40">
            <v>7</v>
          </cell>
          <cell r="AI40">
            <v>917</v>
          </cell>
          <cell r="AJ40">
            <v>2228.8000000000002</v>
          </cell>
          <cell r="AL40">
            <v>303.27</v>
          </cell>
          <cell r="AM40">
            <v>0</v>
          </cell>
          <cell r="AN40">
            <v>0</v>
          </cell>
          <cell r="AO40">
            <v>613.73</v>
          </cell>
          <cell r="AP40">
            <v>2228.8000000000002</v>
          </cell>
          <cell r="AQ40">
            <v>0</v>
          </cell>
          <cell r="AR40">
            <v>2842.53</v>
          </cell>
          <cell r="AS40">
            <v>12</v>
          </cell>
          <cell r="AT40">
            <v>613.73</v>
          </cell>
          <cell r="AU40">
            <v>1572</v>
          </cell>
          <cell r="AV40">
            <v>3820.8</v>
          </cell>
          <cell r="AX40">
            <v>0</v>
          </cell>
          <cell r="AY40">
            <v>5392.8</v>
          </cell>
        </row>
        <row r="41">
          <cell r="E41" t="str">
            <v>00038|Renate|Pittag</v>
          </cell>
          <cell r="F41" t="str">
            <v>Renate Pittag</v>
          </cell>
          <cell r="G41" t="str">
            <v>00038</v>
          </cell>
          <cell r="H41" t="str">
            <v>Sehr geehrte</v>
          </cell>
          <cell r="I41" t="str">
            <v>Frau</v>
          </cell>
          <cell r="J41" t="str">
            <v>Renate</v>
          </cell>
          <cell r="K41" t="str">
            <v>Pittag</v>
          </cell>
          <cell r="L41" t="str">
            <v>Cervantesstraße</v>
          </cell>
          <cell r="M41">
            <v>44</v>
          </cell>
          <cell r="N41" t="str">
            <v>09127</v>
          </cell>
          <cell r="O41" t="str">
            <v>Chemnitz</v>
          </cell>
          <cell r="Q41">
            <v>14631</v>
          </cell>
          <cell r="R41">
            <v>2026</v>
          </cell>
          <cell r="S41" t="str">
            <v>PG 1</v>
          </cell>
          <cell r="T41">
            <v>45944</v>
          </cell>
          <cell r="W41" t="str">
            <v>Christiane Fiebag</v>
          </cell>
          <cell r="Y41" t="str">
            <v>D546661945</v>
          </cell>
          <cell r="Z41" t="str">
            <v>IKK Classic</v>
          </cell>
          <cell r="AA41">
            <v>187202793</v>
          </cell>
          <cell r="AD41">
            <v>38</v>
          </cell>
          <cell r="AE41">
            <v>38</v>
          </cell>
          <cell r="AF41">
            <v>42</v>
          </cell>
          <cell r="AG41" t="str">
            <v>Neu</v>
          </cell>
          <cell r="AH41">
            <v>3</v>
          </cell>
          <cell r="AI41">
            <v>393</v>
          </cell>
          <cell r="AJ41">
            <v>0</v>
          </cell>
          <cell r="AL41">
            <v>75.635000000000005</v>
          </cell>
          <cell r="AM41">
            <v>0</v>
          </cell>
          <cell r="AN41">
            <v>0</v>
          </cell>
          <cell r="AO41">
            <v>317.36500000000001</v>
          </cell>
          <cell r="AP41">
            <v>0</v>
          </cell>
          <cell r="AQ41">
            <v>0</v>
          </cell>
          <cell r="AR41">
            <v>317.36500000000001</v>
          </cell>
          <cell r="AS41">
            <v>12</v>
          </cell>
          <cell r="AT41">
            <v>317.36500000000001</v>
          </cell>
          <cell r="AU41">
            <v>1572</v>
          </cell>
          <cell r="AV41">
            <v>0</v>
          </cell>
          <cell r="AX41">
            <v>0</v>
          </cell>
          <cell r="AY41">
            <v>1572</v>
          </cell>
        </row>
        <row r="42">
          <cell r="E42" t="str">
            <v>00039|Helly|Wuchrer</v>
          </cell>
          <cell r="F42" t="str">
            <v>Helly Wuchrer</v>
          </cell>
          <cell r="G42" t="str">
            <v>00039</v>
          </cell>
          <cell r="H42" t="str">
            <v>Sehr geehrte</v>
          </cell>
          <cell r="I42" t="str">
            <v>Frau</v>
          </cell>
          <cell r="J42" t="str">
            <v>Helly</v>
          </cell>
          <cell r="K42" t="str">
            <v>Wuchrer</v>
          </cell>
          <cell r="L42" t="str">
            <v>Dr.-Salvador-Allende-Straße</v>
          </cell>
          <cell r="M42">
            <v>190</v>
          </cell>
          <cell r="N42" t="str">
            <v>09119</v>
          </cell>
          <cell r="O42" t="str">
            <v>Chemnitz</v>
          </cell>
          <cell r="Q42">
            <v>14263</v>
          </cell>
          <cell r="R42">
            <v>2026</v>
          </cell>
          <cell r="S42" t="str">
            <v>PG 2</v>
          </cell>
          <cell r="T42">
            <v>45231</v>
          </cell>
          <cell r="W42" t="str">
            <v>Christiane Fiebag</v>
          </cell>
          <cell r="Y42" t="str">
            <v>F566086642</v>
          </cell>
          <cell r="Z42" t="str">
            <v>AOK PLUS</v>
          </cell>
          <cell r="AA42">
            <v>107299005</v>
          </cell>
          <cell r="AD42">
            <v>38</v>
          </cell>
          <cell r="AE42">
            <v>38</v>
          </cell>
          <cell r="AF42">
            <v>42</v>
          </cell>
          <cell r="AG42" t="str">
            <v>Neu</v>
          </cell>
          <cell r="AH42">
            <v>12</v>
          </cell>
          <cell r="AI42">
            <v>1572</v>
          </cell>
          <cell r="AJ42">
            <v>3820.8</v>
          </cell>
          <cell r="AL42">
            <v>115.155</v>
          </cell>
          <cell r="AM42">
            <v>0</v>
          </cell>
          <cell r="AN42">
            <v>0</v>
          </cell>
          <cell r="AO42">
            <v>1456.845</v>
          </cell>
          <cell r="AP42">
            <v>3820.8</v>
          </cell>
          <cell r="AQ42">
            <v>0</v>
          </cell>
          <cell r="AR42">
            <v>5277.6450000000004</v>
          </cell>
          <cell r="AS42">
            <v>12</v>
          </cell>
          <cell r="AT42">
            <v>1456.845</v>
          </cell>
          <cell r="AU42">
            <v>1572</v>
          </cell>
          <cell r="AV42">
            <v>3820.8</v>
          </cell>
          <cell r="AX42">
            <v>0</v>
          </cell>
          <cell r="AY42">
            <v>5392.8</v>
          </cell>
        </row>
        <row r="43">
          <cell r="E43" t="str">
            <v>00040|Otto|Wuchrer</v>
          </cell>
          <cell r="F43" t="str">
            <v>Otto Wuchrer</v>
          </cell>
          <cell r="G43" t="str">
            <v>00040</v>
          </cell>
          <cell r="H43" t="str">
            <v>Sehr geehrter</v>
          </cell>
          <cell r="I43" t="str">
            <v>Herr</v>
          </cell>
          <cell r="J43" t="str">
            <v>Otto</v>
          </cell>
          <cell r="K43" t="str">
            <v>Wuchrer</v>
          </cell>
          <cell r="L43" t="str">
            <v>Dr.-Salvador-Allende-Straße</v>
          </cell>
          <cell r="M43">
            <v>190</v>
          </cell>
          <cell r="N43" t="str">
            <v>09119</v>
          </cell>
          <cell r="O43" t="str">
            <v>Chemnitz</v>
          </cell>
          <cell r="Q43">
            <v>13773</v>
          </cell>
          <cell r="S43" t="str">
            <v>PG 2</v>
          </cell>
          <cell r="T43">
            <v>45717</v>
          </cell>
          <cell r="W43" t="str">
            <v>Christiane Fiebag</v>
          </cell>
          <cell r="Y43" t="str">
            <v>B827862947</v>
          </cell>
          <cell r="Z43" t="str">
            <v>AOK PLUS</v>
          </cell>
          <cell r="AA43">
            <v>107299005</v>
          </cell>
          <cell r="AD43">
            <v>38</v>
          </cell>
          <cell r="AE43">
            <v>38</v>
          </cell>
          <cell r="AF43">
            <v>42</v>
          </cell>
          <cell r="AG43" t="str">
            <v>Neu</v>
          </cell>
          <cell r="AH43">
            <v>10</v>
          </cell>
          <cell r="AI43">
            <v>1310</v>
          </cell>
          <cell r="AJ43">
            <v>3184.0000000000005</v>
          </cell>
          <cell r="AL43">
            <v>0</v>
          </cell>
          <cell r="AM43">
            <v>0</v>
          </cell>
          <cell r="AN43">
            <v>0</v>
          </cell>
          <cell r="AO43">
            <v>1310</v>
          </cell>
          <cell r="AP43">
            <v>3184.0000000000005</v>
          </cell>
          <cell r="AQ43">
            <v>0</v>
          </cell>
          <cell r="AR43">
            <v>4494</v>
          </cell>
          <cell r="AS43">
            <v>12</v>
          </cell>
          <cell r="AT43">
            <v>1310</v>
          </cell>
          <cell r="AU43">
            <v>1572</v>
          </cell>
          <cell r="AV43">
            <v>3820.8</v>
          </cell>
          <cell r="AX43">
            <v>0</v>
          </cell>
          <cell r="AY43">
            <v>5392.8</v>
          </cell>
        </row>
        <row r="44">
          <cell r="E44" t="str">
            <v>00041|Amelie|Hengst</v>
          </cell>
          <cell r="F44" t="str">
            <v>Amelie Hengst</v>
          </cell>
          <cell r="G44" t="str">
            <v>00041</v>
          </cell>
          <cell r="H44" t="str">
            <v>Sehr geehrte</v>
          </cell>
          <cell r="I44" t="str">
            <v>Frau</v>
          </cell>
          <cell r="J44" t="str">
            <v>Amelie</v>
          </cell>
          <cell r="K44" t="str">
            <v>Hengst</v>
          </cell>
          <cell r="L44" t="str">
            <v>Carl-von-Ossietzky-Straße</v>
          </cell>
          <cell r="M44">
            <v>16</v>
          </cell>
          <cell r="N44" t="str">
            <v>09127</v>
          </cell>
          <cell r="O44" t="str">
            <v>Chemnitz</v>
          </cell>
          <cell r="Q44">
            <v>44377</v>
          </cell>
          <cell r="S44" t="str">
            <v>PG 1</v>
          </cell>
          <cell r="T44">
            <v>45901</v>
          </cell>
          <cell r="W44" t="str">
            <v>Christiane Fiebag</v>
          </cell>
          <cell r="Y44" t="str">
            <v>F289600055</v>
          </cell>
          <cell r="Z44" t="str">
            <v>IKK Classic</v>
          </cell>
          <cell r="AA44">
            <v>187202793</v>
          </cell>
          <cell r="AD44">
            <v>38</v>
          </cell>
          <cell r="AE44">
            <v>38</v>
          </cell>
          <cell r="AF44">
            <v>42</v>
          </cell>
          <cell r="AG44" t="str">
            <v>Neu</v>
          </cell>
          <cell r="AH44">
            <v>4</v>
          </cell>
          <cell r="AI44">
            <v>524</v>
          </cell>
          <cell r="AJ44">
            <v>0</v>
          </cell>
          <cell r="AL44">
            <v>122.575</v>
          </cell>
          <cell r="AM44">
            <v>0</v>
          </cell>
          <cell r="AN44">
            <v>0</v>
          </cell>
          <cell r="AO44">
            <v>401.42500000000001</v>
          </cell>
          <cell r="AP44">
            <v>0</v>
          </cell>
          <cell r="AQ44">
            <v>0</v>
          </cell>
          <cell r="AR44">
            <v>401.42500000000001</v>
          </cell>
          <cell r="AS44">
            <v>12</v>
          </cell>
          <cell r="AT44">
            <v>401.42500000000001</v>
          </cell>
          <cell r="AU44">
            <v>1572</v>
          </cell>
          <cell r="AV44">
            <v>0</v>
          </cell>
          <cell r="AX44">
            <v>0</v>
          </cell>
          <cell r="AY44">
            <v>1572</v>
          </cell>
        </row>
        <row r="45">
          <cell r="E45" t="str">
            <v>00042|Lianne|Kröher</v>
          </cell>
          <cell r="F45" t="str">
            <v>Lianne Kröher</v>
          </cell>
          <cell r="G45" t="str">
            <v>00042</v>
          </cell>
          <cell r="H45" t="str">
            <v>Sehr geehrte</v>
          </cell>
          <cell r="I45" t="str">
            <v>Frau</v>
          </cell>
          <cell r="J45" t="str">
            <v>Lianne</v>
          </cell>
          <cell r="K45" t="str">
            <v>Kröher</v>
          </cell>
          <cell r="L45" t="str">
            <v>Louis-Braille-Straße</v>
          </cell>
          <cell r="M45">
            <v>55</v>
          </cell>
          <cell r="N45" t="str">
            <v>09116</v>
          </cell>
          <cell r="O45" t="str">
            <v>Chemnitz</v>
          </cell>
          <cell r="Q45">
            <v>13847</v>
          </cell>
          <cell r="S45" t="str">
            <v>PG 1</v>
          </cell>
          <cell r="T45">
            <v>45778</v>
          </cell>
          <cell r="W45" t="str">
            <v>Janet Klitzsch</v>
          </cell>
          <cell r="Y45" t="str">
            <v>Z531781988</v>
          </cell>
          <cell r="Z45" t="str">
            <v>AOK PLUS</v>
          </cell>
          <cell r="AA45">
            <v>107299005</v>
          </cell>
          <cell r="AD45">
            <v>38</v>
          </cell>
          <cell r="AE45">
            <v>38</v>
          </cell>
          <cell r="AF45">
            <v>42</v>
          </cell>
          <cell r="AG45" t="str">
            <v>Neu</v>
          </cell>
          <cell r="AH45">
            <v>8</v>
          </cell>
          <cell r="AI45">
            <v>1048</v>
          </cell>
          <cell r="AJ45">
            <v>0</v>
          </cell>
          <cell r="AL45">
            <v>193.35999999999984</v>
          </cell>
          <cell r="AM45">
            <v>0</v>
          </cell>
          <cell r="AN45">
            <v>0</v>
          </cell>
          <cell r="AO45">
            <v>854.6400000000001</v>
          </cell>
          <cell r="AP45">
            <v>0</v>
          </cell>
          <cell r="AQ45">
            <v>0</v>
          </cell>
          <cell r="AR45">
            <v>854.6400000000001</v>
          </cell>
          <cell r="AS45">
            <v>12</v>
          </cell>
          <cell r="AT45">
            <v>854.6400000000001</v>
          </cell>
          <cell r="AU45">
            <v>1572</v>
          </cell>
          <cell r="AV45">
            <v>0</v>
          </cell>
          <cell r="AX45">
            <v>0</v>
          </cell>
          <cell r="AY45">
            <v>1572</v>
          </cell>
        </row>
        <row r="46">
          <cell r="E46" t="str">
            <v>00043|Gunnar|Schenke</v>
          </cell>
          <cell r="F46" t="str">
            <v>Gunnar Schenke</v>
          </cell>
          <cell r="G46" t="str">
            <v>00043</v>
          </cell>
          <cell r="H46" t="str">
            <v>Sehr geehrter</v>
          </cell>
          <cell r="I46" t="str">
            <v>Herr</v>
          </cell>
          <cell r="J46" t="str">
            <v>Gunnar</v>
          </cell>
          <cell r="K46" t="str">
            <v>Schenke</v>
          </cell>
          <cell r="L46" t="str">
            <v>Ebersdorfer Straße</v>
          </cell>
          <cell r="M46">
            <v>29</v>
          </cell>
          <cell r="N46" t="str">
            <v>09131</v>
          </cell>
          <cell r="O46" t="str">
            <v>Chemnitz</v>
          </cell>
          <cell r="Q46">
            <v>20174</v>
          </cell>
          <cell r="S46" t="str">
            <v>PG 2</v>
          </cell>
          <cell r="T46">
            <v>45931</v>
          </cell>
          <cell r="W46" t="str">
            <v>Janet Klitzsch</v>
          </cell>
          <cell r="Y46" t="str">
            <v>H973915536</v>
          </cell>
          <cell r="Z46" t="str">
            <v>AOK PLUS</v>
          </cell>
          <cell r="AA46">
            <v>107299005</v>
          </cell>
          <cell r="AD46">
            <v>38</v>
          </cell>
          <cell r="AE46">
            <v>38</v>
          </cell>
          <cell r="AF46">
            <v>42</v>
          </cell>
          <cell r="AG46" t="str">
            <v>Neu</v>
          </cell>
          <cell r="AH46">
            <v>3</v>
          </cell>
          <cell r="AI46">
            <v>393</v>
          </cell>
          <cell r="AJ46">
            <v>955.2</v>
          </cell>
          <cell r="AL46">
            <v>118.48</v>
          </cell>
          <cell r="AM46">
            <v>0</v>
          </cell>
          <cell r="AN46">
            <v>0</v>
          </cell>
          <cell r="AO46">
            <v>274.52</v>
          </cell>
          <cell r="AP46">
            <v>955.2</v>
          </cell>
          <cell r="AQ46">
            <v>0</v>
          </cell>
          <cell r="AR46">
            <v>1229.72</v>
          </cell>
          <cell r="AS46">
            <v>12</v>
          </cell>
          <cell r="AT46">
            <v>274.52</v>
          </cell>
          <cell r="AU46">
            <v>1572</v>
          </cell>
          <cell r="AV46">
            <v>3820.8</v>
          </cell>
          <cell r="AX46">
            <v>0</v>
          </cell>
          <cell r="AY46">
            <v>5392.8</v>
          </cell>
        </row>
        <row r="47">
          <cell r="E47" t="str">
            <v>00044|Roland|Weissflog</v>
          </cell>
          <cell r="F47" t="str">
            <v>Roland Weissflog</v>
          </cell>
          <cell r="G47" t="str">
            <v>00044</v>
          </cell>
          <cell r="H47" t="str">
            <v>Sehr geehrter</v>
          </cell>
          <cell r="I47" t="str">
            <v>Herr</v>
          </cell>
          <cell r="J47" t="str">
            <v>Roland</v>
          </cell>
          <cell r="K47" t="str">
            <v>Weissflog</v>
          </cell>
          <cell r="L47" t="str">
            <v>Am Beutenberg</v>
          </cell>
          <cell r="M47">
            <v>21</v>
          </cell>
          <cell r="N47" t="str">
            <v>09130</v>
          </cell>
          <cell r="O47" t="str">
            <v>Chemnitz</v>
          </cell>
          <cell r="Q47">
            <v>12636</v>
          </cell>
          <cell r="S47" t="str">
            <v>PG 2</v>
          </cell>
          <cell r="T47">
            <v>45931</v>
          </cell>
          <cell r="W47" t="str">
            <v>Christiane Fiebag</v>
          </cell>
          <cell r="Y47" t="str">
            <v>G276811844</v>
          </cell>
          <cell r="Z47" t="str">
            <v>AOK PLUS</v>
          </cell>
          <cell r="AA47">
            <v>107299005</v>
          </cell>
          <cell r="AD47">
            <v>38</v>
          </cell>
          <cell r="AE47">
            <v>38</v>
          </cell>
          <cell r="AF47">
            <v>42</v>
          </cell>
          <cell r="AG47" t="str">
            <v>Neu</v>
          </cell>
          <cell r="AH47">
            <v>3</v>
          </cell>
          <cell r="AI47">
            <v>393</v>
          </cell>
          <cell r="AJ47">
            <v>955.2</v>
          </cell>
          <cell r="AL47">
            <v>0</v>
          </cell>
          <cell r="AM47">
            <v>0</v>
          </cell>
          <cell r="AN47">
            <v>0</v>
          </cell>
          <cell r="AO47">
            <v>393</v>
          </cell>
          <cell r="AP47">
            <v>955.2</v>
          </cell>
          <cell r="AQ47">
            <v>0</v>
          </cell>
          <cell r="AR47">
            <v>1348.2</v>
          </cell>
          <cell r="AS47">
            <v>12</v>
          </cell>
          <cell r="AT47">
            <v>393</v>
          </cell>
          <cell r="AU47">
            <v>1572</v>
          </cell>
          <cell r="AV47">
            <v>3820.8</v>
          </cell>
          <cell r="AX47">
            <v>0</v>
          </cell>
          <cell r="AY47">
            <v>5392.8</v>
          </cell>
        </row>
        <row r="48">
          <cell r="E48" t="str">
            <v>00045|Rene|Janek-Göbel</v>
          </cell>
          <cell r="F48" t="str">
            <v>Rene Janek-Göbel</v>
          </cell>
          <cell r="G48" t="str">
            <v>00045</v>
          </cell>
          <cell r="H48" t="str">
            <v>Sehr geehrter</v>
          </cell>
          <cell r="I48" t="str">
            <v>Herr</v>
          </cell>
          <cell r="J48" t="str">
            <v>Rene</v>
          </cell>
          <cell r="K48" t="str">
            <v>Janek-Göbel</v>
          </cell>
          <cell r="L48" t="str">
            <v>Paul-Bertz-Straße</v>
          </cell>
          <cell r="M48">
            <v>76</v>
          </cell>
          <cell r="N48" t="str">
            <v>09120</v>
          </cell>
          <cell r="O48" t="str">
            <v>Chemnitz</v>
          </cell>
          <cell r="Q48">
            <v>29913</v>
          </cell>
          <cell r="S48" t="str">
            <v>PG 1</v>
          </cell>
          <cell r="T48">
            <v>45962</v>
          </cell>
          <cell r="W48" t="str">
            <v>Naji El Ali</v>
          </cell>
          <cell r="Y48" t="str">
            <v>Y905954504</v>
          </cell>
          <cell r="Z48" t="str">
            <v>AOK PLUS</v>
          </cell>
          <cell r="AA48">
            <v>107299005</v>
          </cell>
          <cell r="AD48">
            <v>38</v>
          </cell>
          <cell r="AE48">
            <v>38</v>
          </cell>
          <cell r="AF48">
            <v>42</v>
          </cell>
          <cell r="AG48" t="str">
            <v>Neu</v>
          </cell>
          <cell r="AH48">
            <v>2</v>
          </cell>
          <cell r="AI48">
            <v>262</v>
          </cell>
          <cell r="AJ48">
            <v>0</v>
          </cell>
          <cell r="AL48">
            <v>228.00000000000011</v>
          </cell>
          <cell r="AM48">
            <v>0</v>
          </cell>
          <cell r="AN48">
            <v>0</v>
          </cell>
          <cell r="AO48">
            <v>33.999999999999886</v>
          </cell>
          <cell r="AP48">
            <v>0</v>
          </cell>
          <cell r="AQ48">
            <v>0</v>
          </cell>
          <cell r="AR48">
            <v>33.999999999999886</v>
          </cell>
          <cell r="AS48">
            <v>12</v>
          </cell>
          <cell r="AT48">
            <v>33.999999999999886</v>
          </cell>
          <cell r="AU48">
            <v>1572</v>
          </cell>
          <cell r="AV48">
            <v>0</v>
          </cell>
          <cell r="AX48">
            <v>0</v>
          </cell>
          <cell r="AY48">
            <v>1572</v>
          </cell>
        </row>
        <row r="49">
          <cell r="E49" t="str">
            <v>00046|Jens|Wolf</v>
          </cell>
          <cell r="F49" t="str">
            <v>Jens Wolf</v>
          </cell>
          <cell r="G49" t="str">
            <v>00046</v>
          </cell>
          <cell r="H49" t="str">
            <v>Sehr geehrter</v>
          </cell>
          <cell r="I49" t="str">
            <v>Herr</v>
          </cell>
          <cell r="J49" t="str">
            <v>Jens</v>
          </cell>
          <cell r="K49" t="str">
            <v>Wolf</v>
          </cell>
          <cell r="L49" t="str">
            <v>Straße der Nationen</v>
          </cell>
          <cell r="M49">
            <v>126</v>
          </cell>
          <cell r="N49" t="str">
            <v>09111</v>
          </cell>
          <cell r="O49" t="str">
            <v>Chemnitz</v>
          </cell>
          <cell r="Q49">
            <v>22878</v>
          </cell>
          <cell r="S49" t="str">
            <v>PG 1</v>
          </cell>
          <cell r="T49">
            <v>45717</v>
          </cell>
          <cell r="W49" t="str">
            <v>Naji El Ali</v>
          </cell>
          <cell r="Y49" t="str">
            <v>I767390429</v>
          </cell>
          <cell r="Z49" t="str">
            <v>KNAPPSCHAFT</v>
          </cell>
          <cell r="AA49">
            <v>109990508</v>
          </cell>
          <cell r="AD49">
            <v>38</v>
          </cell>
          <cell r="AE49">
            <v>38</v>
          </cell>
          <cell r="AF49">
            <v>42</v>
          </cell>
          <cell r="AG49" t="str">
            <v>Neu</v>
          </cell>
          <cell r="AH49">
            <v>10</v>
          </cell>
          <cell r="AI49">
            <v>1310</v>
          </cell>
          <cell r="AJ49">
            <v>0</v>
          </cell>
          <cell r="AL49">
            <v>267.05000000000024</v>
          </cell>
          <cell r="AM49">
            <v>0</v>
          </cell>
          <cell r="AN49">
            <v>0</v>
          </cell>
          <cell r="AO49">
            <v>1042.9499999999998</v>
          </cell>
          <cell r="AP49">
            <v>0</v>
          </cell>
          <cell r="AQ49">
            <v>0</v>
          </cell>
          <cell r="AR49">
            <v>1042.9499999999998</v>
          </cell>
          <cell r="AS49">
            <v>12</v>
          </cell>
          <cell r="AT49">
            <v>1042.9499999999998</v>
          </cell>
          <cell r="AU49">
            <v>1572</v>
          </cell>
          <cell r="AV49">
            <v>0</v>
          </cell>
          <cell r="AX49">
            <v>0</v>
          </cell>
          <cell r="AY49">
            <v>1572</v>
          </cell>
        </row>
        <row r="50">
          <cell r="E50" t="str">
            <v>00047|Bernd|Funke</v>
          </cell>
          <cell r="F50" t="str">
            <v>Bernd Funke</v>
          </cell>
          <cell r="G50" t="str">
            <v>00047</v>
          </cell>
          <cell r="H50" t="str">
            <v>Sehr geehrter</v>
          </cell>
          <cell r="I50" t="str">
            <v>Herr</v>
          </cell>
          <cell r="J50" t="str">
            <v>Bernd</v>
          </cell>
          <cell r="K50" t="str">
            <v>Funke</v>
          </cell>
          <cell r="L50" t="str">
            <v>Lortzingstraße</v>
          </cell>
          <cell r="M50">
            <v>10</v>
          </cell>
          <cell r="N50" t="str">
            <v>09119</v>
          </cell>
          <cell r="O50" t="str">
            <v>Chemnitz</v>
          </cell>
          <cell r="Q50">
            <v>20554</v>
          </cell>
          <cell r="S50" t="str">
            <v>PG 3</v>
          </cell>
          <cell r="T50">
            <v>45748</v>
          </cell>
          <cell r="W50" t="str">
            <v>Ute Ahnert</v>
          </cell>
          <cell r="Y50" t="str">
            <v>P681268688</v>
          </cell>
          <cell r="Z50" t="str">
            <v>AOK PLUS</v>
          </cell>
          <cell r="AA50">
            <v>107299005</v>
          </cell>
          <cell r="AD50">
            <v>38</v>
          </cell>
          <cell r="AE50">
            <v>38</v>
          </cell>
          <cell r="AF50">
            <v>42</v>
          </cell>
          <cell r="AG50" t="str">
            <v>Neu</v>
          </cell>
          <cell r="AH50">
            <v>9</v>
          </cell>
          <cell r="AI50">
            <v>1179</v>
          </cell>
          <cell r="AJ50">
            <v>5389.2000000000007</v>
          </cell>
          <cell r="AL50">
            <v>0</v>
          </cell>
          <cell r="AM50">
            <v>0</v>
          </cell>
          <cell r="AN50">
            <v>0</v>
          </cell>
          <cell r="AO50">
            <v>1179</v>
          </cell>
          <cell r="AP50">
            <v>5389.2000000000007</v>
          </cell>
          <cell r="AQ50">
            <v>0</v>
          </cell>
          <cell r="AR50">
            <v>6568.2000000000007</v>
          </cell>
          <cell r="AS50">
            <v>12</v>
          </cell>
          <cell r="AT50">
            <v>1179</v>
          </cell>
          <cell r="AU50">
            <v>1572</v>
          </cell>
          <cell r="AV50">
            <v>7185.6</v>
          </cell>
          <cell r="AX50">
            <v>0</v>
          </cell>
          <cell r="AY50">
            <v>8757.6</v>
          </cell>
        </row>
        <row r="51">
          <cell r="E51" t="str">
            <v>00048|Linda|Döring</v>
          </cell>
          <cell r="F51" t="str">
            <v>Linda Döring</v>
          </cell>
          <cell r="G51" t="str">
            <v>00048</v>
          </cell>
          <cell r="H51" t="str">
            <v>Sehr geehrte</v>
          </cell>
          <cell r="I51" t="str">
            <v>Frau</v>
          </cell>
          <cell r="J51" t="str">
            <v>Linda</v>
          </cell>
          <cell r="K51" t="str">
            <v>Döring</v>
          </cell>
          <cell r="L51" t="str">
            <v>Karl-Liebknecht-Straße</v>
          </cell>
          <cell r="M51">
            <v>35</v>
          </cell>
          <cell r="N51" t="str">
            <v>09111</v>
          </cell>
          <cell r="O51" t="str">
            <v>Chemnitz</v>
          </cell>
          <cell r="P51" t="str">
            <v>arns144@gmail.com</v>
          </cell>
          <cell r="Q51">
            <v>31346</v>
          </cell>
          <cell r="S51" t="str">
            <v>PG 3</v>
          </cell>
          <cell r="T51">
            <v>45536</v>
          </cell>
          <cell r="W51" t="str">
            <v>Monique Geitner</v>
          </cell>
          <cell r="Y51" t="str">
            <v>L753069203</v>
          </cell>
          <cell r="Z51" t="str">
            <v>AOK PLUS</v>
          </cell>
          <cell r="AA51">
            <v>107299005</v>
          </cell>
          <cell r="AD51">
            <v>38</v>
          </cell>
          <cell r="AE51">
            <v>38</v>
          </cell>
          <cell r="AF51">
            <v>42</v>
          </cell>
          <cell r="AG51" t="str">
            <v>Neu</v>
          </cell>
          <cell r="AH51">
            <v>12</v>
          </cell>
          <cell r="AI51">
            <v>1572</v>
          </cell>
          <cell r="AJ51">
            <v>7185.6</v>
          </cell>
          <cell r="AL51">
            <v>0</v>
          </cell>
          <cell r="AM51">
            <v>0</v>
          </cell>
          <cell r="AN51">
            <v>0</v>
          </cell>
          <cell r="AO51">
            <v>1572</v>
          </cell>
          <cell r="AP51">
            <v>7185.6</v>
          </cell>
          <cell r="AQ51">
            <v>0</v>
          </cell>
          <cell r="AR51">
            <v>8757.6</v>
          </cell>
          <cell r="AS51">
            <v>12</v>
          </cell>
          <cell r="AT51">
            <v>1572</v>
          </cell>
          <cell r="AU51">
            <v>1572</v>
          </cell>
          <cell r="AV51">
            <v>7185.6</v>
          </cell>
          <cell r="AX51">
            <v>0</v>
          </cell>
          <cell r="AY51">
            <v>8757.6</v>
          </cell>
        </row>
        <row r="52">
          <cell r="E52" t="str">
            <v>00049|Günter|Hofmann</v>
          </cell>
          <cell r="F52" t="str">
            <v>Günter Hofmann</v>
          </cell>
          <cell r="G52" t="str">
            <v>00049</v>
          </cell>
          <cell r="H52" t="str">
            <v>Sehr geehrter</v>
          </cell>
          <cell r="I52" t="str">
            <v>Herr</v>
          </cell>
          <cell r="J52" t="str">
            <v>Günter</v>
          </cell>
          <cell r="K52" t="str">
            <v>Hofmann</v>
          </cell>
          <cell r="L52" t="str">
            <v>Dantestraße</v>
          </cell>
          <cell r="M52">
            <v>46</v>
          </cell>
          <cell r="N52" t="str">
            <v>09127</v>
          </cell>
          <cell r="O52" t="str">
            <v>Chemnitz</v>
          </cell>
          <cell r="Q52">
            <v>15945</v>
          </cell>
          <cell r="S52" t="str">
            <v>PG 2</v>
          </cell>
          <cell r="T52">
            <v>45931</v>
          </cell>
          <cell r="W52" t="str">
            <v>Christiane Fiebag</v>
          </cell>
          <cell r="Y52" t="str">
            <v>233838956</v>
          </cell>
          <cell r="Z52" t="str">
            <v>DKV</v>
          </cell>
          <cell r="AA52">
            <v>4044</v>
          </cell>
          <cell r="AD52">
            <v>38</v>
          </cell>
          <cell r="AE52">
            <v>38</v>
          </cell>
          <cell r="AF52">
            <v>42</v>
          </cell>
          <cell r="AG52" t="str">
            <v>Neu</v>
          </cell>
          <cell r="AH52">
            <v>3</v>
          </cell>
          <cell r="AI52">
            <v>393</v>
          </cell>
          <cell r="AJ52">
            <v>955.2</v>
          </cell>
          <cell r="AL52">
            <v>79.079999999999927</v>
          </cell>
          <cell r="AM52">
            <v>0</v>
          </cell>
          <cell r="AN52">
            <v>0</v>
          </cell>
          <cell r="AO52">
            <v>313.92000000000007</v>
          </cell>
          <cell r="AP52">
            <v>955.2</v>
          </cell>
          <cell r="AQ52">
            <v>0</v>
          </cell>
          <cell r="AR52">
            <v>1269.1200000000001</v>
          </cell>
          <cell r="AS52">
            <v>12</v>
          </cell>
          <cell r="AT52">
            <v>313.92000000000007</v>
          </cell>
          <cell r="AU52">
            <v>1572</v>
          </cell>
          <cell r="AV52">
            <v>3820.8</v>
          </cell>
          <cell r="AX52">
            <v>0</v>
          </cell>
          <cell r="AY52">
            <v>5392.8</v>
          </cell>
        </row>
        <row r="53">
          <cell r="E53" t="str">
            <v>00050|Antje|Jungnickel</v>
          </cell>
          <cell r="F53" t="str">
            <v>Antje Jungnickel</v>
          </cell>
          <cell r="G53" t="str">
            <v>00050</v>
          </cell>
          <cell r="H53" t="str">
            <v>Sehr geehrte</v>
          </cell>
          <cell r="I53" t="str">
            <v>Frau</v>
          </cell>
          <cell r="J53" t="str">
            <v>Antje</v>
          </cell>
          <cell r="K53" t="str">
            <v>Jungnickel</v>
          </cell>
          <cell r="L53" t="str">
            <v>Gaußstraße</v>
          </cell>
          <cell r="M53">
            <v>30</v>
          </cell>
          <cell r="N53" t="str">
            <v>09117</v>
          </cell>
          <cell r="O53" t="str">
            <v>Chemnitz</v>
          </cell>
          <cell r="Q53">
            <v>26448</v>
          </cell>
          <cell r="S53" t="str">
            <v>PG 1</v>
          </cell>
          <cell r="T53">
            <v>45931</v>
          </cell>
          <cell r="W53" t="str">
            <v>Christiane Fiebag</v>
          </cell>
          <cell r="Y53" t="str">
            <v>C645082805</v>
          </cell>
          <cell r="Z53" t="str">
            <v>AOK PLUS</v>
          </cell>
          <cell r="AA53">
            <v>107299005</v>
          </cell>
          <cell r="AD53">
            <v>38</v>
          </cell>
          <cell r="AE53">
            <v>38</v>
          </cell>
          <cell r="AF53">
            <v>42</v>
          </cell>
          <cell r="AG53" t="str">
            <v>Neu</v>
          </cell>
          <cell r="AH53">
            <v>3</v>
          </cell>
          <cell r="AI53">
            <v>393</v>
          </cell>
          <cell r="AJ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393</v>
          </cell>
          <cell r="AP53">
            <v>0</v>
          </cell>
          <cell r="AQ53">
            <v>0</v>
          </cell>
          <cell r="AR53">
            <v>393</v>
          </cell>
          <cell r="AS53">
            <v>12</v>
          </cell>
          <cell r="AT53">
            <v>393</v>
          </cell>
          <cell r="AU53">
            <v>1572</v>
          </cell>
          <cell r="AV53">
            <v>0</v>
          </cell>
          <cell r="AX53">
            <v>0</v>
          </cell>
          <cell r="AY53">
            <v>1572</v>
          </cell>
        </row>
        <row r="54">
          <cell r="E54" t="str">
            <v>00051|Maria|Löscher</v>
          </cell>
          <cell r="F54" t="str">
            <v>Maria Löscher</v>
          </cell>
          <cell r="G54" t="str">
            <v>00051</v>
          </cell>
          <cell r="H54" t="str">
            <v>Sehr geehrte</v>
          </cell>
          <cell r="I54" t="str">
            <v>Frau</v>
          </cell>
          <cell r="J54" t="str">
            <v>Maria</v>
          </cell>
          <cell r="K54" t="str">
            <v>Löscher</v>
          </cell>
          <cell r="L54" t="str">
            <v>Max-Türpe-Straße</v>
          </cell>
          <cell r="M54">
            <v>1</v>
          </cell>
          <cell r="N54" t="str">
            <v>09122</v>
          </cell>
          <cell r="O54" t="str">
            <v>Chemnitz</v>
          </cell>
          <cell r="Q54">
            <v>17190</v>
          </cell>
          <cell r="R54">
            <v>2026</v>
          </cell>
          <cell r="S54" t="str">
            <v>PG 3</v>
          </cell>
          <cell r="T54">
            <v>45261</v>
          </cell>
          <cell r="W54" t="str">
            <v>Ute Ahnert</v>
          </cell>
          <cell r="Y54" t="str">
            <v>Z291375506</v>
          </cell>
          <cell r="Z54" t="str">
            <v>IKK Classic</v>
          </cell>
          <cell r="AA54">
            <v>187202793</v>
          </cell>
          <cell r="AD54">
            <v>38</v>
          </cell>
          <cell r="AE54">
            <v>38</v>
          </cell>
          <cell r="AF54">
            <v>42</v>
          </cell>
          <cell r="AG54" t="str">
            <v>Neu</v>
          </cell>
          <cell r="AH54">
            <v>12</v>
          </cell>
          <cell r="AI54">
            <v>1572</v>
          </cell>
          <cell r="AJ54">
            <v>7185.6</v>
          </cell>
          <cell r="AL54">
            <v>0</v>
          </cell>
          <cell r="AM54">
            <v>0</v>
          </cell>
          <cell r="AN54">
            <v>0</v>
          </cell>
          <cell r="AO54">
            <v>1572</v>
          </cell>
          <cell r="AP54">
            <v>7185.6</v>
          </cell>
          <cell r="AQ54">
            <v>0</v>
          </cell>
          <cell r="AR54">
            <v>8757.6</v>
          </cell>
          <cell r="AS54">
            <v>12</v>
          </cell>
          <cell r="AT54">
            <v>1572</v>
          </cell>
          <cell r="AU54">
            <v>1572</v>
          </cell>
          <cell r="AV54">
            <v>7185.6</v>
          </cell>
          <cell r="AX54">
            <v>0</v>
          </cell>
          <cell r="AY54">
            <v>8757.6</v>
          </cell>
        </row>
        <row r="55">
          <cell r="E55" t="str">
            <v>00052|Cornelia|Posern</v>
          </cell>
          <cell r="F55" t="str">
            <v>Cornelia Posern</v>
          </cell>
          <cell r="G55" t="str">
            <v>00052</v>
          </cell>
          <cell r="H55" t="str">
            <v>Sehr geehrte</v>
          </cell>
          <cell r="I55" t="str">
            <v>Frau</v>
          </cell>
          <cell r="J55" t="str">
            <v>Cornelia</v>
          </cell>
          <cell r="K55" t="str">
            <v>Posern</v>
          </cell>
          <cell r="L55" t="str">
            <v>Am Heim</v>
          </cell>
          <cell r="M55">
            <v>15</v>
          </cell>
          <cell r="N55" t="str">
            <v>09116</v>
          </cell>
          <cell r="O55" t="str">
            <v>Chemnitz</v>
          </cell>
          <cell r="Q55">
            <v>29604</v>
          </cell>
          <cell r="R55">
            <v>2026</v>
          </cell>
          <cell r="S55" t="str">
            <v>PG 1</v>
          </cell>
          <cell r="T55">
            <v>45627</v>
          </cell>
          <cell r="W55" t="str">
            <v>Christiane Fiebag</v>
          </cell>
          <cell r="Y55" t="str">
            <v>J723619883</v>
          </cell>
          <cell r="Z55" t="str">
            <v>AOK PLUS</v>
          </cell>
          <cell r="AA55">
            <v>107299005</v>
          </cell>
          <cell r="AD55">
            <v>38</v>
          </cell>
          <cell r="AE55">
            <v>38</v>
          </cell>
          <cell r="AF55">
            <v>42</v>
          </cell>
          <cell r="AG55" t="str">
            <v>Neu</v>
          </cell>
          <cell r="AH55">
            <v>12</v>
          </cell>
          <cell r="AI55">
            <v>1572</v>
          </cell>
          <cell r="AJ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1572</v>
          </cell>
          <cell r="AP55">
            <v>0</v>
          </cell>
          <cell r="AQ55">
            <v>0</v>
          </cell>
          <cell r="AR55">
            <v>1572</v>
          </cell>
          <cell r="AS55">
            <v>12</v>
          </cell>
          <cell r="AT55">
            <v>1572</v>
          </cell>
          <cell r="AU55">
            <v>1572</v>
          </cell>
          <cell r="AV55">
            <v>0</v>
          </cell>
          <cell r="AX55">
            <v>0</v>
          </cell>
          <cell r="AY55">
            <v>1572</v>
          </cell>
        </row>
        <row r="56">
          <cell r="E56" t="str">
            <v>00053|Ingeborg|Müller</v>
          </cell>
          <cell r="F56" t="str">
            <v>Ingeborg Müller</v>
          </cell>
          <cell r="G56" t="str">
            <v>00053</v>
          </cell>
          <cell r="H56" t="str">
            <v>Sehr geehrte</v>
          </cell>
          <cell r="I56" t="str">
            <v>Frau</v>
          </cell>
          <cell r="J56" t="str">
            <v>Ingeborg</v>
          </cell>
          <cell r="K56" t="str">
            <v>Müller</v>
          </cell>
          <cell r="L56" t="str">
            <v>Carl-von-Ossietzky-Straße</v>
          </cell>
          <cell r="M56">
            <v>220</v>
          </cell>
          <cell r="N56" t="str">
            <v>09127</v>
          </cell>
          <cell r="O56" t="str">
            <v>Chemnitz</v>
          </cell>
          <cell r="Q56">
            <v>11224</v>
          </cell>
          <cell r="S56" t="str">
            <v>PG 3</v>
          </cell>
          <cell r="T56">
            <v>44866</v>
          </cell>
          <cell r="W56" t="str">
            <v>Christiane Fiebag</v>
          </cell>
          <cell r="Y56" t="str">
            <v>N787993980</v>
          </cell>
          <cell r="Z56" t="str">
            <v>Barmer Pflegekasse</v>
          </cell>
          <cell r="AA56">
            <v>184940005</v>
          </cell>
          <cell r="AD56">
            <v>38</v>
          </cell>
          <cell r="AE56">
            <v>38</v>
          </cell>
          <cell r="AF56">
            <v>42</v>
          </cell>
          <cell r="AG56" t="str">
            <v>Neu</v>
          </cell>
          <cell r="AH56">
            <v>12</v>
          </cell>
          <cell r="AI56">
            <v>1572</v>
          </cell>
          <cell r="AJ56">
            <v>7185.6</v>
          </cell>
          <cell r="AL56">
            <v>0</v>
          </cell>
          <cell r="AM56">
            <v>0</v>
          </cell>
          <cell r="AN56">
            <v>0</v>
          </cell>
          <cell r="AO56">
            <v>1572</v>
          </cell>
          <cell r="AP56">
            <v>7185.6</v>
          </cell>
          <cell r="AQ56">
            <v>0</v>
          </cell>
          <cell r="AR56">
            <v>8757.6</v>
          </cell>
          <cell r="AS56">
            <v>12</v>
          </cell>
          <cell r="AT56">
            <v>1572</v>
          </cell>
          <cell r="AU56">
            <v>1572</v>
          </cell>
          <cell r="AV56">
            <v>7185.6</v>
          </cell>
          <cell r="AX56">
            <v>0</v>
          </cell>
          <cell r="AY56">
            <v>8757.6</v>
          </cell>
        </row>
        <row r="57">
          <cell r="E57" t="str">
            <v>00054|Katrin|Vavrin</v>
          </cell>
          <cell r="F57" t="str">
            <v>Katrin Vavrin</v>
          </cell>
          <cell r="G57" t="str">
            <v>00054</v>
          </cell>
          <cell r="H57" t="str">
            <v>Sehr geehrte</v>
          </cell>
          <cell r="I57" t="str">
            <v>Frau</v>
          </cell>
          <cell r="J57" t="str">
            <v>Katrin</v>
          </cell>
          <cell r="K57" t="str">
            <v>Vavrin</v>
          </cell>
          <cell r="L57" t="str">
            <v>Bruno-Granz-Straße</v>
          </cell>
          <cell r="M57">
            <v>10</v>
          </cell>
          <cell r="N57" t="str">
            <v>09122</v>
          </cell>
          <cell r="O57" t="str">
            <v>Chemnitz</v>
          </cell>
          <cell r="Q57">
            <v>23400</v>
          </cell>
          <cell r="R57">
            <v>2026</v>
          </cell>
          <cell r="S57" t="str">
            <v>PG 2</v>
          </cell>
          <cell r="T57">
            <v>45962</v>
          </cell>
          <cell r="U57" t="str">
            <v>PG 1</v>
          </cell>
          <cell r="V57">
            <v>45657</v>
          </cell>
          <cell r="W57" t="str">
            <v>Ute Ahnert</v>
          </cell>
          <cell r="Y57" t="str">
            <v>T152854691</v>
          </cell>
          <cell r="Z57" t="str">
            <v>AOK PLUS</v>
          </cell>
          <cell r="AA57">
            <v>107299005</v>
          </cell>
          <cell r="AD57">
            <v>38</v>
          </cell>
          <cell r="AE57">
            <v>38</v>
          </cell>
          <cell r="AF57">
            <v>42</v>
          </cell>
          <cell r="AG57" t="str">
            <v>Neu</v>
          </cell>
          <cell r="AH57">
            <v>12</v>
          </cell>
          <cell r="AI57">
            <v>1572</v>
          </cell>
          <cell r="AJ57">
            <v>3820.8</v>
          </cell>
          <cell r="AL57">
            <v>0</v>
          </cell>
          <cell r="AM57">
            <v>0</v>
          </cell>
          <cell r="AN57">
            <v>0</v>
          </cell>
          <cell r="AO57">
            <v>1572</v>
          </cell>
          <cell r="AP57">
            <v>3820.8</v>
          </cell>
          <cell r="AQ57">
            <v>0</v>
          </cell>
          <cell r="AR57">
            <v>5392.8</v>
          </cell>
          <cell r="AS57">
            <v>12</v>
          </cell>
          <cell r="AT57">
            <v>1572</v>
          </cell>
          <cell r="AU57">
            <v>1572</v>
          </cell>
          <cell r="AV57">
            <v>3820.8</v>
          </cell>
          <cell r="AX57">
            <v>0</v>
          </cell>
          <cell r="AY57">
            <v>5392.8</v>
          </cell>
        </row>
        <row r="58">
          <cell r="E58" t="str">
            <v>00055|Julian Pascal|Roderfeld</v>
          </cell>
          <cell r="F58" t="str">
            <v>Julian Pascal Roderfeld</v>
          </cell>
          <cell r="G58" t="str">
            <v>00055</v>
          </cell>
          <cell r="H58" t="str">
            <v>Sehr geehrter</v>
          </cell>
          <cell r="I58" t="str">
            <v>Herr</v>
          </cell>
          <cell r="J58" t="str">
            <v>Julian Pascal</v>
          </cell>
          <cell r="K58" t="str">
            <v>Roderfeld</v>
          </cell>
          <cell r="L58" t="str">
            <v>Am Harthwald</v>
          </cell>
          <cell r="M58">
            <v>30</v>
          </cell>
          <cell r="N58" t="str">
            <v>09123</v>
          </cell>
          <cell r="O58" t="str">
            <v>Chemnitz</v>
          </cell>
          <cell r="Q58">
            <v>40798</v>
          </cell>
          <cell r="S58" t="str">
            <v>PG 3</v>
          </cell>
          <cell r="T58">
            <v>44197</v>
          </cell>
          <cell r="W58" t="str">
            <v>Janet Klitzsch</v>
          </cell>
          <cell r="Y58" t="str">
            <v>H314976082</v>
          </cell>
          <cell r="Z58" t="str">
            <v>AOK Baden-Württemberg</v>
          </cell>
          <cell r="AA58">
            <v>108018007</v>
          </cell>
          <cell r="AD58">
            <v>38</v>
          </cell>
          <cell r="AE58">
            <v>38</v>
          </cell>
          <cell r="AF58">
            <v>42</v>
          </cell>
          <cell r="AG58" t="str">
            <v>Neu</v>
          </cell>
          <cell r="AH58">
            <v>12</v>
          </cell>
          <cell r="AI58">
            <v>1572</v>
          </cell>
          <cell r="AJ58">
            <v>7185.6</v>
          </cell>
          <cell r="AL58">
            <v>0</v>
          </cell>
          <cell r="AM58">
            <v>0</v>
          </cell>
          <cell r="AN58">
            <v>0</v>
          </cell>
          <cell r="AO58">
            <v>1572</v>
          </cell>
          <cell r="AP58">
            <v>7185.6</v>
          </cell>
          <cell r="AQ58">
            <v>0</v>
          </cell>
          <cell r="AR58">
            <v>8757.6</v>
          </cell>
          <cell r="AS58">
            <v>12</v>
          </cell>
          <cell r="AT58">
            <v>1572</v>
          </cell>
          <cell r="AU58">
            <v>1572</v>
          </cell>
          <cell r="AV58">
            <v>7185.6</v>
          </cell>
          <cell r="AX58">
            <v>0</v>
          </cell>
          <cell r="AY58">
            <v>8757.6</v>
          </cell>
        </row>
        <row r="59">
          <cell r="E59" t="str">
            <v>00056|Franziska|Roderfeld</v>
          </cell>
          <cell r="F59" t="str">
            <v>Franziska Roderfeld</v>
          </cell>
          <cell r="G59" t="str">
            <v>00056</v>
          </cell>
          <cell r="H59" t="str">
            <v>Sehr geehrte</v>
          </cell>
          <cell r="I59" t="str">
            <v>Frau</v>
          </cell>
          <cell r="J59" t="str">
            <v>Franziska</v>
          </cell>
          <cell r="K59" t="str">
            <v>Roderfeld</v>
          </cell>
          <cell r="L59" t="str">
            <v>Am Harthwald</v>
          </cell>
          <cell r="M59">
            <v>30</v>
          </cell>
          <cell r="N59" t="str">
            <v>09123</v>
          </cell>
          <cell r="O59" t="str">
            <v>Chemnitz</v>
          </cell>
          <cell r="Q59">
            <v>30830</v>
          </cell>
          <cell r="S59" t="str">
            <v>PG 2</v>
          </cell>
          <cell r="T59">
            <v>45292</v>
          </cell>
          <cell r="W59" t="str">
            <v>Janet Klitzsch</v>
          </cell>
          <cell r="Y59" t="str">
            <v>B715434538</v>
          </cell>
          <cell r="Z59" t="str">
            <v>AOK Baden-Württemberg</v>
          </cell>
          <cell r="AA59">
            <v>108018007</v>
          </cell>
          <cell r="AD59">
            <v>38</v>
          </cell>
          <cell r="AE59">
            <v>38</v>
          </cell>
          <cell r="AF59">
            <v>42</v>
          </cell>
          <cell r="AG59" t="str">
            <v>Neu</v>
          </cell>
          <cell r="AH59">
            <v>12</v>
          </cell>
          <cell r="AI59">
            <v>1572</v>
          </cell>
          <cell r="AJ59">
            <v>3820.8</v>
          </cell>
          <cell r="AL59">
            <v>0</v>
          </cell>
          <cell r="AM59">
            <v>0</v>
          </cell>
          <cell r="AN59">
            <v>0</v>
          </cell>
          <cell r="AO59">
            <v>1572</v>
          </cell>
          <cell r="AP59">
            <v>3820.8</v>
          </cell>
          <cell r="AQ59">
            <v>0</v>
          </cell>
          <cell r="AR59">
            <v>5392.8</v>
          </cell>
          <cell r="AS59">
            <v>12</v>
          </cell>
          <cell r="AT59">
            <v>1572</v>
          </cell>
          <cell r="AU59">
            <v>1572</v>
          </cell>
          <cell r="AV59">
            <v>3820.8</v>
          </cell>
          <cell r="AX59">
            <v>0</v>
          </cell>
          <cell r="AY59">
            <v>5392.8</v>
          </cell>
        </row>
        <row r="60">
          <cell r="E60" t="str">
            <v>00057|Ursula|Neuber</v>
          </cell>
          <cell r="F60" t="str">
            <v>Ursula Neuber</v>
          </cell>
          <cell r="G60" t="str">
            <v>00057</v>
          </cell>
          <cell r="H60" t="str">
            <v>Sehr geehrte</v>
          </cell>
          <cell r="I60" t="str">
            <v>Frau</v>
          </cell>
          <cell r="J60" t="str">
            <v>Ursula</v>
          </cell>
          <cell r="K60" t="str">
            <v>Neuber</v>
          </cell>
          <cell r="L60" t="str">
            <v>Straße Usti nad Labem</v>
          </cell>
          <cell r="M60">
            <v>9</v>
          </cell>
          <cell r="N60" t="str">
            <v>09119</v>
          </cell>
          <cell r="O60" t="str">
            <v>Chemnitz</v>
          </cell>
          <cell r="Q60">
            <v>15740</v>
          </cell>
          <cell r="R60">
            <v>46052</v>
          </cell>
          <cell r="S60" t="str">
            <v>PG 2</v>
          </cell>
          <cell r="T60">
            <v>45931</v>
          </cell>
          <cell r="W60" t="str">
            <v>Ute Ahnert</v>
          </cell>
          <cell r="Y60" t="str">
            <v>K638875010</v>
          </cell>
          <cell r="Z60" t="str">
            <v>Siemens Betriebskrankenkasse</v>
          </cell>
          <cell r="AA60" t="str">
            <v>108833505</v>
          </cell>
          <cell r="AD60">
            <v>38</v>
          </cell>
          <cell r="AE60">
            <v>38</v>
          </cell>
          <cell r="AF60">
            <v>42</v>
          </cell>
          <cell r="AG60" t="str">
            <v>Neu</v>
          </cell>
          <cell r="AH60">
            <v>3</v>
          </cell>
          <cell r="AI60">
            <v>393</v>
          </cell>
          <cell r="AJ60">
            <v>955.2</v>
          </cell>
          <cell r="AL60">
            <v>0</v>
          </cell>
          <cell r="AM60">
            <v>0</v>
          </cell>
          <cell r="AN60">
            <v>0</v>
          </cell>
          <cell r="AO60">
            <v>393</v>
          </cell>
          <cell r="AP60">
            <v>955.2</v>
          </cell>
          <cell r="AQ60">
            <v>0</v>
          </cell>
          <cell r="AR60">
            <v>1348.2</v>
          </cell>
          <cell r="AS60">
            <v>12</v>
          </cell>
          <cell r="AT60">
            <v>393</v>
          </cell>
          <cell r="AU60">
            <v>1572</v>
          </cell>
          <cell r="AV60">
            <v>3820.8</v>
          </cell>
          <cell r="AX60">
            <v>0</v>
          </cell>
          <cell r="AY60">
            <v>5392.8</v>
          </cell>
        </row>
        <row r="61">
          <cell r="E61" t="str">
            <v>00058|Ingrid|Dietrich</v>
          </cell>
          <cell r="F61" t="str">
            <v>Ingrid Dietrich</v>
          </cell>
          <cell r="G61" t="str">
            <v>00058</v>
          </cell>
          <cell r="H61" t="str">
            <v>Sehr geehrte</v>
          </cell>
          <cell r="I61" t="str">
            <v>Frau</v>
          </cell>
          <cell r="J61" t="str">
            <v>Ingrid</v>
          </cell>
          <cell r="K61" t="str">
            <v>Dietrich</v>
          </cell>
          <cell r="L61" t="str">
            <v>Steinwiese</v>
          </cell>
          <cell r="M61">
            <v>66</v>
          </cell>
          <cell r="N61" t="str">
            <v>09116</v>
          </cell>
          <cell r="O61" t="str">
            <v>Chemnitz</v>
          </cell>
          <cell r="Q61">
            <v>18199</v>
          </cell>
          <cell r="S61" t="str">
            <v>PG 2</v>
          </cell>
          <cell r="T61">
            <v>45931</v>
          </cell>
          <cell r="W61" t="str">
            <v>Janet Klitzsch</v>
          </cell>
          <cell r="Y61" t="str">
            <v>W588910061</v>
          </cell>
          <cell r="Z61" t="str">
            <v>AOK PLUS</v>
          </cell>
          <cell r="AA61">
            <v>107299005</v>
          </cell>
          <cell r="AD61">
            <v>38</v>
          </cell>
          <cell r="AE61">
            <v>38</v>
          </cell>
          <cell r="AF61">
            <v>42</v>
          </cell>
          <cell r="AG61" t="str">
            <v>Neu</v>
          </cell>
          <cell r="AH61">
            <v>3</v>
          </cell>
          <cell r="AI61">
            <v>393</v>
          </cell>
          <cell r="AJ61">
            <v>955.2</v>
          </cell>
          <cell r="AL61">
            <v>0</v>
          </cell>
          <cell r="AM61">
            <v>0</v>
          </cell>
          <cell r="AN61">
            <v>0</v>
          </cell>
          <cell r="AO61">
            <v>393</v>
          </cell>
          <cell r="AP61">
            <v>955.2</v>
          </cell>
          <cell r="AQ61">
            <v>0</v>
          </cell>
          <cell r="AR61">
            <v>1348.2</v>
          </cell>
          <cell r="AS61">
            <v>12</v>
          </cell>
          <cell r="AT61">
            <v>393</v>
          </cell>
          <cell r="AU61">
            <v>1572</v>
          </cell>
          <cell r="AV61">
            <v>3820.8</v>
          </cell>
          <cell r="AX61">
            <v>0</v>
          </cell>
          <cell r="AY61">
            <v>5392.8</v>
          </cell>
        </row>
        <row r="62">
          <cell r="E62" t="str">
            <v>00059|Sieglinde|Jacobi</v>
          </cell>
          <cell r="F62" t="str">
            <v>Sieglinde Jacobi</v>
          </cell>
          <cell r="G62" t="str">
            <v>00059</v>
          </cell>
          <cell r="H62" t="str">
            <v>Sehr geehrte</v>
          </cell>
          <cell r="I62" t="str">
            <v>Frau</v>
          </cell>
          <cell r="J62" t="str">
            <v>Sieglinde</v>
          </cell>
          <cell r="K62" t="str">
            <v>Jacobi</v>
          </cell>
          <cell r="L62" t="str">
            <v>Max-Türpe-Straße</v>
          </cell>
          <cell r="M62">
            <v>1</v>
          </cell>
          <cell r="N62" t="str">
            <v>09122</v>
          </cell>
          <cell r="O62" t="str">
            <v>Chemnitz</v>
          </cell>
          <cell r="Q62">
            <v>16542</v>
          </cell>
          <cell r="S62" t="str">
            <v>PG 1</v>
          </cell>
          <cell r="T62">
            <v>45870</v>
          </cell>
          <cell r="W62" t="str">
            <v>Ute Ahnert</v>
          </cell>
          <cell r="Y62" t="str">
            <v>B111217515</v>
          </cell>
          <cell r="Z62" t="str">
            <v>AOK PLUS</v>
          </cell>
          <cell r="AA62">
            <v>107299005</v>
          </cell>
          <cell r="AD62">
            <v>38</v>
          </cell>
          <cell r="AE62">
            <v>38</v>
          </cell>
          <cell r="AF62">
            <v>42</v>
          </cell>
          <cell r="AG62" t="str">
            <v>Neu</v>
          </cell>
          <cell r="AH62">
            <v>5</v>
          </cell>
          <cell r="AI62">
            <v>655</v>
          </cell>
          <cell r="AJ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655</v>
          </cell>
          <cell r="AP62">
            <v>0</v>
          </cell>
          <cell r="AQ62">
            <v>0</v>
          </cell>
          <cell r="AR62">
            <v>655</v>
          </cell>
          <cell r="AS62">
            <v>12</v>
          </cell>
          <cell r="AT62">
            <v>655</v>
          </cell>
          <cell r="AU62">
            <v>1572</v>
          </cell>
          <cell r="AV62">
            <v>0</v>
          </cell>
          <cell r="AX62">
            <v>0</v>
          </cell>
          <cell r="AY62">
            <v>1572</v>
          </cell>
        </row>
        <row r="63">
          <cell r="E63" t="str">
            <v>00060|Helga|Bochmann</v>
          </cell>
          <cell r="F63" t="str">
            <v>Helga Bochmann</v>
          </cell>
          <cell r="G63" t="str">
            <v>00060</v>
          </cell>
          <cell r="H63" t="str">
            <v>Sehr geehrte</v>
          </cell>
          <cell r="I63" t="str">
            <v>Frau</v>
          </cell>
          <cell r="J63" t="str">
            <v>Helga</v>
          </cell>
          <cell r="K63" t="str">
            <v>Bochmann</v>
          </cell>
          <cell r="L63" t="str">
            <v>Albert-Schweitzer-Straße</v>
          </cell>
          <cell r="M63">
            <v>74</v>
          </cell>
          <cell r="N63" t="str">
            <v>09116</v>
          </cell>
          <cell r="O63" t="str">
            <v>Chemnitz</v>
          </cell>
          <cell r="Q63">
            <v>13944</v>
          </cell>
          <cell r="S63" t="str">
            <v>PG 2</v>
          </cell>
          <cell r="T63">
            <v>45658</v>
          </cell>
          <cell r="W63" t="str">
            <v>Ursula Ullmann</v>
          </cell>
          <cell r="Y63" t="str">
            <v>X467412211</v>
          </cell>
          <cell r="Z63" t="str">
            <v>AOK PLUS</v>
          </cell>
          <cell r="AA63">
            <v>107299005</v>
          </cell>
          <cell r="AD63">
            <v>38</v>
          </cell>
          <cell r="AE63">
            <v>38</v>
          </cell>
          <cell r="AF63">
            <v>42</v>
          </cell>
          <cell r="AG63" t="str">
            <v>Neu</v>
          </cell>
          <cell r="AH63">
            <v>12</v>
          </cell>
          <cell r="AI63">
            <v>1572</v>
          </cell>
          <cell r="AJ63">
            <v>3820.8</v>
          </cell>
          <cell r="AL63">
            <v>0</v>
          </cell>
          <cell r="AM63">
            <v>0</v>
          </cell>
          <cell r="AN63">
            <v>0</v>
          </cell>
          <cell r="AO63">
            <v>1572</v>
          </cell>
          <cell r="AP63">
            <v>3820.8</v>
          </cell>
          <cell r="AQ63">
            <v>0</v>
          </cell>
          <cell r="AR63">
            <v>5392.8</v>
          </cell>
          <cell r="AS63">
            <v>12</v>
          </cell>
          <cell r="AT63">
            <v>1572</v>
          </cell>
          <cell r="AU63">
            <v>1572</v>
          </cell>
          <cell r="AV63">
            <v>3820.8</v>
          </cell>
          <cell r="AX63">
            <v>0</v>
          </cell>
          <cell r="AY63">
            <v>5392.8</v>
          </cell>
        </row>
        <row r="64">
          <cell r="E64" t="str">
            <v>00061|Christine|Proßwimmer</v>
          </cell>
          <cell r="F64" t="str">
            <v>Christine Proßwimmer</v>
          </cell>
          <cell r="G64" t="str">
            <v>00061</v>
          </cell>
          <cell r="H64" t="str">
            <v>Sehr geehrter</v>
          </cell>
          <cell r="I64" t="str">
            <v>Herr</v>
          </cell>
          <cell r="J64" t="str">
            <v>Christine</v>
          </cell>
          <cell r="K64" t="str">
            <v>Proßwimmer</v>
          </cell>
          <cell r="L64" t="str">
            <v>Altendorfer Str.</v>
          </cell>
          <cell r="M64">
            <v>56</v>
          </cell>
          <cell r="N64" t="str">
            <v>09113</v>
          </cell>
          <cell r="O64" t="str">
            <v>Chemnitz</v>
          </cell>
          <cell r="Q64">
            <v>13881</v>
          </cell>
          <cell r="S64" t="str">
            <v>PG 2</v>
          </cell>
          <cell r="T64">
            <v>45809</v>
          </cell>
          <cell r="W64" t="str">
            <v>Ursula Ullmann</v>
          </cell>
          <cell r="Y64" t="str">
            <v>L015328983</v>
          </cell>
          <cell r="Z64" t="str">
            <v>AOK PLUS</v>
          </cell>
          <cell r="AA64">
            <v>107299005</v>
          </cell>
          <cell r="AD64">
            <v>38</v>
          </cell>
          <cell r="AE64">
            <v>38</v>
          </cell>
          <cell r="AF64">
            <v>42</v>
          </cell>
          <cell r="AG64" t="str">
            <v>Neu</v>
          </cell>
          <cell r="AH64">
            <v>7</v>
          </cell>
          <cell r="AI64">
            <v>917</v>
          </cell>
          <cell r="AJ64">
            <v>2228.8000000000002</v>
          </cell>
          <cell r="AL64">
            <v>0</v>
          </cell>
          <cell r="AM64">
            <v>0</v>
          </cell>
          <cell r="AN64">
            <v>0</v>
          </cell>
          <cell r="AO64">
            <v>917</v>
          </cell>
          <cell r="AP64">
            <v>2228.8000000000002</v>
          </cell>
          <cell r="AQ64">
            <v>0</v>
          </cell>
          <cell r="AR64">
            <v>3145.8</v>
          </cell>
          <cell r="AS64">
            <v>12</v>
          </cell>
          <cell r="AT64">
            <v>917</v>
          </cell>
          <cell r="AU64">
            <v>1572</v>
          </cell>
          <cell r="AV64">
            <v>3820.8</v>
          </cell>
          <cell r="AX64">
            <v>0</v>
          </cell>
          <cell r="AY64">
            <v>5392.8</v>
          </cell>
        </row>
        <row r="65">
          <cell r="E65" t="str">
            <v>00062|Rita|Stammler</v>
          </cell>
          <cell r="F65" t="str">
            <v>Rita Stammler</v>
          </cell>
          <cell r="G65" t="str">
            <v>00062</v>
          </cell>
          <cell r="H65" t="str">
            <v>Sehr geehrte</v>
          </cell>
          <cell r="I65" t="str">
            <v>Frau</v>
          </cell>
          <cell r="J65" t="str">
            <v>Rita</v>
          </cell>
          <cell r="K65" t="str">
            <v>Stammler</v>
          </cell>
          <cell r="L65" t="str">
            <v>Irkutsker Str.</v>
          </cell>
          <cell r="M65">
            <v>143</v>
          </cell>
          <cell r="N65" t="str">
            <v>09119</v>
          </cell>
          <cell r="O65" t="str">
            <v>Chemnitz</v>
          </cell>
          <cell r="Q65">
            <v>15520</v>
          </cell>
          <cell r="S65" t="str">
            <v>PG 3</v>
          </cell>
          <cell r="T65">
            <v>45778</v>
          </cell>
          <cell r="W65" t="str">
            <v>Janet Klitzsch</v>
          </cell>
          <cell r="Y65" t="str">
            <v>I956826553</v>
          </cell>
          <cell r="Z65" t="str">
            <v>IKK Classic</v>
          </cell>
          <cell r="AA65">
            <v>187202793</v>
          </cell>
          <cell r="AD65">
            <v>38</v>
          </cell>
          <cell r="AE65">
            <v>38</v>
          </cell>
          <cell r="AF65">
            <v>42</v>
          </cell>
          <cell r="AG65" t="str">
            <v>Neu</v>
          </cell>
          <cell r="AH65">
            <v>8</v>
          </cell>
          <cell r="AI65">
            <v>1048</v>
          </cell>
          <cell r="AJ65">
            <v>4790.4000000000005</v>
          </cell>
          <cell r="AL65">
            <v>0</v>
          </cell>
          <cell r="AM65">
            <v>0</v>
          </cell>
          <cell r="AN65">
            <v>0</v>
          </cell>
          <cell r="AO65">
            <v>1048</v>
          </cell>
          <cell r="AP65">
            <v>4790.4000000000005</v>
          </cell>
          <cell r="AQ65">
            <v>0</v>
          </cell>
          <cell r="AR65">
            <v>5838.4000000000005</v>
          </cell>
          <cell r="AS65">
            <v>12</v>
          </cell>
          <cell r="AT65">
            <v>1048</v>
          </cell>
          <cell r="AU65">
            <v>1572</v>
          </cell>
          <cell r="AV65">
            <v>7185.6</v>
          </cell>
          <cell r="AX65">
            <v>0</v>
          </cell>
          <cell r="AY65">
            <v>8757.6</v>
          </cell>
        </row>
        <row r="66">
          <cell r="E66" t="str">
            <v>00063|Tom|Fischer</v>
          </cell>
          <cell r="F66" t="str">
            <v>Tom Fischer</v>
          </cell>
          <cell r="G66" t="str">
            <v>00063</v>
          </cell>
          <cell r="H66" t="str">
            <v>Sehr geehrter</v>
          </cell>
          <cell r="I66" t="str">
            <v>Herr</v>
          </cell>
          <cell r="J66" t="str">
            <v>Tom</v>
          </cell>
          <cell r="K66" t="str">
            <v>Fischer</v>
          </cell>
          <cell r="L66" t="str">
            <v>Marktsteig</v>
          </cell>
          <cell r="M66">
            <v>12</v>
          </cell>
          <cell r="N66" t="str">
            <v>09126</v>
          </cell>
          <cell r="O66" t="str">
            <v>Chemnitz</v>
          </cell>
          <cell r="Q66">
            <v>43145</v>
          </cell>
          <cell r="R66">
            <v>46063</v>
          </cell>
          <cell r="S66" t="str">
            <v>PG 2</v>
          </cell>
          <cell r="T66">
            <v>45901</v>
          </cell>
          <cell r="W66" t="str">
            <v>Ursula Ullmann</v>
          </cell>
          <cell r="Y66" t="str">
            <v>K561197109</v>
          </cell>
          <cell r="Z66" t="str">
            <v>IKK Classic</v>
          </cell>
          <cell r="AA66">
            <v>187202793</v>
          </cell>
          <cell r="AD66">
            <v>38</v>
          </cell>
          <cell r="AE66">
            <v>38</v>
          </cell>
          <cell r="AF66">
            <v>42</v>
          </cell>
          <cell r="AG66" t="str">
            <v>Neu</v>
          </cell>
          <cell r="AH66">
            <v>4</v>
          </cell>
          <cell r="AI66">
            <v>524</v>
          </cell>
          <cell r="AJ66">
            <v>1273.6000000000001</v>
          </cell>
          <cell r="AL66">
            <v>0</v>
          </cell>
          <cell r="AM66">
            <v>0</v>
          </cell>
          <cell r="AN66">
            <v>0</v>
          </cell>
          <cell r="AO66">
            <v>524</v>
          </cell>
          <cell r="AP66">
            <v>1273.6000000000001</v>
          </cell>
          <cell r="AQ66">
            <v>0</v>
          </cell>
          <cell r="AR66">
            <v>1797.6000000000001</v>
          </cell>
          <cell r="AS66">
            <v>12</v>
          </cell>
          <cell r="AT66">
            <v>524</v>
          </cell>
          <cell r="AU66">
            <v>1572</v>
          </cell>
          <cell r="AV66">
            <v>3820.8</v>
          </cell>
          <cell r="AX66">
            <v>0</v>
          </cell>
          <cell r="AY66">
            <v>5392.8</v>
          </cell>
        </row>
        <row r="67">
          <cell r="E67" t="str">
            <v>00064|Ursula|Zintl</v>
          </cell>
          <cell r="F67" t="str">
            <v>Ursula Zintl</v>
          </cell>
          <cell r="G67" t="str">
            <v>00064</v>
          </cell>
          <cell r="H67" t="str">
            <v>Sehr geehrte</v>
          </cell>
          <cell r="I67" t="str">
            <v>Frau</v>
          </cell>
          <cell r="J67" t="str">
            <v>Ursula</v>
          </cell>
          <cell r="K67" t="str">
            <v>Zintl</v>
          </cell>
          <cell r="L67" t="str">
            <v>Irkutsker Str.</v>
          </cell>
          <cell r="M67">
            <v>31</v>
          </cell>
          <cell r="N67" t="str">
            <v>09119</v>
          </cell>
          <cell r="O67" t="str">
            <v>Chemnitz</v>
          </cell>
          <cell r="Q67">
            <v>18205</v>
          </cell>
          <cell r="S67" t="str">
            <v>PG 1</v>
          </cell>
          <cell r="T67">
            <v>45352</v>
          </cell>
          <cell r="W67" t="str">
            <v>Ursula Ullmann</v>
          </cell>
          <cell r="Y67" t="str">
            <v>H838114859</v>
          </cell>
          <cell r="Z67" t="str">
            <v>AOK PLUS</v>
          </cell>
          <cell r="AA67">
            <v>107299005</v>
          </cell>
          <cell r="AD67">
            <v>38</v>
          </cell>
          <cell r="AE67">
            <v>38</v>
          </cell>
          <cell r="AF67">
            <v>42</v>
          </cell>
          <cell r="AG67" t="str">
            <v>Neu</v>
          </cell>
          <cell r="AH67">
            <v>12</v>
          </cell>
          <cell r="AI67">
            <v>1572</v>
          </cell>
          <cell r="AJ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1572</v>
          </cell>
          <cell r="AP67">
            <v>0</v>
          </cell>
          <cell r="AQ67">
            <v>0</v>
          </cell>
          <cell r="AR67">
            <v>1572</v>
          </cell>
          <cell r="AS67">
            <v>12</v>
          </cell>
          <cell r="AT67">
            <v>1572</v>
          </cell>
          <cell r="AU67">
            <v>1572</v>
          </cell>
          <cell r="AV67">
            <v>0</v>
          </cell>
          <cell r="AX67">
            <v>0</v>
          </cell>
          <cell r="AY67">
            <v>1572</v>
          </cell>
        </row>
        <row r="68">
          <cell r="E68" t="str">
            <v>00065|Maxim Nicolai|Käthe</v>
          </cell>
          <cell r="F68" t="str">
            <v>Maxim Nicolai Käthe</v>
          </cell>
          <cell r="G68" t="str">
            <v>00065</v>
          </cell>
          <cell r="H68" t="str">
            <v>Sehr geehrter</v>
          </cell>
          <cell r="I68" t="str">
            <v>Herr</v>
          </cell>
          <cell r="J68" t="str">
            <v>Maxim Nicolai</v>
          </cell>
          <cell r="K68" t="str">
            <v>Käthe</v>
          </cell>
          <cell r="L68" t="str">
            <v>Finkenweg</v>
          </cell>
          <cell r="M68">
            <v>8</v>
          </cell>
          <cell r="N68" t="str">
            <v>09123</v>
          </cell>
          <cell r="O68" t="str">
            <v>Chemnitz</v>
          </cell>
          <cell r="Q68">
            <v>42666</v>
          </cell>
          <cell r="S68" t="str">
            <v>PG 3</v>
          </cell>
          <cell r="T68">
            <v>44197</v>
          </cell>
          <cell r="W68" t="str">
            <v>Yvonne Heidel</v>
          </cell>
          <cell r="Y68" t="str">
            <v>X335719617</v>
          </cell>
          <cell r="Z68" t="str">
            <v>Viactiv Krankenkasse</v>
          </cell>
          <cell r="AA68">
            <v>184526376</v>
          </cell>
          <cell r="AD68">
            <v>38</v>
          </cell>
          <cell r="AE68">
            <v>38</v>
          </cell>
          <cell r="AF68">
            <v>42</v>
          </cell>
          <cell r="AG68" t="str">
            <v>Neu</v>
          </cell>
          <cell r="AH68">
            <v>12</v>
          </cell>
          <cell r="AI68">
            <v>1572</v>
          </cell>
          <cell r="AJ68">
            <v>7185.6</v>
          </cell>
          <cell r="AL68">
            <v>0</v>
          </cell>
          <cell r="AM68">
            <v>0</v>
          </cell>
          <cell r="AN68">
            <v>0</v>
          </cell>
          <cell r="AO68">
            <v>1572</v>
          </cell>
          <cell r="AP68">
            <v>7185.6</v>
          </cell>
          <cell r="AQ68">
            <v>0</v>
          </cell>
          <cell r="AR68">
            <v>8757.6</v>
          </cell>
          <cell r="AS68">
            <v>12</v>
          </cell>
          <cell r="AT68">
            <v>1572</v>
          </cell>
          <cell r="AU68">
            <v>1572</v>
          </cell>
          <cell r="AV68">
            <v>7185.6</v>
          </cell>
          <cell r="AX68">
            <v>0</v>
          </cell>
          <cell r="AY68">
            <v>8757.6</v>
          </cell>
        </row>
        <row r="69">
          <cell r="E69" t="str">
            <v>00066|Detlef|Schubert</v>
          </cell>
          <cell r="F69" t="str">
            <v>Detlef Schubert</v>
          </cell>
          <cell r="G69" t="str">
            <v>00066</v>
          </cell>
          <cell r="H69" t="str">
            <v>Sehr geehrter</v>
          </cell>
          <cell r="I69" t="str">
            <v>Herr</v>
          </cell>
          <cell r="J69" t="str">
            <v>Detlef</v>
          </cell>
          <cell r="K69" t="str">
            <v>Schubert</v>
          </cell>
          <cell r="L69" t="str">
            <v>Webergasse</v>
          </cell>
          <cell r="M69">
            <v>1</v>
          </cell>
          <cell r="N69" t="str">
            <v>09111</v>
          </cell>
          <cell r="O69" t="str">
            <v>Chemnitz</v>
          </cell>
          <cell r="P69" t="str">
            <v>schubert.detlef@web.de</v>
          </cell>
          <cell r="Q69">
            <v>19659</v>
          </cell>
          <cell r="S69" t="str">
            <v>PG 1</v>
          </cell>
          <cell r="T69">
            <v>45931</v>
          </cell>
          <cell r="W69" t="str">
            <v>Manuela Richter</v>
          </cell>
          <cell r="Y69" t="str">
            <v>U583968898</v>
          </cell>
          <cell r="Z69" t="str">
            <v>hkk Krankenkasse</v>
          </cell>
          <cell r="AA69">
            <v>103170002</v>
          </cell>
          <cell r="AD69">
            <v>38</v>
          </cell>
          <cell r="AE69">
            <v>38</v>
          </cell>
          <cell r="AF69">
            <v>42</v>
          </cell>
          <cell r="AG69" t="str">
            <v>Neu</v>
          </cell>
          <cell r="AH69">
            <v>3</v>
          </cell>
          <cell r="AI69">
            <v>393</v>
          </cell>
          <cell r="AJ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393</v>
          </cell>
          <cell r="AP69">
            <v>0</v>
          </cell>
          <cell r="AQ69">
            <v>0</v>
          </cell>
          <cell r="AR69">
            <v>393</v>
          </cell>
          <cell r="AS69">
            <v>12</v>
          </cell>
          <cell r="AT69">
            <v>393</v>
          </cell>
          <cell r="AU69">
            <v>1572</v>
          </cell>
          <cell r="AV69">
            <v>0</v>
          </cell>
          <cell r="AX69">
            <v>0</v>
          </cell>
          <cell r="AY69">
            <v>1572</v>
          </cell>
        </row>
        <row r="70">
          <cell r="E70" t="str">
            <v>00067|Marvin|Schröder</v>
          </cell>
          <cell r="F70" t="str">
            <v>Marvin Schröder</v>
          </cell>
          <cell r="G70" t="str">
            <v>00067</v>
          </cell>
          <cell r="H70" t="str">
            <v>Sehr geehrter</v>
          </cell>
          <cell r="I70" t="str">
            <v>Herr</v>
          </cell>
          <cell r="J70" t="str">
            <v>Marvin</v>
          </cell>
          <cell r="K70" t="str">
            <v>Schröder</v>
          </cell>
          <cell r="L70" t="str">
            <v>Max-Schäller-Straße</v>
          </cell>
          <cell r="M70">
            <v>2</v>
          </cell>
          <cell r="N70" t="str">
            <v>09122</v>
          </cell>
          <cell r="O70" t="str">
            <v>Chemnitz</v>
          </cell>
          <cell r="P70" t="str">
            <v>schroedermarvin2004@gmail.com</v>
          </cell>
          <cell r="Q70">
            <v>38116</v>
          </cell>
          <cell r="S70" t="str">
            <v>PG 2</v>
          </cell>
          <cell r="T70">
            <v>44927</v>
          </cell>
          <cell r="W70" t="str">
            <v>Christiane Fiebag</v>
          </cell>
          <cell r="Y70" t="str">
            <v>F868686018</v>
          </cell>
          <cell r="Z70" t="str">
            <v>AOK PLUS</v>
          </cell>
          <cell r="AA70">
            <v>107299005</v>
          </cell>
          <cell r="AD70">
            <v>38</v>
          </cell>
          <cell r="AE70">
            <v>38</v>
          </cell>
          <cell r="AF70">
            <v>42</v>
          </cell>
          <cell r="AG70" t="str">
            <v>Neu</v>
          </cell>
          <cell r="AH70">
            <v>12</v>
          </cell>
          <cell r="AI70">
            <v>1572</v>
          </cell>
          <cell r="AJ70">
            <v>3820.8</v>
          </cell>
          <cell r="AL70">
            <v>0</v>
          </cell>
          <cell r="AM70">
            <v>0</v>
          </cell>
          <cell r="AN70">
            <v>0</v>
          </cell>
          <cell r="AO70">
            <v>1572</v>
          </cell>
          <cell r="AP70">
            <v>3820.8</v>
          </cell>
          <cell r="AQ70">
            <v>0</v>
          </cell>
          <cell r="AR70">
            <v>5392.8</v>
          </cell>
          <cell r="AS70">
            <v>12</v>
          </cell>
          <cell r="AT70">
            <v>1572</v>
          </cell>
          <cell r="AU70">
            <v>1572</v>
          </cell>
          <cell r="AV70">
            <v>3820.8</v>
          </cell>
          <cell r="AX70">
            <v>0</v>
          </cell>
          <cell r="AY70">
            <v>5392.8</v>
          </cell>
        </row>
        <row r="71">
          <cell r="E71" t="str">
            <v>00068|Rita|Brautzsch</v>
          </cell>
          <cell r="F71" t="str">
            <v>Rita Brautzsch</v>
          </cell>
          <cell r="G71" t="str">
            <v>00068</v>
          </cell>
          <cell r="H71" t="str">
            <v>Sehr geehrte</v>
          </cell>
          <cell r="I71" t="str">
            <v>Frau</v>
          </cell>
          <cell r="J71" t="str">
            <v>Rita</v>
          </cell>
          <cell r="K71" t="str">
            <v>Brautzsch</v>
          </cell>
          <cell r="L71" t="str">
            <v>Wohnpark Falke</v>
          </cell>
          <cell r="M71">
            <v>7</v>
          </cell>
          <cell r="N71" t="str">
            <v>09355</v>
          </cell>
          <cell r="O71" t="str">
            <v>Gersdorf</v>
          </cell>
          <cell r="Q71">
            <v>20896</v>
          </cell>
          <cell r="S71" t="str">
            <v>PG 1</v>
          </cell>
          <cell r="T71">
            <v>45992</v>
          </cell>
          <cell r="W71" t="str">
            <v>Christiane Fiebag</v>
          </cell>
          <cell r="Y71" t="str">
            <v>J572512629</v>
          </cell>
          <cell r="Z71" t="str">
            <v>AOK PLUS</v>
          </cell>
          <cell r="AA71">
            <v>107299005</v>
          </cell>
          <cell r="AD71">
            <v>38</v>
          </cell>
          <cell r="AE71">
            <v>38</v>
          </cell>
          <cell r="AF71">
            <v>42</v>
          </cell>
          <cell r="AG71" t="str">
            <v>Neu</v>
          </cell>
          <cell r="AH71">
            <v>1</v>
          </cell>
          <cell r="AI71">
            <v>131</v>
          </cell>
          <cell r="AJ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131</v>
          </cell>
          <cell r="AP71">
            <v>0</v>
          </cell>
          <cell r="AQ71">
            <v>0</v>
          </cell>
          <cell r="AR71">
            <v>131</v>
          </cell>
          <cell r="AS71">
            <v>12</v>
          </cell>
          <cell r="AT71">
            <v>131</v>
          </cell>
          <cell r="AU71">
            <v>1572</v>
          </cell>
          <cell r="AV71">
            <v>0</v>
          </cell>
          <cell r="AX71">
            <v>0</v>
          </cell>
          <cell r="AY71">
            <v>1572</v>
          </cell>
        </row>
        <row r="72">
          <cell r="E72" t="str">
            <v>00069|Silke|Schönherr</v>
          </cell>
          <cell r="F72" t="str">
            <v>Silke Schönherr</v>
          </cell>
          <cell r="G72" t="str">
            <v>00069</v>
          </cell>
          <cell r="H72" t="str">
            <v>Sehr geehrte</v>
          </cell>
          <cell r="I72" t="str">
            <v>Frau</v>
          </cell>
          <cell r="J72" t="str">
            <v>Silke</v>
          </cell>
          <cell r="K72" t="str">
            <v>Schönherr</v>
          </cell>
          <cell r="L72" t="str">
            <v>Matthesstraße</v>
          </cell>
          <cell r="M72">
            <v>37</v>
          </cell>
          <cell r="N72" t="str">
            <v>09113</v>
          </cell>
          <cell r="O72" t="str">
            <v>Chemnitz</v>
          </cell>
          <cell r="Q72">
            <v>24558</v>
          </cell>
          <cell r="S72" t="str">
            <v>PG 1</v>
          </cell>
          <cell r="T72">
            <v>45901</v>
          </cell>
          <cell r="W72" t="str">
            <v>Janet Klitzsch</v>
          </cell>
          <cell r="Y72" t="str">
            <v>D044655757</v>
          </cell>
          <cell r="Z72" t="str">
            <v>AOK PLUS</v>
          </cell>
          <cell r="AA72">
            <v>107299005</v>
          </cell>
          <cell r="AD72">
            <v>38</v>
          </cell>
          <cell r="AE72">
            <v>38</v>
          </cell>
          <cell r="AF72">
            <v>42</v>
          </cell>
          <cell r="AG72" t="str">
            <v>Neu</v>
          </cell>
          <cell r="AH72">
            <v>4</v>
          </cell>
          <cell r="AI72">
            <v>524</v>
          </cell>
          <cell r="AJ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524</v>
          </cell>
          <cell r="AP72">
            <v>0</v>
          </cell>
          <cell r="AQ72">
            <v>0</v>
          </cell>
          <cell r="AR72">
            <v>524</v>
          </cell>
          <cell r="AS72">
            <v>12</v>
          </cell>
          <cell r="AT72">
            <v>524</v>
          </cell>
          <cell r="AU72">
            <v>1572</v>
          </cell>
          <cell r="AV72">
            <v>0</v>
          </cell>
          <cell r="AX72">
            <v>0</v>
          </cell>
          <cell r="AY72">
            <v>1572</v>
          </cell>
        </row>
        <row r="73">
          <cell r="E73" t="str">
            <v>00070|Rosali|Demirer</v>
          </cell>
          <cell r="F73" t="str">
            <v>Rosali Demirer</v>
          </cell>
          <cell r="G73" t="str">
            <v>00070</v>
          </cell>
          <cell r="H73" t="str">
            <v>Sehr geehrte</v>
          </cell>
          <cell r="I73" t="str">
            <v>Frau</v>
          </cell>
          <cell r="J73" t="str">
            <v>Rosali</v>
          </cell>
          <cell r="K73" t="str">
            <v>Demirer</v>
          </cell>
          <cell r="L73" t="str">
            <v>Max-Opitz-Straße</v>
          </cell>
          <cell r="M73">
            <v>57</v>
          </cell>
          <cell r="N73" t="str">
            <v>09123</v>
          </cell>
          <cell r="O73" t="str">
            <v>Chemnitz</v>
          </cell>
          <cell r="Q73">
            <v>42666</v>
          </cell>
          <cell r="S73" t="str">
            <v>PG 5</v>
          </cell>
          <cell r="T73">
            <v>44562</v>
          </cell>
          <cell r="W73" t="str">
            <v>Ursula Ullmann</v>
          </cell>
          <cell r="Y73" t="str">
            <v>R426357628</v>
          </cell>
          <cell r="Z73" t="str">
            <v>AOK PLUS</v>
          </cell>
          <cell r="AA73">
            <v>107299005</v>
          </cell>
          <cell r="AD73">
            <v>38</v>
          </cell>
          <cell r="AE73">
            <v>38</v>
          </cell>
          <cell r="AF73">
            <v>42</v>
          </cell>
          <cell r="AG73" t="str">
            <v>Neu</v>
          </cell>
          <cell r="AH73">
            <v>12</v>
          </cell>
          <cell r="AI73">
            <v>1572</v>
          </cell>
          <cell r="AJ73">
            <v>8923.2000000000007</v>
          </cell>
          <cell r="AL73">
            <v>0</v>
          </cell>
          <cell r="AM73">
            <v>0</v>
          </cell>
          <cell r="AN73">
            <v>0</v>
          </cell>
          <cell r="AO73">
            <v>1572</v>
          </cell>
          <cell r="AP73">
            <v>8923.2000000000007</v>
          </cell>
          <cell r="AQ73">
            <v>0</v>
          </cell>
          <cell r="AR73">
            <v>10495.2</v>
          </cell>
          <cell r="AS73">
            <v>12</v>
          </cell>
          <cell r="AT73">
            <v>1572</v>
          </cell>
          <cell r="AU73">
            <v>1572</v>
          </cell>
          <cell r="AV73">
            <v>8923.2000000000007</v>
          </cell>
          <cell r="AX73">
            <v>0</v>
          </cell>
          <cell r="AY73">
            <v>10495.2</v>
          </cell>
        </row>
        <row r="74">
          <cell r="E74" t="str">
            <v>00071|Joachim|Popp</v>
          </cell>
          <cell r="F74" t="str">
            <v>Joachim Popp</v>
          </cell>
          <cell r="G74" t="str">
            <v>00071</v>
          </cell>
          <cell r="H74" t="str">
            <v>Sehr geehrter</v>
          </cell>
          <cell r="I74" t="str">
            <v>Herr</v>
          </cell>
          <cell r="J74" t="str">
            <v>Joachim</v>
          </cell>
          <cell r="K74" t="str">
            <v>Popp</v>
          </cell>
          <cell r="L74" t="str">
            <v>Philippstraße</v>
          </cell>
          <cell r="M74">
            <v>1</v>
          </cell>
          <cell r="N74" t="str">
            <v>09130</v>
          </cell>
          <cell r="O74" t="str">
            <v>Chemnitz</v>
          </cell>
          <cell r="Q74">
            <v>22177</v>
          </cell>
          <cell r="S74" t="str">
            <v>PG 2</v>
          </cell>
          <cell r="T74">
            <v>46023</v>
          </cell>
          <cell r="W74" t="str">
            <v>Ursula Ullmann</v>
          </cell>
          <cell r="Y74" t="str">
            <v>E094833149</v>
          </cell>
          <cell r="Z74" t="str">
            <v>AOK Bayern</v>
          </cell>
          <cell r="AA74">
            <v>108310400</v>
          </cell>
          <cell r="AD74">
            <v>38</v>
          </cell>
          <cell r="AE74">
            <v>38</v>
          </cell>
          <cell r="AF74">
            <v>42</v>
          </cell>
          <cell r="AG74" t="str">
            <v>Neu</v>
          </cell>
          <cell r="AH74">
            <v>0</v>
          </cell>
          <cell r="AI74">
            <v>0</v>
          </cell>
          <cell r="AJ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12</v>
          </cell>
          <cell r="AT74">
            <v>0</v>
          </cell>
          <cell r="AU74">
            <v>1572</v>
          </cell>
          <cell r="AV74">
            <v>3820.8</v>
          </cell>
          <cell r="AX74">
            <v>0</v>
          </cell>
          <cell r="AY74">
            <v>5392.8</v>
          </cell>
        </row>
        <row r="75">
          <cell r="E75" t="str">
            <v>00072|Gabriele|Schmuck</v>
          </cell>
          <cell r="F75" t="str">
            <v>Gabriele Schmuck</v>
          </cell>
          <cell r="G75" t="str">
            <v>00072</v>
          </cell>
          <cell r="H75" t="str">
            <v>Sehr geehrte</v>
          </cell>
          <cell r="I75" t="str">
            <v>Frau</v>
          </cell>
          <cell r="J75" t="str">
            <v>Gabriele</v>
          </cell>
          <cell r="K75" t="str">
            <v>Schmuck</v>
          </cell>
          <cell r="L75" t="str">
            <v>Robert-Siewert-Straße</v>
          </cell>
          <cell r="M75">
            <v>20</v>
          </cell>
          <cell r="N75" t="str">
            <v>09122</v>
          </cell>
          <cell r="O75" t="str">
            <v>Chemnitz</v>
          </cell>
          <cell r="Q75">
            <v>20013</v>
          </cell>
          <cell r="S75" t="str">
            <v>PG 2</v>
          </cell>
          <cell r="T75">
            <v>45992</v>
          </cell>
          <cell r="W75" t="str">
            <v>Anja Schäfer</v>
          </cell>
          <cell r="Y75" t="str">
            <v>E586290596</v>
          </cell>
          <cell r="Z75" t="str">
            <v>KKH</v>
          </cell>
          <cell r="AA75">
            <v>102171012</v>
          </cell>
          <cell r="AD75">
            <v>38</v>
          </cell>
          <cell r="AE75">
            <v>38</v>
          </cell>
          <cell r="AF75">
            <v>42</v>
          </cell>
          <cell r="AG75" t="str">
            <v>Neu</v>
          </cell>
          <cell r="AH75">
            <v>1</v>
          </cell>
          <cell r="AI75">
            <v>131</v>
          </cell>
          <cell r="AJ75">
            <v>318.40000000000003</v>
          </cell>
          <cell r="AL75">
            <v>0</v>
          </cell>
          <cell r="AM75">
            <v>0</v>
          </cell>
          <cell r="AN75">
            <v>0</v>
          </cell>
          <cell r="AO75">
            <v>131</v>
          </cell>
          <cell r="AP75">
            <v>318.40000000000003</v>
          </cell>
          <cell r="AQ75">
            <v>0</v>
          </cell>
          <cell r="AR75">
            <v>449.40000000000003</v>
          </cell>
          <cell r="AS75">
            <v>12</v>
          </cell>
          <cell r="AT75">
            <v>131</v>
          </cell>
          <cell r="AU75">
            <v>1572</v>
          </cell>
          <cell r="AV75">
            <v>3820.8</v>
          </cell>
          <cell r="AX75">
            <v>0</v>
          </cell>
          <cell r="AY75">
            <v>5392.8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:b:/g/personal/kontakt_seniorenengel-alltagsbegleitung_de/ETJgkaYELOVAsHGsV3x39FcBI2Y9QPLrW9dUNTDm4jOFlA%3fe=ZO4nRj" TargetMode="External"/><Relationship Id="rId299" Type="http://schemas.openxmlformats.org/officeDocument/2006/relationships/hyperlink" Target="../../../../:b:/g/personal/kontakt_seniorenengel-alltagsbegleitung_de/IQBd6uLqeIbqSYe6y_98uaI5AUAORkgo-_UWLlxoddJM3-0%3fe=ne8KHj" TargetMode="External"/><Relationship Id="rId21" Type="http://schemas.openxmlformats.org/officeDocument/2006/relationships/hyperlink" Target="../../../AppData/Roaming/Microsoft/Excel/04_Leistungsnachweise/202507_Helga_Dienelt.pdf" TargetMode="External"/><Relationship Id="rId63" Type="http://schemas.openxmlformats.org/officeDocument/2006/relationships/hyperlink" Target="../../../../:b:/g/personal/kontakt_seniorenengel-alltagsbegleitung_de/EewClDT3hWBCn9mJL3RL2jABJWyYehvtl01VJlNSNezDYA%3fe=t00E1y" TargetMode="External"/><Relationship Id="rId159" Type="http://schemas.openxmlformats.org/officeDocument/2006/relationships/hyperlink" Target="../../../../:b:/g/personal/kontakt_seniorenengel-alltagsbegleitung_de/ERwTV0teiX5GnSvZhkFqT80BhwRjd2pVXGcEm2uLTqPDug%3fe=xQM0ck" TargetMode="External"/><Relationship Id="rId324" Type="http://schemas.openxmlformats.org/officeDocument/2006/relationships/hyperlink" Target="../../../../:b:/g/personal/kontakt_seniorenengel-alltagsbegleitung_de/IQDrrDT93ZkoTqXJh90k1iP1AaNg2JJIYmTssE1Fygq6MwQ%3fe=gosh43" TargetMode="External"/><Relationship Id="rId366" Type="http://schemas.openxmlformats.org/officeDocument/2006/relationships/hyperlink" Target="../../../../../:b:/g/personal/kontakt_seniorenengel-alltagsbegleitung_de/IQCA4dfZZ3abTogcHSjKaudxAUvIcDS5oWQLCA0iHfZrT5w?e=axfUMZ" TargetMode="External"/><Relationship Id="rId170" Type="http://schemas.openxmlformats.org/officeDocument/2006/relationships/hyperlink" Target="../../../../:b:/g/personal/kontakt_seniorenengel-alltagsbegleitung_de/IQBLGo2exvapQJYZbF61RA8kAVI5VU-UbFYnQUY6OymfWfA%3fe=oRKczN" TargetMode="External"/><Relationship Id="rId226" Type="http://schemas.openxmlformats.org/officeDocument/2006/relationships/hyperlink" Target="../../../../:b:/g/personal/kontakt_seniorenengel-alltagsbegleitung_de/IQCZBf_ul_4iRJ0yzAvwuFpvAW3YoXGWXckR40r__NsuLQA%3fe=12IzWh" TargetMode="External"/><Relationship Id="rId433" Type="http://schemas.openxmlformats.org/officeDocument/2006/relationships/hyperlink" Target="../../../../../:i:/g/personal/kontakt_seniorenengel-alltagsbegleitung_de/IQCBNOWGHb-KRJNbtXJoe6ZTAT0CFibBAP_R6r8n8fZpQzo?e=MuDaFi" TargetMode="External"/><Relationship Id="rId268" Type="http://schemas.openxmlformats.org/officeDocument/2006/relationships/hyperlink" Target="../../../../:b:/g/personal/kontakt_seniorenengel-alltagsbegleitung_de/IQDCUetfJ1txQ7JWHmD5C-nHAWaugCjF0XNCSfPiGyHLwFY%3fe=FYa6Pi" TargetMode="External"/><Relationship Id="rId475" Type="http://schemas.openxmlformats.org/officeDocument/2006/relationships/hyperlink" Target="../../../../../:b:/g/personal/kontakt_seniorenengel-alltagsbegleitung_de/IQAUrYs8HyP2Sqxaa7tFoIX7AapCNcUMT76T094xnekSVCQ?e=yYj5GJ" TargetMode="External"/><Relationship Id="rId32" Type="http://schemas.openxmlformats.org/officeDocument/2006/relationships/hyperlink" Target="../../../AppData/Roaming/Microsoft/Excel/04_Leistungsnachweise/202507_Rita_Neubert.pdf" TargetMode="External"/><Relationship Id="rId74" Type="http://schemas.openxmlformats.org/officeDocument/2006/relationships/hyperlink" Target="../../../../:b:/g/personal/kontakt_seniorenengel-alltagsbegleitung_de/EavO49EOTclLroTZolP9F8gBrnlaQCGpc-8PyW9dRMMnEw%3fe=doOqnc" TargetMode="External"/><Relationship Id="rId128" Type="http://schemas.openxmlformats.org/officeDocument/2006/relationships/hyperlink" Target="../../../../:b:/g/personal/kontakt_seniorenengel-alltagsbegleitung_de/EXKFMUmg8R9JvspYCrVh0s4ByrYIaX0AeZuYeWYQ48Yc0Q%3fe=uofHeW" TargetMode="External"/><Relationship Id="rId335" Type="http://schemas.openxmlformats.org/officeDocument/2006/relationships/hyperlink" Target="../../../../:b:/g/personal/kontakt_seniorenengel-alltagsbegleitung_de/IQAEHDK7ENegT40um95_kHquARpQsC_hbECGpU1fFuFyOTo%3fe=YBlLta" TargetMode="External"/><Relationship Id="rId377" Type="http://schemas.openxmlformats.org/officeDocument/2006/relationships/hyperlink" Target="../../../../../:b:/g/personal/kontakt_seniorenengel-alltagsbegleitung_de/IQBqo7BLecIKRY8X0zaVvRHOAQoHChUHvxxptOGN6qFxiKw?e=6PuBao" TargetMode="External"/><Relationship Id="rId5" Type="http://schemas.openxmlformats.org/officeDocument/2006/relationships/hyperlink" Target="../../../AppData/Roaming/Microsoft/Excel/04_Leistungsnachweise/202506_Elke_Berghold.pdf" TargetMode="External"/><Relationship Id="rId181" Type="http://schemas.openxmlformats.org/officeDocument/2006/relationships/hyperlink" Target="../../../../:b:/g/personal/kontakt_seniorenengel-alltagsbegleitung_de/IQBm5bWd7tVsSZuSvVDv_JVFAXfvyZCXXXFaKsqT7h7k9vs%3fe=SwldQG" TargetMode="External"/><Relationship Id="rId237" Type="http://schemas.openxmlformats.org/officeDocument/2006/relationships/hyperlink" Target="../../../../:b:/g/personal/kontakt_seniorenengel-alltagsbegleitung_de/IQCyHshuGC_KQYexSWiVX71aASAKxSvET7VTTOv_W_k6deM%3fe=P1ckWE" TargetMode="External"/><Relationship Id="rId402" Type="http://schemas.openxmlformats.org/officeDocument/2006/relationships/hyperlink" Target="../../../../../:b:/g/personal/kontakt_seniorenengel-alltagsbegleitung_de/IQAXKa6OuLD7Qr_JX45t2B6OASFkL1okSbodQQ1MiUJPv3k?e=PckiIl" TargetMode="External"/><Relationship Id="rId279" Type="http://schemas.openxmlformats.org/officeDocument/2006/relationships/hyperlink" Target="../../../../:b:/g/personal/kontakt_seniorenengel-alltagsbegleitung_de/IQB2G2qTwFAYSZ4ctgIFz6i3AW5aOVUt7nbu1V2n22uxGZA%3fe=sPaQjB" TargetMode="External"/><Relationship Id="rId444" Type="http://schemas.openxmlformats.org/officeDocument/2006/relationships/hyperlink" Target="../../../../../:i:/g/personal/kontakt_seniorenengel-alltagsbegleitung_de/IQBH9scUMdPZT7N7kBmfL9ryAWSdFTs2oDu2_4FT-yEkjXM?e=HG40OJ" TargetMode="External"/><Relationship Id="rId486" Type="http://schemas.openxmlformats.org/officeDocument/2006/relationships/hyperlink" Target="../../../../../:i:/g/personal/kontakt_seniorenengel-alltagsbegleitung_de/IQCixgnTfzOPR5__EX9HUBr3AeFU2q5o0-LkjtBzrZXoFoI?e=k82267" TargetMode="External"/><Relationship Id="rId43" Type="http://schemas.openxmlformats.org/officeDocument/2006/relationships/hyperlink" Target="../../../../:i:/g/personal/kontakt_seniorenengel-alltagsbegleitung_de/EQSpqm2kkoZDoznqDevC1cwBpR05ouBNbs1I1__gjg__kA%3fe=vpMMUU" TargetMode="External"/><Relationship Id="rId139" Type="http://schemas.openxmlformats.org/officeDocument/2006/relationships/hyperlink" Target="../../../../:b:/g/personal/kontakt_seniorenengel-alltagsbegleitung_de/EUB7eQsGtlZHlwa6waQXFeMBibCUSTYbooHVtJ_pkK6KoQ%3fe=QZ4YD3" TargetMode="External"/><Relationship Id="rId290" Type="http://schemas.openxmlformats.org/officeDocument/2006/relationships/hyperlink" Target="../../../../:b:/g/personal/kontakt_seniorenengel-alltagsbegleitung_de/IQB65cp4o0ELRIEy2TONfLcSAS2bequii7ROyQ_LRjwDR2U%3fe=EsR0Wg" TargetMode="External"/><Relationship Id="rId304" Type="http://schemas.openxmlformats.org/officeDocument/2006/relationships/hyperlink" Target="../../../../:b:/g/personal/kontakt_seniorenengel-alltagsbegleitung_de/IQBd6uLqeIbqSYe6y_98uaI5AUAORkgo-_UWLlxoddJM3-0%3fe=ne8KHj" TargetMode="External"/><Relationship Id="rId346" Type="http://schemas.openxmlformats.org/officeDocument/2006/relationships/hyperlink" Target="../../../../../:i:/g/personal/kontakt_seniorenengel-alltagsbegleitung_de/IQCtotXMyhiyRrm6Ax4EjosEAYrhVOY7Tkw1ZsSIHjQWrEg?e=Bcg3ZG" TargetMode="External"/><Relationship Id="rId388" Type="http://schemas.openxmlformats.org/officeDocument/2006/relationships/hyperlink" Target="../../../../../:b:/g/personal/kontakt_seniorenengel-alltagsbegleitung_de/IQBMOD_Aja8nTbUFUflwH9dAAXiBzP3TJRzL4Tna02uBXEM?e=xSYsR9" TargetMode="External"/><Relationship Id="rId85" Type="http://schemas.openxmlformats.org/officeDocument/2006/relationships/hyperlink" Target="../../../../:b:/g/personal/kontakt_seniorenengel-alltagsbegleitung_de/EfLhYHClWbJKpCAYUSzS5zQBWFBw4Nq-iHroLFQGTtXF0w%3fe=1mqFd3" TargetMode="External"/><Relationship Id="rId150" Type="http://schemas.openxmlformats.org/officeDocument/2006/relationships/hyperlink" Target="../../../../:b:/g/personal/kontakt_seniorenengel-alltagsbegleitung_de/EfTIeF-ZSfBDq7x6DpcwB_gBPylYMYpHcHPtnLC4VxWS8A%3fe=ui4jtd" TargetMode="External"/><Relationship Id="rId192" Type="http://schemas.openxmlformats.org/officeDocument/2006/relationships/hyperlink" Target="../../../../:b:/g/personal/kontakt_seniorenengel-alltagsbegleitung_de/IQCe8ZSYELpnQ4F7QsqlHiNMAfr8X5xXeI47Rtszk3S07SA%3fe=6pXIgW" TargetMode="External"/><Relationship Id="rId206" Type="http://schemas.openxmlformats.org/officeDocument/2006/relationships/hyperlink" Target="../../../../:b:/g/personal/kontakt_seniorenengel-alltagsbegleitung_de/IQDKjZywIN_GTpX5Ae05oZoSAUM1WxvZ5kWRSbOkZM6eEXM%3fe=Te0d5h" TargetMode="External"/><Relationship Id="rId413" Type="http://schemas.openxmlformats.org/officeDocument/2006/relationships/hyperlink" Target="../../../../../:b:/g/personal/kontakt_seniorenengel-alltagsbegleitung_de/IQDcOnxFJnVPRpau6ZJBbathAagHXeRU69CR0D3Kpdot7Uc?e=cBqS0l" TargetMode="External"/><Relationship Id="rId248" Type="http://schemas.openxmlformats.org/officeDocument/2006/relationships/hyperlink" Target="../../../../:b:/g/personal/kontakt_seniorenengel-alltagsbegleitung_de/IQD2XjWoF09PQrszdWFRwOzSAfIoB4P1T9Q-dSYbmL5Ufaw%3fe=KgYBJY" TargetMode="External"/><Relationship Id="rId455" Type="http://schemas.openxmlformats.org/officeDocument/2006/relationships/hyperlink" Target="../../../../../:b:/g/personal/kontakt_seniorenengel-alltagsbegleitung_de/IQB-AOkTf0SLTJpfnLWgTBu1AROzCfUkuBf7TUQHiAxSDUc?e=0sqhYb" TargetMode="External"/><Relationship Id="rId12" Type="http://schemas.openxmlformats.org/officeDocument/2006/relationships/hyperlink" Target="../../../AppData/Roaming/Microsoft/Excel/04_Leistungsnachweise/202507_2_Inge_Leupold.pdf" TargetMode="External"/><Relationship Id="rId108" Type="http://schemas.openxmlformats.org/officeDocument/2006/relationships/hyperlink" Target="../../../../:b:/g/personal/kontakt_seniorenengel-alltagsbegleitung_de/Eal0nBFEaYlHuhNBb1H8OWYB8VwpPIdh5gSKtfFgXp1joA%3fe=cSs2ta" TargetMode="External"/><Relationship Id="rId315" Type="http://schemas.openxmlformats.org/officeDocument/2006/relationships/hyperlink" Target="../../../../:i:/g/personal/kontakt_seniorenengel-alltagsbegleitung_de/IQCc954blbsjRJsNcXoBq_1lAVEm0vT4AY9oR1X-RkCjzFE%3fe=mAO4rv" TargetMode="External"/><Relationship Id="rId357" Type="http://schemas.openxmlformats.org/officeDocument/2006/relationships/hyperlink" Target="../../../../../:b:/g/personal/kontakt_seniorenengel-alltagsbegleitung_de/IQAt7lNJTMYyRqE3KcyvlEEUAaeJ3GX-TmlDAoHunv00t6g?e=lDotk3" TargetMode="External"/><Relationship Id="rId54" Type="http://schemas.openxmlformats.org/officeDocument/2006/relationships/hyperlink" Target="../../../../:i:/g/personal/kontakt_seniorenengel-alltagsbegleitung_de/Ed8DRhRSdhhJrmPyoEmpjdMBlfHEWjsR18yN5-r6bkqiMQ%3fe=0SuNRJ" TargetMode="External"/><Relationship Id="rId96" Type="http://schemas.openxmlformats.org/officeDocument/2006/relationships/hyperlink" Target="../../../../:b:/g/personal/kontakt_seniorenengel-alltagsbegleitung_de/EfzVNr5CkMZGh8comH_jwGMBYnGC8Xmc9c22Tpy7PChuJg%3fe=HWQxxb" TargetMode="External"/><Relationship Id="rId161" Type="http://schemas.openxmlformats.org/officeDocument/2006/relationships/hyperlink" Target="../../../../:b:/g/personal/kontakt_seniorenengel-alltagsbegleitung_de/EUy5P77TE5REnDtFJ86VIRcB0uPP8T-F-ovVrw2zGNgYog%3fe=yMrWtP" TargetMode="External"/><Relationship Id="rId217" Type="http://schemas.openxmlformats.org/officeDocument/2006/relationships/hyperlink" Target="../../../../:b:/g/personal/kontakt_seniorenengel-alltagsbegleitung_de/IQDHSxpbrZbuT6HIE2dsQnBmAZDOdvUek7CrgHbe8-z6jFw%3fe=24VfiD" TargetMode="External"/><Relationship Id="rId399" Type="http://schemas.openxmlformats.org/officeDocument/2006/relationships/hyperlink" Target="../../../../../:b:/g/personal/kontakt_seniorenengel-alltagsbegleitung_de/IQCHKyv-0B6GQp4PS--ya0LTAc6IkqrcWshfGIMvyBDumzw?e=KmLKqF" TargetMode="External"/><Relationship Id="rId259" Type="http://schemas.openxmlformats.org/officeDocument/2006/relationships/hyperlink" Target="../../../../:b:/g/personal/kontakt_seniorenengel-alltagsbegleitung_de/IQBQlqQLj9q5S7DU1S9SgnHrAQEbgjDY6xz7arMU_Y3ChDA%3fe=3iYAhr" TargetMode="External"/><Relationship Id="rId424" Type="http://schemas.openxmlformats.org/officeDocument/2006/relationships/hyperlink" Target="../../../../../:b:/g/personal/kontakt_seniorenengel-alltagsbegleitung_de/IQClXlSh2w-QSJmV_kHuzdBBASlVAob65XNc6wPeIcz64hc?e=YWYH6B" TargetMode="External"/><Relationship Id="rId466" Type="http://schemas.openxmlformats.org/officeDocument/2006/relationships/hyperlink" Target="../../../../../:b:/g/personal/kontakt_seniorenengel-alltagsbegleitung_de/IQCTVNcFN8yKQLXSQzXx0fPzAYq1JnZmYm4rCnEhqNvI7xY?e=HpBvpO" TargetMode="External"/><Relationship Id="rId23" Type="http://schemas.openxmlformats.org/officeDocument/2006/relationships/hyperlink" Target="../../../AppData/Roaming/Microsoft/Excel/04_Leistungsnachweise/202507_Hella_Rei&#223;ig.pdf" TargetMode="External"/><Relationship Id="rId119" Type="http://schemas.openxmlformats.org/officeDocument/2006/relationships/hyperlink" Target="../../../../:b:/g/personal/kontakt_seniorenengel-alltagsbegleitung_de/EbFvejJdS3VCrwYu1s41gssBeolVmvilkq8SLUMM0ropYQ%3fe=JVd7Kv" TargetMode="External"/><Relationship Id="rId270" Type="http://schemas.openxmlformats.org/officeDocument/2006/relationships/hyperlink" Target="../../../../:b:/g/personal/kontakt_seniorenengel-alltagsbegleitung_de/IQClnWnB8r-dQa5oN-lbJaVnAZy4Z1SCrrORlVLrIgT7osU%3fe=koQQ60" TargetMode="External"/><Relationship Id="rId326" Type="http://schemas.openxmlformats.org/officeDocument/2006/relationships/hyperlink" Target="../../../../:b:/g/personal/kontakt_seniorenengel-alltagsbegleitung_de/IQDjB559uWz0TqvuVEhd6BMvAZEbDPhYHiYNTdjiepHH1B8%3fe=bSHVgO" TargetMode="External"/><Relationship Id="rId65" Type="http://schemas.openxmlformats.org/officeDocument/2006/relationships/hyperlink" Target="../../../../:b:/g/personal/kontakt_seniorenengel-alltagsbegleitung_de/EZnGPzJmqxdOjTFngBhM5KABe0xuot1CuYr-4-MOEzW8JA%3fe=HJk5aH" TargetMode="External"/><Relationship Id="rId130" Type="http://schemas.openxmlformats.org/officeDocument/2006/relationships/hyperlink" Target="../../../../:b:/g/personal/kontakt_seniorenengel-alltagsbegleitung_de/ES3Czn5WwBJLgMvWY7HGNyEBkkzyLZGEUpUqfumLmgRMOA%3fe=ehv8KH" TargetMode="External"/><Relationship Id="rId368" Type="http://schemas.openxmlformats.org/officeDocument/2006/relationships/hyperlink" Target="../../../../../:b:/g/personal/kontakt_seniorenengel-alltagsbegleitung_de/IQCEjl2CEpGWRJa8NoY607fbAR8MR5OSjHorxnkjjeXe7iQ?e=LlXQ9X" TargetMode="External"/><Relationship Id="rId172" Type="http://schemas.openxmlformats.org/officeDocument/2006/relationships/hyperlink" Target="../../../../:b:/g/personal/kontakt_seniorenengel-alltagsbegleitung_de/IQDMIqKAEpxlRLdPio6q69ADAd6UJTc21cNTuiME8Qtth0A%3fe=2JX7gh" TargetMode="External"/><Relationship Id="rId228" Type="http://schemas.openxmlformats.org/officeDocument/2006/relationships/hyperlink" Target="../../../../:b:/g/personal/kontakt_seniorenengel-alltagsbegleitung_de/IQDSBXL7WzwvR7wKqoCB8PI2AfU9R7QoNykJotVWnElU5g8%3fe=R52UXH" TargetMode="External"/><Relationship Id="rId435" Type="http://schemas.openxmlformats.org/officeDocument/2006/relationships/hyperlink" Target="../../../../../:b:/g/personal/kontakt_seniorenengel-alltagsbegleitung_de/IQCQUsdNhcpfTLBRnQgR0tXOAbOcfdyWsYoi3nNtVipieF4?e=JI537s" TargetMode="External"/><Relationship Id="rId477" Type="http://schemas.openxmlformats.org/officeDocument/2006/relationships/hyperlink" Target="../../../../../:b:/g/personal/kontakt_seniorenengel-alltagsbegleitung_de/IQAUrYs8HyP2Sqxaa7tFoIX7AapCNcUMT76T094xnekSVCQ?e=yYj5GJ" TargetMode="External"/><Relationship Id="rId281" Type="http://schemas.openxmlformats.org/officeDocument/2006/relationships/hyperlink" Target="../../../../:b:/g/personal/kontakt_seniorenengel-alltagsbegleitung_de/IQBNZJ32L3pOSqmxLc8s2Z4-AazrogdfB2HkNTZzFvTN3y4%3fe=sS0RIf" TargetMode="External"/><Relationship Id="rId337" Type="http://schemas.openxmlformats.org/officeDocument/2006/relationships/hyperlink" Target="../../../../:b:/g/personal/kontakt_seniorenengel-alltagsbegleitung_de/IQDXvMAmbRyFTaz5vdVeK_uQATDOSLLP_JzdZCliM1_PzEI%3fe=mWL8bA" TargetMode="External"/><Relationship Id="rId34" Type="http://schemas.openxmlformats.org/officeDocument/2006/relationships/hyperlink" Target="../../../../:i:/g/personal/kontakt_seniorenengel-alltagsbegleitung_de/EcHOvTsfq91Aqk0Iw50raq4BWs2OLpIEWruJFbErRr2XWw%3fe=Vd1CVV" TargetMode="External"/><Relationship Id="rId76" Type="http://schemas.openxmlformats.org/officeDocument/2006/relationships/hyperlink" Target="../../../../:b:/g/personal/kontakt_seniorenengel-alltagsbegleitung_de/EavO49EOTclLroTZolP9F8gBrnlaQCGpc-8PyW9dRMMnEw%3fe=doOqnc" TargetMode="External"/><Relationship Id="rId141" Type="http://schemas.openxmlformats.org/officeDocument/2006/relationships/hyperlink" Target="../../../../:b:/g/personal/kontakt_seniorenengel-alltagsbegleitung_de/EXeuwGccOkpFk3PHRnbtnfcBgadNZunU6b5_2JRTvhzZcg%3fe=DtDWtF" TargetMode="External"/><Relationship Id="rId379" Type="http://schemas.openxmlformats.org/officeDocument/2006/relationships/hyperlink" Target="../../../../../:b:/g/personal/kontakt_seniorenengel-alltagsbegleitung_de/IQBqo7BLecIKRY8X0zaVvRHOAQoHChUHvxxptOGN6qFxiKw?e=6PuBao" TargetMode="External"/><Relationship Id="rId7" Type="http://schemas.openxmlformats.org/officeDocument/2006/relationships/hyperlink" Target="../../../AppData/Roaming/Microsoft/Excel/04_Leistungsnachweise/202506_Elke_Berghold.pdf" TargetMode="External"/><Relationship Id="rId183" Type="http://schemas.openxmlformats.org/officeDocument/2006/relationships/hyperlink" Target="../../../../:b:/g/personal/kontakt_seniorenengel-alltagsbegleitung_de/IQBm5bWd7tVsSZuSvVDv_JVFAXfvyZCXXXFaKsqT7h7k9vs%3fe=SwldQG" TargetMode="External"/><Relationship Id="rId239" Type="http://schemas.openxmlformats.org/officeDocument/2006/relationships/hyperlink" Target="../../../../:b:/g/personal/kontakt_seniorenengel-alltagsbegleitung_de/IQBq6oM8IXIITbzjFcb_AflrAWplxwfECgfX4wZa0ZEKdC0%3fe=nMzGu7" TargetMode="External"/><Relationship Id="rId390" Type="http://schemas.openxmlformats.org/officeDocument/2006/relationships/hyperlink" Target="../../../../../:b:/g/personal/kontakt_seniorenengel-alltagsbegleitung_de/IQCS1DneENVzSZyvdEUMPpEQAR63uZl0-MmclIQobRiPCuc?e=XmDb6o" TargetMode="External"/><Relationship Id="rId404" Type="http://schemas.openxmlformats.org/officeDocument/2006/relationships/hyperlink" Target="../../../../../:b:/g/personal/kontakt_seniorenengel-alltagsbegleitung_de/IQDw68IGywRJSZYNwQeF5SksAdP3yxFt1wVWlQfUB4LCmy8?e=q21mcm" TargetMode="External"/><Relationship Id="rId446" Type="http://schemas.openxmlformats.org/officeDocument/2006/relationships/hyperlink" Target="../../../../../:i:/g/personal/kontakt_seniorenengel-alltagsbegleitung_de/IQB4ZVD1NKYvQb6Jo8i3IVsgAXUuqrPLyTjtHt6MYuAVZX8?e=K7zufD" TargetMode="External"/><Relationship Id="rId250" Type="http://schemas.openxmlformats.org/officeDocument/2006/relationships/hyperlink" Target="../../../../:b:/g/personal/kontakt_seniorenengel-alltagsbegleitung_de/IQCNZ28HByvoT7e0danDqWlHAfHD5w_O-DAFrlCk7Y06k-g%3fe=8ejHxF" TargetMode="External"/><Relationship Id="rId292" Type="http://schemas.openxmlformats.org/officeDocument/2006/relationships/hyperlink" Target="../../../../:b:/g/personal/kontakt_seniorenengel-alltagsbegleitung_de/IQDoSLyuEV6LSKTvo8rCE1i3Ae_d3JkSxhDdwXmgaDt9O-U%3fe=fnkjFM" TargetMode="External"/><Relationship Id="rId306" Type="http://schemas.openxmlformats.org/officeDocument/2006/relationships/hyperlink" Target="../../../../:i:/g/personal/kontakt_seniorenengel-alltagsbegleitung_de/IQATHjHnmeD4Q78UbtMLlOOSATPohGyKQdrN6QpQP_gnsZg%3fe=Yc705X" TargetMode="External"/><Relationship Id="rId488" Type="http://schemas.openxmlformats.org/officeDocument/2006/relationships/hyperlink" Target="../../../../../:i:/g/personal/kontakt_seniorenengel-alltagsbegleitung_de/IQCixgnTfzOPR5__EX9HUBr3AeFU2q5o0-LkjtBzrZXoFoI?e=k82267" TargetMode="External"/><Relationship Id="rId45" Type="http://schemas.openxmlformats.org/officeDocument/2006/relationships/hyperlink" Target="../../../../:b:/g/personal/kontakt_seniorenengel-alltagsbegleitung_de/Eaus-48kxu5Oopzja9375d8BUQFQubSmPR3UgkBbn8g87w%3fe=4hJgFK" TargetMode="External"/><Relationship Id="rId87" Type="http://schemas.openxmlformats.org/officeDocument/2006/relationships/hyperlink" Target="../../../../:b:/g/personal/kontakt_seniorenengel-alltagsbegleitung_de/EfLhYHClWbJKpCAYUSzS5zQBWFBw4Nq-iHroLFQGTtXF0w%3fe=1mqFd3" TargetMode="External"/><Relationship Id="rId110" Type="http://schemas.openxmlformats.org/officeDocument/2006/relationships/hyperlink" Target="../../../../:b:/g/personal/kontakt_seniorenengel-alltagsbegleitung_de/EZi7YksPwDhOu4Rw8gaZPgAB3IqBXwSx8pYV3jv5ZNHbaw%3fe=N6N3If" TargetMode="External"/><Relationship Id="rId348" Type="http://schemas.openxmlformats.org/officeDocument/2006/relationships/hyperlink" Target="../../../../../:i:/g/personal/kontakt_seniorenengel-alltagsbegleitung_de/IQDLOdWWaGzTT6EGGHIcVaPzAeRnrDKeQDHRHABW4u6cmDU?e=Pu6PKm" TargetMode="External"/><Relationship Id="rId152" Type="http://schemas.openxmlformats.org/officeDocument/2006/relationships/hyperlink" Target="../../../../:b:/g/personal/kontakt_seniorenengel-alltagsbegleitung_de/EfCM5iMOqbxBsuBpDODGVUYB2FSEvkJ78ZBHwfY0nCLxGA%3fe=4U6Ogb" TargetMode="External"/><Relationship Id="rId194" Type="http://schemas.openxmlformats.org/officeDocument/2006/relationships/hyperlink" Target="../../../../:b:/g/personal/kontakt_seniorenengel-alltagsbegleitung_de/IQCeuiJKKsgRSaO6CODxo4FpAeV0RgdYxP8rhBmR1K4EMmc%3fe=v3aTzc" TargetMode="External"/><Relationship Id="rId208" Type="http://schemas.openxmlformats.org/officeDocument/2006/relationships/hyperlink" Target="../../../../:b:/g/personal/kontakt_seniorenengel-alltagsbegleitung_de/IQBtTvXO-BEiT7kaa0A4XmtnAVqxZsl9YdcdoJdCXzmgSUg%3fe=W0lKk1" TargetMode="External"/><Relationship Id="rId415" Type="http://schemas.openxmlformats.org/officeDocument/2006/relationships/hyperlink" Target="../../../../../:b:/g/personal/kontakt_seniorenengel-alltagsbegleitung_de/IQDcOnxFJnVPRpau6ZJBbathAagHXeRU69CR0D3Kpdot7Uc?e=cBqS0l" TargetMode="External"/><Relationship Id="rId457" Type="http://schemas.openxmlformats.org/officeDocument/2006/relationships/hyperlink" Target="../../../../../:b:/g/personal/kontakt_seniorenengel-alltagsbegleitung_de/IQB-AOkTf0SLTJpfnLWgTBu1AROzCfUkuBf7TUQHiAxSDUc?e=0sqhYb" TargetMode="External"/><Relationship Id="rId261" Type="http://schemas.openxmlformats.org/officeDocument/2006/relationships/hyperlink" Target="../../../../:b:/g/personal/kontakt_seniorenengel-alltagsbegleitung_de/IQAXyOrziYVSTZ7jv9QPxjreAeeXZMdwtccVBuR9ShySWlw%3fe=lxgSiE" TargetMode="External"/><Relationship Id="rId14" Type="http://schemas.openxmlformats.org/officeDocument/2006/relationships/hyperlink" Target="../../../AppData/Roaming/Microsoft/Excel/04_Leistungsnachweise/202507_Dieter_Kraft.pdf" TargetMode="External"/><Relationship Id="rId56" Type="http://schemas.openxmlformats.org/officeDocument/2006/relationships/hyperlink" Target="../../../../:b:/g/personal/kontakt_seniorenengel-alltagsbegleitung_de/Efe95BeB0UZGhJxX1NMcP5sBogQA-q08AGlXCAPXryVsPg%3fe=OXjaQg" TargetMode="External"/><Relationship Id="rId317" Type="http://schemas.openxmlformats.org/officeDocument/2006/relationships/hyperlink" Target="../../../../:b:/g/personal/kontakt_seniorenengel-alltagsbegleitung_de/IQC_GGdZOqAIS7K8Kn0HOBRxAb6x_KiP8dSs_tWoAptZgMY%3fe=QP5Zja" TargetMode="External"/><Relationship Id="rId359" Type="http://schemas.openxmlformats.org/officeDocument/2006/relationships/hyperlink" Target="../../../../../:b:/g/personal/kontakt_seniorenengel-alltagsbegleitung_de/IQAvyvU7HEF7SKnYLXIvVKHWAf_R04vVg_IMmKNaXnmq2Qw?e=pRQH6f" TargetMode="External"/><Relationship Id="rId98" Type="http://schemas.openxmlformats.org/officeDocument/2006/relationships/hyperlink" Target="../../../../:b:/g/personal/kontakt_seniorenengel-alltagsbegleitung_de/EfzVNr5CkMZGh8comH_jwGMBYnGC8Xmc9c22Tpy7PChuJg%3fe=HWQxxb" TargetMode="External"/><Relationship Id="rId121" Type="http://schemas.openxmlformats.org/officeDocument/2006/relationships/hyperlink" Target="../../../../:b:/g/personal/kontakt_seniorenengel-alltagsbegleitung_de/EQX3m628LhZEpZfxxv6xImIBOMXg_e2hqFEXI-kKi77THg%3fe=dxS7yO" TargetMode="External"/><Relationship Id="rId163" Type="http://schemas.openxmlformats.org/officeDocument/2006/relationships/hyperlink" Target="../../../../:b:/g/personal/kontakt_seniorenengel-alltagsbegleitung_de/EX5njxX7uitCrAXrKEfL1sEB2B1V9Uo4SiT4jP8CHbAP4g%3fe=SaVnE8" TargetMode="External"/><Relationship Id="rId219" Type="http://schemas.openxmlformats.org/officeDocument/2006/relationships/hyperlink" Target="../../../../:b:/g/personal/kontakt_seniorenengel-alltagsbegleitung_de/IQDHSxpbrZbuT6HIE2dsQnBmAZDOdvUek7CrgHbe8-z6jFw%3fe=24VfiD" TargetMode="External"/><Relationship Id="rId370" Type="http://schemas.openxmlformats.org/officeDocument/2006/relationships/hyperlink" Target="../../../../../:b:/g/personal/kontakt_seniorenengel-alltagsbegleitung_de/IQBQNl81aPM1TbOanqCSY0bpAdE2RY29rl6bDQ53b2_2gIQ?e=vN4Zg5" TargetMode="External"/><Relationship Id="rId426" Type="http://schemas.openxmlformats.org/officeDocument/2006/relationships/hyperlink" Target="../../../../../:b:/g/personal/kontakt_seniorenengel-alltagsbegleitung_de/IQClXlSh2w-QSJmV_kHuzdBBASlVAob65XNc6wPeIcz64hc?e=YWYH6B" TargetMode="External"/><Relationship Id="rId230" Type="http://schemas.openxmlformats.org/officeDocument/2006/relationships/hyperlink" Target="../../../../:i:/g/personal/kontakt_seniorenengel-alltagsbegleitung_de/IQAgkUmLB_u0QrgXAUVITJA-AfAacf1P8uZYYa0oYGAXzjw%3fe=kOLxxZ" TargetMode="External"/><Relationship Id="rId468" Type="http://schemas.openxmlformats.org/officeDocument/2006/relationships/hyperlink" Target="../../../../../:b:/g/personal/kontakt_seniorenengel-alltagsbegleitung_de/IQAkyMWiq-caTodltgNg4BKPAf-Ikz72z2y-7GyEzc0S1eo?e=OEMe76" TargetMode="External"/><Relationship Id="rId25" Type="http://schemas.openxmlformats.org/officeDocument/2006/relationships/hyperlink" Target="../../../AppData/Roaming/Microsoft/Excel/04_Leistungsnachweise/202507_Hella_Rei&#223;ig.pdf" TargetMode="External"/><Relationship Id="rId67" Type="http://schemas.openxmlformats.org/officeDocument/2006/relationships/hyperlink" Target="../../../../:b:/g/personal/kontakt_seniorenengel-alltagsbegleitung_de/EZnGPzJmqxdOjTFngBhM5KABe0xuot1CuYr-4-MOEzW8JA%3fe=HJk5aH" TargetMode="External"/><Relationship Id="rId272" Type="http://schemas.openxmlformats.org/officeDocument/2006/relationships/hyperlink" Target="../../../../:b:/g/personal/kontakt_seniorenengel-alltagsbegleitung_de/IQBkn2PAjai6Ra-QXO9oAH6mAfPIim7Lx6xNpHKjA4UOfKY%3fe=mrUur7" TargetMode="External"/><Relationship Id="rId328" Type="http://schemas.openxmlformats.org/officeDocument/2006/relationships/hyperlink" Target="../../../../:b:/g/personal/kontakt_seniorenengel-alltagsbegleitung_de/IQAabXtjyxD-RZYUcsVjWwhqAb-GO4Ei8IKD1ouSbYiQRO4%3fe=e3gqCT" TargetMode="External"/><Relationship Id="rId132" Type="http://schemas.openxmlformats.org/officeDocument/2006/relationships/hyperlink" Target="../../../../:b:/g/personal/kontakt_seniorenengel-alltagsbegleitung_de/EebKdvHvNlhNjJLxjurLo4MB7JrptAwo6Z2iYYdhXvxd_A%3fe=WZKF57" TargetMode="External"/><Relationship Id="rId174" Type="http://schemas.openxmlformats.org/officeDocument/2006/relationships/hyperlink" Target="../../../../:b:/g/personal/kontakt_seniorenengel-alltagsbegleitung_de/IQBOS3eXst0wQYD0p-X5m-8CAUQTt-Xq7ndp258GlfPVCcg%3fe=Bp63iK" TargetMode="External"/><Relationship Id="rId381" Type="http://schemas.openxmlformats.org/officeDocument/2006/relationships/hyperlink" Target="../../../../../:b:/g/personal/kontakt_seniorenengel-alltagsbegleitung_de/IQBqo7BLecIKRY8X0zaVvRHOAQoHChUHvxxptOGN6qFxiKw?e=6PuBao" TargetMode="External"/><Relationship Id="rId241" Type="http://schemas.openxmlformats.org/officeDocument/2006/relationships/hyperlink" Target="../../../../:b:/g/personal/kontakt_seniorenengel-alltagsbegleitung_de/IQBuTr_xX13jQqoeYORS12SUAaO0aQ46LZqDjpgpbVVQ4bw%3fe=YwjRXO" TargetMode="External"/><Relationship Id="rId437" Type="http://schemas.openxmlformats.org/officeDocument/2006/relationships/hyperlink" Target="../../../../../:b:/g/personal/kontakt_seniorenengel-alltagsbegleitung_de/IQCQUsdNhcpfTLBRnQgR0tXOAbOcfdyWsYoi3nNtVipieF4?e=JI537s" TargetMode="External"/><Relationship Id="rId479" Type="http://schemas.openxmlformats.org/officeDocument/2006/relationships/hyperlink" Target="../../../../../:b:/g/personal/kontakt_seniorenengel-alltagsbegleitung_de/IQAqHNGn51VoQ4n-Qs-1AiXAAW0I8aBJanZgOtAI1JsZujE?e=85CI96" TargetMode="External"/><Relationship Id="rId36" Type="http://schemas.openxmlformats.org/officeDocument/2006/relationships/hyperlink" Target="../../../../:i:/g/personal/kontakt_seniorenengel-alltagsbegleitung_de/EQgfS0V3DIJDqxA9fKe8IeABwRqJOYPfZrjzK5sJQjet7A%3fe=GxXw7R" TargetMode="External"/><Relationship Id="rId283" Type="http://schemas.openxmlformats.org/officeDocument/2006/relationships/hyperlink" Target="../../../../:b:/g/personal/kontakt_seniorenengel-alltagsbegleitung_de/IQBNZJ32L3pOSqmxLc8s2Z4-AazrogdfB2HkNTZzFvTN3y4%3fe=7bHpMo" TargetMode="External"/><Relationship Id="rId339" Type="http://schemas.openxmlformats.org/officeDocument/2006/relationships/hyperlink" Target="../../../../:b:/g/personal/kontakt_seniorenengel-alltagsbegleitung_de/IQDXvMAmbRyFTaz5vdVeK_uQATDOSLLP_JzdZCliM1_PzEI%3fe=mWL8bA" TargetMode="External"/><Relationship Id="rId490" Type="http://schemas.openxmlformats.org/officeDocument/2006/relationships/hyperlink" Target="../../../../../:b:/g/personal/kontakt_seniorenengel-alltagsbegleitung_de/IQDVoxtB0cpKS6HHn9tgd2x1AYRNIa9YWwovusFtCdum8Nw?e=vWf2ln" TargetMode="External"/><Relationship Id="rId78" Type="http://schemas.openxmlformats.org/officeDocument/2006/relationships/hyperlink" Target="../../../../:b:/g/personal/kontakt_seniorenengel-alltagsbegleitung_de/EavO49EOTclLroTZolP9F8gBrnlaQCGpc-8PyW9dRMMnEw%3fe=doOqnc" TargetMode="External"/><Relationship Id="rId101" Type="http://schemas.openxmlformats.org/officeDocument/2006/relationships/hyperlink" Target="../../../../:b:/g/personal/kontakt_seniorenengel-alltagsbegleitung_de/EfJBx67lMd9Hv3BjiOjuBqgBvnxRPYiD9na1J4rJbacvOQ%3fe=f09Con" TargetMode="External"/><Relationship Id="rId143" Type="http://schemas.openxmlformats.org/officeDocument/2006/relationships/hyperlink" Target="../../../../:b:/g/personal/kontakt_seniorenengel-alltagsbegleitung_de/EXeuwGccOkpFk3PHRnbtnfcBgadNZunU6b5_2JRTvhzZcg%3fe=DtDWtF" TargetMode="External"/><Relationship Id="rId185" Type="http://schemas.openxmlformats.org/officeDocument/2006/relationships/hyperlink" Target="../../../../:b:/g/personal/kontakt_seniorenengel-alltagsbegleitung_de/IQD7-rf-MFG5TJ-ZEBC8a9PKAaDez2UTnh9LX1y8HD4PAl0%3fe=xTenlX" TargetMode="External"/><Relationship Id="rId350" Type="http://schemas.openxmlformats.org/officeDocument/2006/relationships/hyperlink" Target="../../../../../:i:/g/personal/kontakt_seniorenengel-alltagsbegleitung_de/IQAK1cjpdYsrQoD9LqlkiA7QAUVyHbuhSMLsABvP9CCfv5s?e=g0xhju" TargetMode="External"/><Relationship Id="rId406" Type="http://schemas.openxmlformats.org/officeDocument/2006/relationships/hyperlink" Target="../../../../../:b:/g/personal/kontakt_seniorenengel-alltagsbegleitung_de/IQBAIw-DJvhEQZSXCY2LlIi4AXo2SOgD934NF5F5IS_NYNs?e=qbWPFN" TargetMode="External"/><Relationship Id="rId9" Type="http://schemas.openxmlformats.org/officeDocument/2006/relationships/hyperlink" Target="../../../AppData/Roaming/Microsoft/Excel/04_Leistungsnachweise/202506_Martin_Schmidt.pdf" TargetMode="External"/><Relationship Id="rId210" Type="http://schemas.openxmlformats.org/officeDocument/2006/relationships/hyperlink" Target="../../../../:b:/g/personal/kontakt_seniorenengel-alltagsbegleitung_de/IQDOG4KD0xmmRZYsD-EHdvNeAfXMWnF0h_xeNplMk-KBvUw%3fe=n8kybh" TargetMode="External"/><Relationship Id="rId392" Type="http://schemas.openxmlformats.org/officeDocument/2006/relationships/hyperlink" Target="../../../../../:b:/g/personal/kontakt_seniorenengel-alltagsbegleitung_de/IQCS1DneENVzSZyvdEUMPpEQAR63uZl0-MmclIQobRiPCuc?e=XmDb6o" TargetMode="External"/><Relationship Id="rId448" Type="http://schemas.openxmlformats.org/officeDocument/2006/relationships/hyperlink" Target="../../../../../:i:/g/personal/kontakt_seniorenengel-alltagsbegleitung_de/IQBH9scUMdPZT7N7kBmfL9ryAWSdFTs2oDu2_4FT-yEkjXM?e=HG40OJ" TargetMode="External"/><Relationship Id="rId252" Type="http://schemas.openxmlformats.org/officeDocument/2006/relationships/hyperlink" Target="../../../../:b:/g/personal/kontakt_seniorenengel-alltagsbegleitung_de/IQCtdmihvqd9SJ0_6Xu6LZmQAe69WDrDM_oukodrPtNU8dM%3fe=6rnGEh" TargetMode="External"/><Relationship Id="rId294" Type="http://schemas.openxmlformats.org/officeDocument/2006/relationships/hyperlink" Target="../../../../:b:/g/personal/kontakt_seniorenengel-alltagsbegleitung_de/IQDKDjS84pOCR4YipVORXy-zAXgoZSPkXdht0p3ZEXc6St8%3fe=P3bhOE" TargetMode="External"/><Relationship Id="rId308" Type="http://schemas.openxmlformats.org/officeDocument/2006/relationships/hyperlink" Target="../../../../:i:/g/personal/kontakt_seniorenengel-alltagsbegleitung_de/IQATHjHnmeD4Q78UbtMLlOOSATPohGyKQdrN6QpQP_gnsZg%3fe=Yc705X" TargetMode="External"/><Relationship Id="rId47" Type="http://schemas.openxmlformats.org/officeDocument/2006/relationships/hyperlink" Target="../../../../:b:/g/personal/kontakt_seniorenengel-alltagsbegleitung_de/Eaus-48kxu5Oopzja9375d8BUQFQubSmPR3UgkBbn8g87w%3fe=4hJgFK" TargetMode="External"/><Relationship Id="rId89" Type="http://schemas.openxmlformats.org/officeDocument/2006/relationships/hyperlink" Target="../../../../:b:/g/personal/kontakt_seniorenengel-alltagsbegleitung_de/EVDjNce6ry5BtV4sto3BopwBHRhLj8hHclVVN_x7p2JSPg%3fe=X2oqgL" TargetMode="External"/><Relationship Id="rId112" Type="http://schemas.openxmlformats.org/officeDocument/2006/relationships/hyperlink" Target="../../../../:b:/g/personal/kontakt_seniorenengel-alltagsbegleitung_de/EaqZRiuhUr5AifdNeh-_PaIBAkmfp1e0JCVjoQ3G0j7jIg%3fe=zKRYmZ" TargetMode="External"/><Relationship Id="rId154" Type="http://schemas.openxmlformats.org/officeDocument/2006/relationships/hyperlink" Target="../../../../:b:/g/personal/kontakt_seniorenengel-alltagsbegleitung_de/EfPd1dN8WYBJgbuljhwyJ5UBOE93mT1e9XKvj7D-2iJExQ%3fe=94kiIX" TargetMode="External"/><Relationship Id="rId361" Type="http://schemas.openxmlformats.org/officeDocument/2006/relationships/hyperlink" Target="../../../../../:b:/g/personal/kontakt_seniorenengel-alltagsbegleitung_de/IQC0Uf2jGv1aSpqRBInq9mcYAT4QpNRzC-Qj60L51Quvm0A?e=pS2bRk" TargetMode="External"/><Relationship Id="rId196" Type="http://schemas.openxmlformats.org/officeDocument/2006/relationships/hyperlink" Target="../../../../:b:/g/personal/kontakt_seniorenengel-alltagsbegleitung_de/IQAecBE9HcXKRbsQkU3n7ydpAXvDjRzTB7ka6OBl3DbPqgM%3fe=0HNGW2" TargetMode="External"/><Relationship Id="rId417" Type="http://schemas.openxmlformats.org/officeDocument/2006/relationships/hyperlink" Target="../../../../../:b:/g/personal/kontakt_seniorenengel-alltagsbegleitung_de/IQAi3nGPB4GxR54BXnmiv9jfAb4W_5ECtY6XmeROohQcUGA?e=21GZYG" TargetMode="External"/><Relationship Id="rId459" Type="http://schemas.openxmlformats.org/officeDocument/2006/relationships/hyperlink" Target="../../../../../:b:/g/personal/kontakt_seniorenengel-alltagsbegleitung_de/IQB34F5NJgQxR7RM85k25qKzAdoWEilqfPiRce7MJER3_I0?e=OGy3dn" TargetMode="External"/><Relationship Id="rId16" Type="http://schemas.openxmlformats.org/officeDocument/2006/relationships/hyperlink" Target="../../../AppData/Roaming/Microsoft/Excel/04_Leistungsnachweise/202507_G&#252;nter_Marx.pdf" TargetMode="External"/><Relationship Id="rId221" Type="http://schemas.openxmlformats.org/officeDocument/2006/relationships/hyperlink" Target="../../../../:b:/g/personal/kontakt_seniorenengel-alltagsbegleitung_de/IQAf-lVWamfaTb9g_QA6ntT1AaMRV9SiK_daWeQFshBlyDc%3fe=VyQeK2" TargetMode="External"/><Relationship Id="rId263" Type="http://schemas.openxmlformats.org/officeDocument/2006/relationships/hyperlink" Target="../../../../:b:/g/personal/kontakt_seniorenengel-alltagsbegleitung_de/IQB-QywykcN_RKmUjOp_Yt4eAee29G1c0vx5sZpbYYxHX4A%3fe=dk7bSv" TargetMode="External"/><Relationship Id="rId319" Type="http://schemas.openxmlformats.org/officeDocument/2006/relationships/hyperlink" Target="../../../../:b:/g/personal/kontakt_seniorenengel-alltagsbegleitung_de/IQDb2oI81wLkQKBsPM12h3eTARR0sEoPoNt2DqQ97SEPCiw%3fe=ilzYY8" TargetMode="External"/><Relationship Id="rId470" Type="http://schemas.openxmlformats.org/officeDocument/2006/relationships/hyperlink" Target="../../../../../:b:/g/personal/kontakt_seniorenengel-alltagsbegleitung_de/IQAUrYs8HyP2Sqxaa7tFoIX7AapCNcUMT76T094xnekSVCQ?e=yYj5GJ" TargetMode="External"/><Relationship Id="rId58" Type="http://schemas.openxmlformats.org/officeDocument/2006/relationships/hyperlink" Target="../../../../:b:/g/personal/kontakt_seniorenengel-alltagsbegleitung_de/EUVu363iq-ZPjFAyVzY10s0BkOtviy2QNT30viFxwnNPQA%3fe=g80pjp" TargetMode="External"/><Relationship Id="rId123" Type="http://schemas.openxmlformats.org/officeDocument/2006/relationships/hyperlink" Target="../../../../:b:/g/personal/kontakt_seniorenengel-alltagsbegleitung_de/Een_YQB6cRBHgsZbcyyXBCgBgnCNgnF3poWL3YLDchHYRg%3fe=baHiFA" TargetMode="External"/><Relationship Id="rId330" Type="http://schemas.openxmlformats.org/officeDocument/2006/relationships/hyperlink" Target="../../../../:b:/g/personal/kontakt_seniorenengel-alltagsbegleitung_de/IQBCMQ-wWX6PRLjxuKolXyFTAf6bLCsxbOGWTo6JhhKDtSQ%3fe=Dnw6PV" TargetMode="External"/><Relationship Id="rId165" Type="http://schemas.openxmlformats.org/officeDocument/2006/relationships/hyperlink" Target="../../../../:b:/g/personal/kontakt_seniorenengel-alltagsbegleitung_de/Efci0XrMP0xOmOlgDsPkVrwBm_liZLyQVntCDQu7AaxX7w%3fe=UZYZjN" TargetMode="External"/><Relationship Id="rId372" Type="http://schemas.openxmlformats.org/officeDocument/2006/relationships/hyperlink" Target="../../../../../:b:/g/personal/kontakt_seniorenengel-alltagsbegleitung_de/IQCByguZCf5qRrJue5msSTL3ARvM4yp1BP06aFTNiTZUpWU?e=ZDzAOn" TargetMode="External"/><Relationship Id="rId428" Type="http://schemas.openxmlformats.org/officeDocument/2006/relationships/hyperlink" Target="../../../../../:i:/g/personal/kontakt_seniorenengel-alltagsbegleitung_de/IQA6C47xDMCjT7zec1RLaT75AUbIuYVkSbE887pR9cY_E-k?e=hMV06l" TargetMode="External"/><Relationship Id="rId232" Type="http://schemas.openxmlformats.org/officeDocument/2006/relationships/hyperlink" Target="../../../../:i:/g/personal/kontakt_seniorenengel-alltagsbegleitung_de/IQDPV6sCH1MdT6gVuhhr5P66Acph-bA72YpOO8AjVudgTlY%3fe=eF0GV1" TargetMode="External"/><Relationship Id="rId274" Type="http://schemas.openxmlformats.org/officeDocument/2006/relationships/hyperlink" Target="../../../../:b:/g/personal/kontakt_seniorenengel-alltagsbegleitung_de/IQABnw0PLVCiT7ghtZ-e8FhAAXs4k8rLgyYB9KrRVO01sxE%3fe=de0AiA" TargetMode="External"/><Relationship Id="rId481" Type="http://schemas.openxmlformats.org/officeDocument/2006/relationships/hyperlink" Target="../../../../../:i:/g/personal/kontakt_seniorenengel-alltagsbegleitung_de/IQAL9eQX_7J-QYSQIzd_zyqJAZnY_mNOla8NvhkA8L0ps4M?e=5cXQ86" TargetMode="External"/><Relationship Id="rId27" Type="http://schemas.openxmlformats.org/officeDocument/2006/relationships/hyperlink" Target="../../../AppData/Roaming/Microsoft/Excel/04_Leistungsnachweise/202507_Lothar_Krawalski.pdf" TargetMode="External"/><Relationship Id="rId69" Type="http://schemas.openxmlformats.org/officeDocument/2006/relationships/hyperlink" Target="../../../../:b:/g/personal/kontakt_seniorenengel-alltagsbegleitung_de/EffumS3GTPNBp9r3ip3K8qQBvb2a3BumdZ5mqXVQWSYRMA%3fe=ocMQOD" TargetMode="External"/><Relationship Id="rId134" Type="http://schemas.openxmlformats.org/officeDocument/2006/relationships/hyperlink" Target="../../../../:b:/g/personal/kontakt_seniorenengel-alltagsbegleitung_de/EebKdvHvNlhNjJLxjurLo4MB7JrptAwo6Z2iYYdhXvxd_A%3fe=WZKF57" TargetMode="External"/><Relationship Id="rId80" Type="http://schemas.openxmlformats.org/officeDocument/2006/relationships/hyperlink" Target="../../../../:b:/g/personal/kontakt_seniorenengel-alltagsbegleitung_de/EavO49EOTclLroTZolP9F8gBrnlaQCGpc-8PyW9dRMMnEw%3fe=doOqnc" TargetMode="External"/><Relationship Id="rId176" Type="http://schemas.openxmlformats.org/officeDocument/2006/relationships/hyperlink" Target="../../../../:b:/g/personal/kontakt_seniorenengel-alltagsbegleitung_de/IQBOS3eXst0wQYD0p-X5m-8CAUQTt-Xq7ndp258GlfPVCcg%3fe=Bp63iK" TargetMode="External"/><Relationship Id="rId341" Type="http://schemas.openxmlformats.org/officeDocument/2006/relationships/hyperlink" Target="../../../../../:i:/g/personal/kontakt_seniorenengel-alltagsbegleitung_de/IQDrANWMTeQ_TZmjWy87Fmb7AQf5f0nMO8X_9JRwggCgvRs?e=VP80o3" TargetMode="External"/><Relationship Id="rId383" Type="http://schemas.openxmlformats.org/officeDocument/2006/relationships/hyperlink" Target="../../../../../:b:/g/personal/kontakt_seniorenengel-alltagsbegleitung_de/IQBqo7BLecIKRY8X0zaVvRHOAQoHChUHvxxptOGN6qFxiKw?e=6PuBao" TargetMode="External"/><Relationship Id="rId439" Type="http://schemas.openxmlformats.org/officeDocument/2006/relationships/hyperlink" Target="../../../../../:b:/g/personal/kontakt_seniorenengel-alltagsbegleitung_de/IQBXh12_XwMPT7Ep8lN6waTFAXQq3Y82orm5gLOkomX3qb8?e=FBHgpE" TargetMode="External"/><Relationship Id="rId201" Type="http://schemas.openxmlformats.org/officeDocument/2006/relationships/hyperlink" Target="../../../../:b:/g/personal/kontakt_seniorenengel-alltagsbegleitung_de/IQA3ajY2m9epQrk6BmLtmHTGATeM1o9ynvgQGnAgHC7yDoA%3fe=dtiZEU" TargetMode="External"/><Relationship Id="rId243" Type="http://schemas.openxmlformats.org/officeDocument/2006/relationships/hyperlink" Target="../../../../:b:/g/personal/kontakt_seniorenengel-alltagsbegleitung_de/IQC1c1509lB0Qb-6Uwu5PjzHAfTrrWwJAg9N9EWuK31QCpY%3fe=1lFZtl" TargetMode="External"/><Relationship Id="rId285" Type="http://schemas.openxmlformats.org/officeDocument/2006/relationships/hyperlink" Target="../../../../:b:/g/personal/kontakt_seniorenengel-alltagsbegleitung_de/IQD7QUP7asQASKqiW8OAp28eAS0YolmsKSczeYuKu11MoWs%3fe=FNu6K5" TargetMode="External"/><Relationship Id="rId450" Type="http://schemas.openxmlformats.org/officeDocument/2006/relationships/hyperlink" Target="../../../../../:i:/g/personal/kontakt_seniorenengel-alltagsbegleitung_de/IQBH9scUMdPZT7N7kBmfL9ryAWSdFTs2oDu2_4FT-yEkjXM?e=HG40OJ" TargetMode="External"/><Relationship Id="rId38" Type="http://schemas.openxmlformats.org/officeDocument/2006/relationships/hyperlink" Target="../../../../:i:/g/personal/kontakt_seniorenengel-alltagsbegleitung_de/EZpj3ZPdbm9Er7w84MNGW4QB7zm5fWs7osc5-AXmkYPyaQ%3fe=vDMzlZ" TargetMode="External"/><Relationship Id="rId103" Type="http://schemas.openxmlformats.org/officeDocument/2006/relationships/hyperlink" Target="../../../../:b:/g/personal/kontakt_seniorenengel-alltagsbegleitung_de/EdaQdRVYQh9KgX2g96ZBmhEBn4IcWFLWcqyKlCYISjSdBg%3fe=xdCKYy" TargetMode="External"/><Relationship Id="rId310" Type="http://schemas.openxmlformats.org/officeDocument/2006/relationships/hyperlink" Target="../../../../:i:/g/personal/kontakt_seniorenengel-alltagsbegleitung_de/IQATHjHnmeD4Q78UbtMLlOOSATPohGyKQdrN6QpQP_gnsZg%3fe=Yc705X" TargetMode="External"/><Relationship Id="rId492" Type="http://schemas.openxmlformats.org/officeDocument/2006/relationships/hyperlink" Target="../../../../../:i:/g/personal/kontakt_seniorenengel-alltagsbegleitung_de/IQCixgnTfzOPR5__EX9HUBr3AeFU2q5o0-LkjtBzrZXoFoI?e=k82267" TargetMode="External"/><Relationship Id="rId91" Type="http://schemas.openxmlformats.org/officeDocument/2006/relationships/hyperlink" Target="../../../../:b:/g/personal/kontakt_seniorenengel-alltagsbegleitung_de/EcbpuUxWCZxHn6mCwZJVuiwB3dddeU3gxfgsbLHFWHwfAw%3fe=mAaOce" TargetMode="External"/><Relationship Id="rId145" Type="http://schemas.openxmlformats.org/officeDocument/2006/relationships/hyperlink" Target="../../../../:b:/g/personal/kontakt_seniorenengel-alltagsbegleitung_de/Ec6nG72hzyBIuNrFQO6gVjAB7SvexIfHpCHLrKH_ulRDWw%3fe=UOMjLm" TargetMode="External"/><Relationship Id="rId187" Type="http://schemas.openxmlformats.org/officeDocument/2006/relationships/hyperlink" Target="../../../../:b:/g/personal/kontakt_seniorenengel-alltagsbegleitung_de/IQDCYfj62saXRpO1SUDd3txwAXufXf5OtwsR4OdZUzi1eZ8%3fe=oW07pf" TargetMode="External"/><Relationship Id="rId352" Type="http://schemas.openxmlformats.org/officeDocument/2006/relationships/hyperlink" Target="../../../../../:i:/g/personal/kontakt_seniorenengel-alltagsbegleitung_de/IQAK1cjpdYsrQoD9LqlkiA7QAUVyHbuhSMLsABvP9CCfv5s?e=g0xhju" TargetMode="External"/><Relationship Id="rId394" Type="http://schemas.openxmlformats.org/officeDocument/2006/relationships/hyperlink" Target="../../../../../:b:/g/personal/kontakt_seniorenengel-alltagsbegleitung_de/IQCAC9z66KSNR4CK5NB49SfTAerPvGd5CQZ8AbdG3SR-yPM?e=B30OIu" TargetMode="External"/><Relationship Id="rId408" Type="http://schemas.openxmlformats.org/officeDocument/2006/relationships/hyperlink" Target="../../../../../:b:/g/personal/kontakt_seniorenengel-alltagsbegleitung_de/IQA4RI9UAaBSQqqAPIZDbORHASYgoXyZe4umZeRQDWmMUI4?e=scrmvp" TargetMode="External"/><Relationship Id="rId212" Type="http://schemas.openxmlformats.org/officeDocument/2006/relationships/hyperlink" Target="../../../../:b:/g/personal/kontakt_seniorenengel-alltagsbegleitung_de/IQDowx7n9skNTp_I7450gurNAf5vr8UDTM44ZkjtuV_GdYU%3fe=kaObME" TargetMode="External"/><Relationship Id="rId254" Type="http://schemas.openxmlformats.org/officeDocument/2006/relationships/hyperlink" Target="../../../../:b:/g/personal/kontakt_seniorenengel-alltagsbegleitung_de/IQA-3BgkSn9dRLM8i-j4HBBFAWpBmEI4NGGALfMl1JOOLf8%3fe=O7k3sa" TargetMode="External"/><Relationship Id="rId49" Type="http://schemas.openxmlformats.org/officeDocument/2006/relationships/hyperlink" Target="../../../../:i:/g/personal/kontakt_seniorenengel-alltagsbegleitung_de/EfTi1urOV-tIlMIrDdPHEXoBnvoyhsIvsE5T9TUXfuzdLQ%3fe=evAaj1" TargetMode="External"/><Relationship Id="rId114" Type="http://schemas.openxmlformats.org/officeDocument/2006/relationships/hyperlink" Target="../../../../:b:/g/personal/kontakt_seniorenengel-alltagsbegleitung_de/EZmef0FLV5BMmtcDJ8bdKt4BE543UzLAv-aNtUq8Wv3P3A%3fe=KJx3Tl" TargetMode="External"/><Relationship Id="rId296" Type="http://schemas.openxmlformats.org/officeDocument/2006/relationships/hyperlink" Target="../../../../:b:/g/personal/kontakt_seniorenengel-alltagsbegleitung_de/IQDPJ5Cpz-KlQ74cW9NrmaBAAdRRMwYXIrl6mLgSDm2oExU%3fe=JThkBf" TargetMode="External"/><Relationship Id="rId461" Type="http://schemas.openxmlformats.org/officeDocument/2006/relationships/hyperlink" Target="../../../../../:b:/g/personal/kontakt_seniorenengel-alltagsbegleitung_de/IQBlQlqTRh__Q5zb8Kctp6_qAfuTAi0qJnpoHDtqngeeO0I?e=aukg7v" TargetMode="External"/><Relationship Id="rId60" Type="http://schemas.openxmlformats.org/officeDocument/2006/relationships/hyperlink" Target="../../../../:b:/g/personal/kontakt_seniorenengel-alltagsbegleitung_de/EWVR5jeEqitMgb3PEnq1HnYBirhzMCGS9m0BmRxT-BKaQg%3fe=xnsNmX" TargetMode="External"/><Relationship Id="rId156" Type="http://schemas.openxmlformats.org/officeDocument/2006/relationships/hyperlink" Target="../../../../:b:/g/personal/kontakt_seniorenengel-alltagsbegleitung_de/ERwTV0teiX5GnSvZhkFqT80BhwRjd2pVXGcEm2uLTqPDug%3fe=xQM0ck" TargetMode="External"/><Relationship Id="rId198" Type="http://schemas.openxmlformats.org/officeDocument/2006/relationships/hyperlink" Target="../../../../:b:/g/personal/kontakt_seniorenengel-alltagsbegleitung_de/IQAecBE9HcXKRbsQkU3n7ydpAXvDjRzTB7ka6OBl3DbPqgM%3fe=0HNGW2" TargetMode="External"/><Relationship Id="rId321" Type="http://schemas.openxmlformats.org/officeDocument/2006/relationships/hyperlink" Target="../../../../:b:/g/personal/kontakt_seniorenengel-alltagsbegleitung_de/IQBu7q7WIWyDQb22aFibPOG0Aab64zuTv2DI7Aey6O3_u84%3fe=lyxsve" TargetMode="External"/><Relationship Id="rId363" Type="http://schemas.openxmlformats.org/officeDocument/2006/relationships/hyperlink" Target="../../../../../:b:/g/personal/kontakt_seniorenengel-alltagsbegleitung_de/IQBy7822rLgGRaNQHaQyY3gxAa0ooVNCFOkwUEoU60bYhuM?e=jKEbTe" TargetMode="External"/><Relationship Id="rId419" Type="http://schemas.openxmlformats.org/officeDocument/2006/relationships/hyperlink" Target="../../../../../:b:/g/personal/kontakt_seniorenengel-alltagsbegleitung_de/IQB_Lb8vIMz6Tpzg84g9bXOyATJjBUGEv7jewXU-uP3dN3w?e=SrLdir" TargetMode="External"/><Relationship Id="rId223" Type="http://schemas.openxmlformats.org/officeDocument/2006/relationships/hyperlink" Target="../../../../:b:/g/personal/kontakt_seniorenengel-alltagsbegleitung_de/IQBXYja71_FCTpTf-dK-uKLdAda1fwV7zdD7r3CcxjQ3BZk%3fe=LzzK2T" TargetMode="External"/><Relationship Id="rId430" Type="http://schemas.openxmlformats.org/officeDocument/2006/relationships/hyperlink" Target="../../../../../:i:/g/personal/kontakt_seniorenengel-alltagsbegleitung_de/IQCBNOWGHb-KRJNbtXJoe6ZTAT0CFibBAP_R6r8n8fZpQzo?e=MuDaFi" TargetMode="External"/><Relationship Id="rId18" Type="http://schemas.openxmlformats.org/officeDocument/2006/relationships/hyperlink" Target="../../../AppData/Roaming/Microsoft/Excel/04_Leistungsnachweise/202507_Helga_Dienelt.pdf" TargetMode="External"/><Relationship Id="rId265" Type="http://schemas.openxmlformats.org/officeDocument/2006/relationships/hyperlink" Target="../../../../:b:/g/personal/kontakt_seniorenengel-alltagsbegleitung_de/IQCWbuE6-nkBSr08IUTt3BIgAViACCD35OsLpwb7-aeq898%3fe=eOzLCY" TargetMode="External"/><Relationship Id="rId472" Type="http://schemas.openxmlformats.org/officeDocument/2006/relationships/hyperlink" Target="../../../../../:b:/g/personal/kontakt_seniorenengel-alltagsbegleitung_de/IQAUrYs8HyP2Sqxaa7tFoIX7AapCNcUMT76T094xnekSVCQ?e=yYj5GJ" TargetMode="External"/><Relationship Id="rId125" Type="http://schemas.openxmlformats.org/officeDocument/2006/relationships/hyperlink" Target="../../../../:b:/g/personal/kontakt_seniorenengel-alltagsbegleitung_de/Een_YQB6cRBHgsZbcyyXBCgBgnCNgnF3poWL3YLDchHYRg%3fe=baHiFA" TargetMode="External"/><Relationship Id="rId167" Type="http://schemas.openxmlformats.org/officeDocument/2006/relationships/hyperlink" Target="../../../../:b:/g/personal/kontakt_seniorenengel-alltagsbegleitung_de/IQAUt02V_gb2QrZHyXI7Q_j3AU1_qq-e3uak3q6fHhnKer4%3fe=ivXIJW" TargetMode="External"/><Relationship Id="rId332" Type="http://schemas.openxmlformats.org/officeDocument/2006/relationships/hyperlink" Target="../../../../:b:/g/personal/kontakt_seniorenengel-alltagsbegleitung_de/IQCw0Ab6poiZSZSTXm9Z6Zx7AUeQHvDAbT4yDdJ46KRMT7Q%3fe=fvry33" TargetMode="External"/><Relationship Id="rId374" Type="http://schemas.openxmlformats.org/officeDocument/2006/relationships/hyperlink" Target="../../../../../:b:/g/personal/kontakt_seniorenengel-alltagsbegleitung_de/IQB_6Z8tlWZCQZFBCMNwrMVqAd7yuGDoRd6H3NO5_tC2KLU?e=BVbMGY" TargetMode="External"/><Relationship Id="rId71" Type="http://schemas.openxmlformats.org/officeDocument/2006/relationships/hyperlink" Target="../../../../:b:/g/personal/kontakt_seniorenengel-alltagsbegleitung_de/EaX1RcZrU55InIz1lq-ojtoBZVzt-7whaO8aY_I_s28d9g%3fe=EHuOvS" TargetMode="External"/><Relationship Id="rId234" Type="http://schemas.openxmlformats.org/officeDocument/2006/relationships/hyperlink" Target="../../../../:b:/g/personal/kontakt_seniorenengel-alltagsbegleitung_de/IQBGq-UkTCLoQLyJXyTzZBSfATPVV_A14GNYfsYIs83ip-8%3fe=yRu0Cs" TargetMode="External"/><Relationship Id="rId2" Type="http://schemas.openxmlformats.org/officeDocument/2006/relationships/hyperlink" Target="../../../AppData/Roaming/Microsoft/Excel/04_Leistungsnachweise/202506_Dieter_Berghold.pdf" TargetMode="External"/><Relationship Id="rId29" Type="http://schemas.openxmlformats.org/officeDocument/2006/relationships/hyperlink" Target="../../../AppData/Roaming/Microsoft/Excel/04_Leistungsnachweise/202507_Martin_Schmidt.pdf" TargetMode="External"/><Relationship Id="rId276" Type="http://schemas.openxmlformats.org/officeDocument/2006/relationships/hyperlink" Target="../../../../:b:/g/personal/kontakt_seniorenengel-alltagsbegleitung_de/IQAPnHAgJLXqSZgZaoYYvPvIAR84mvV6qecW212c7CzRErw%3fe=CWA6OU" TargetMode="External"/><Relationship Id="rId441" Type="http://schemas.openxmlformats.org/officeDocument/2006/relationships/hyperlink" Target="../../../../../:i:/g/personal/kontakt_seniorenengel-alltagsbegleitung_de/IQBH9scUMdPZT7N7kBmfL9ryAWSdFTs2oDu2_4FT-yEkjXM?e=HG40OJ" TargetMode="External"/><Relationship Id="rId483" Type="http://schemas.openxmlformats.org/officeDocument/2006/relationships/hyperlink" Target="../../../../../:i:/g/personal/kontakt_seniorenengel-alltagsbegleitung_de/IQAL9eQX_7J-QYSQIzd_zyqJAZnY_mNOla8NvhkA8L0ps4M?e=5cXQ86" TargetMode="External"/><Relationship Id="rId40" Type="http://schemas.openxmlformats.org/officeDocument/2006/relationships/hyperlink" Target="../../../../:i:/g/personal/kontakt_seniorenengel-alltagsbegleitung_de/EToS8-qLpbFJk4OMfVPfN3ABXUH3ip8-1cKChZ2lw_kWIw%3fe=exqMSe" TargetMode="External"/><Relationship Id="rId136" Type="http://schemas.openxmlformats.org/officeDocument/2006/relationships/hyperlink" Target="../../../../:b:/g/personal/kontakt_seniorenengel-alltagsbegleitung_de/EaxScN9Tg7pKvGMS46hdkUMBWUSGiYQgobttMz4dy6SDDA%3fe=iu4hVR" TargetMode="External"/><Relationship Id="rId178" Type="http://schemas.openxmlformats.org/officeDocument/2006/relationships/hyperlink" Target="../../../../:b:/g/personal/kontakt_seniorenengel-alltagsbegleitung_de/IQBt7JvzjZd8QopvMAb_ePZ5Ae_1jW3Po2vzInmedvhVvkA%3fe=vp2qBL" TargetMode="External"/><Relationship Id="rId301" Type="http://schemas.openxmlformats.org/officeDocument/2006/relationships/hyperlink" Target="../../../../:b:/g/personal/kontakt_seniorenengel-alltagsbegleitung_de/IQBd6uLqeIbqSYe6y_98uaI5AUAORkgo-_UWLlxoddJM3-0%3fe=ne8KHj" TargetMode="External"/><Relationship Id="rId343" Type="http://schemas.openxmlformats.org/officeDocument/2006/relationships/hyperlink" Target="../../../../../:i:/g/personal/kontakt_seniorenengel-alltagsbegleitung_de/IQDDbqtIegzcS7h2tFEldkTOAY_M7-H7Gp4Zc_3XBhusrOY?e=EsKDoS" TargetMode="External"/><Relationship Id="rId82" Type="http://schemas.openxmlformats.org/officeDocument/2006/relationships/hyperlink" Target="../../../../:i:/g/personal/kontakt_seniorenengel-alltagsbegleitung_de/EULRlGx8H5FDmmVzyUPqN1UB2kT4SpCmZ-7hAC8RR9wRXA%3fe=JmJAYW" TargetMode="External"/><Relationship Id="rId203" Type="http://schemas.openxmlformats.org/officeDocument/2006/relationships/hyperlink" Target="../../../../:b:/g/personal/kontakt_seniorenengel-alltagsbegleitung_de/IQA3ajY2m9epQrk6BmLtmHTGATeM1o9ynvgQGnAgHC7yDoA%3fe=dtiZEU" TargetMode="External"/><Relationship Id="rId385" Type="http://schemas.openxmlformats.org/officeDocument/2006/relationships/hyperlink" Target="../../../../../:b:/g/personal/kontakt_seniorenengel-alltagsbegleitung_de/IQCiRjXZ2UI7QooceMZ4KOU9AWx6O8SGqs5p-FchtafFHdc?e=cWDRTO" TargetMode="External"/><Relationship Id="rId245" Type="http://schemas.openxmlformats.org/officeDocument/2006/relationships/hyperlink" Target="../../../../:b:/g/personal/kontakt_seniorenengel-alltagsbegleitung_de/IQC1c1509lB0Qb-6Uwu5PjzHAfTrrWwJAg9N9EWuK31QCpY%3fe=1lFZtl" TargetMode="External"/><Relationship Id="rId287" Type="http://schemas.openxmlformats.org/officeDocument/2006/relationships/hyperlink" Target="../../../../:b:/g/personal/kontakt_seniorenengel-alltagsbegleitung_de/IQD7QUP7asQASKqiW8OAp28eAS0YolmsKSczeYuKu11MoWs%3fe=FNu6K5" TargetMode="External"/><Relationship Id="rId410" Type="http://schemas.openxmlformats.org/officeDocument/2006/relationships/hyperlink" Target="../../../../../:b:/g/personal/kontakt_seniorenengel-alltagsbegleitung_de/IQCyTNm0yPpwQpoQf9sUyB8ZAYI8wOaI0wRkNYe4Oel6pVE?e=NQKUJJ" TargetMode="External"/><Relationship Id="rId452" Type="http://schemas.openxmlformats.org/officeDocument/2006/relationships/hyperlink" Target="../../../../../:b:/g/personal/kontakt_seniorenengel-alltagsbegleitung_de/IQDbYr9hyAQ5QbTIabVcZYPnATPcaRjWMYGmAadxx6QyMKk?e=ve2bdu" TargetMode="External"/><Relationship Id="rId494" Type="http://schemas.openxmlformats.org/officeDocument/2006/relationships/comments" Target="../comments1.xml"/><Relationship Id="rId105" Type="http://schemas.openxmlformats.org/officeDocument/2006/relationships/hyperlink" Target="../../../../:b:/g/personal/kontakt_seniorenengel-alltagsbegleitung_de/EdaQdRVYQh9KgX2g96ZBmhEBn4IcWFLWcqyKlCYISjSdBg%3fe=xdCKYy" TargetMode="External"/><Relationship Id="rId147" Type="http://schemas.openxmlformats.org/officeDocument/2006/relationships/hyperlink" Target="../../../../:b:/g/personal/kontakt_seniorenengel-alltagsbegleitung_de/EXLs9JWCVd5GqElTpHMHJL4BssRw6cqB833L9MEVujCKjw%3fe=UCZeON" TargetMode="External"/><Relationship Id="rId312" Type="http://schemas.openxmlformats.org/officeDocument/2006/relationships/hyperlink" Target="../../../../:i:/g/personal/kontakt_seniorenengel-alltagsbegleitung_de/IQCc954blbsjRJsNcXoBq_1lAVEm0vT4AY9oR1X-RkCjzFE%3fe=mAO4rv" TargetMode="External"/><Relationship Id="rId354" Type="http://schemas.openxmlformats.org/officeDocument/2006/relationships/hyperlink" Target="../../../../../:b:/g/personal/kontakt_seniorenengel-alltagsbegleitung_de/IQA0_6EDfVT2SIlhSH5sMqElAY4F_GGCu1_qukkakFNZkL0?e=lXFJqd" TargetMode="External"/><Relationship Id="rId51" Type="http://schemas.openxmlformats.org/officeDocument/2006/relationships/hyperlink" Target="../../../../:i:/g/personal/kontakt_seniorenengel-alltagsbegleitung_de/EQ6MM7qDlPlLtxOs85k2uSEBd_sNujOA98yiUKj_1EkVzA%3fe=CDhPDd" TargetMode="External"/><Relationship Id="rId93" Type="http://schemas.openxmlformats.org/officeDocument/2006/relationships/hyperlink" Target="../../../../:b:/g/personal/kontakt_seniorenengel-alltagsbegleitung_de/EcbpuUxWCZxHn6mCwZJVuiwB3dddeU3gxfgsbLHFWHwfAw%3fe=mAaOce" TargetMode="External"/><Relationship Id="rId189" Type="http://schemas.openxmlformats.org/officeDocument/2006/relationships/hyperlink" Target="../../../../:b:/g/personal/kontakt_seniorenengel-alltagsbegleitung_de/IQCUTdFIk5JxRpD9yU8PgXd6AfYB6Baj-d5RSCsJEje9sX8%3fe=9aO1zD" TargetMode="External"/><Relationship Id="rId396" Type="http://schemas.openxmlformats.org/officeDocument/2006/relationships/hyperlink" Target="../../../../../:b:/g/personal/kontakt_seniorenengel-alltagsbegleitung_de/IQCk0UxvbycvTYSQtxfd67ZeARuaPTv9sI_xB7d514GwDH8?e=Wph78C" TargetMode="External"/><Relationship Id="rId214" Type="http://schemas.openxmlformats.org/officeDocument/2006/relationships/hyperlink" Target="../../../../:b:/g/personal/kontakt_seniorenengel-alltagsbegleitung_de/IQDowx7n9skNTp_I7450gurNAf5vr8UDTM44ZkjtuV_GdYU%3fe=kaObME" TargetMode="External"/><Relationship Id="rId256" Type="http://schemas.openxmlformats.org/officeDocument/2006/relationships/hyperlink" Target="../../../../:b:/g/personal/kontakt_seniorenengel-alltagsbegleitung_de/IQA-3BgkSn9dRLM8i-j4HBBFAWpBmEI4NGGALfMl1JOOLf8%3fe=O7k3sa" TargetMode="External"/><Relationship Id="rId298" Type="http://schemas.openxmlformats.org/officeDocument/2006/relationships/hyperlink" Target="../../../../:b:/g/personal/kontakt_seniorenengel-alltagsbegleitung_de/IQBd6uLqeIbqSYe6y_98uaI5AUAORkgo-_UWLlxoddJM3-0%3fe=ne8KHj" TargetMode="External"/><Relationship Id="rId421" Type="http://schemas.openxmlformats.org/officeDocument/2006/relationships/hyperlink" Target="../../../../../:b:/g/personal/kontakt_seniorenengel-alltagsbegleitung_de/IQB_Lb8vIMz6Tpzg84g9bXOyATJjBUGEv7jewXU-uP3dN3w?e=SrLdir" TargetMode="External"/><Relationship Id="rId463" Type="http://schemas.openxmlformats.org/officeDocument/2006/relationships/hyperlink" Target="../../../../../:b:/g/personal/kontakt_seniorenengel-alltagsbegleitung_de/IQBv6qYus8zWTZay5Y_FoApXAbkJyUKgXWAkFxlOhDEZu5A?e=4gidzv" TargetMode="External"/><Relationship Id="rId116" Type="http://schemas.openxmlformats.org/officeDocument/2006/relationships/hyperlink" Target="../../../../:b:/g/personal/kontakt_seniorenengel-alltagsbegleitung_de/ERXc6fCaa-ZHu4CwXDbIrhgBl07w-NA34Jln_7Ll25otjw%3fe=2p6XEc" TargetMode="External"/><Relationship Id="rId158" Type="http://schemas.openxmlformats.org/officeDocument/2006/relationships/hyperlink" Target="../../../../:b:/g/personal/kontakt_seniorenengel-alltagsbegleitung_de/ERwTV0teiX5GnSvZhkFqT80BhwRjd2pVXGcEm2uLTqPDug%3fe=xQM0ck" TargetMode="External"/><Relationship Id="rId323" Type="http://schemas.openxmlformats.org/officeDocument/2006/relationships/hyperlink" Target="../../../../:b:/g/personal/kontakt_seniorenengel-alltagsbegleitung_de/IQDrrDT93ZkoTqXJh90k1iP1AaNg2JJIYmTssE1Fygq6MwQ%3fe=gosh43" TargetMode="External"/><Relationship Id="rId20" Type="http://schemas.openxmlformats.org/officeDocument/2006/relationships/hyperlink" Target="../../../AppData/Roaming/Microsoft/Excel/04_Leistungsnachweise/202507_Helga_Dienelt.pdf" TargetMode="External"/><Relationship Id="rId62" Type="http://schemas.openxmlformats.org/officeDocument/2006/relationships/hyperlink" Target="../../../../:b:/g/personal/kontakt_seniorenengel-alltagsbegleitung_de/EewClDT3hWBCn9mJL3RL2jABJWyYehvtl01VJlNSNezDYA%3fe=t00E1y" TargetMode="External"/><Relationship Id="rId365" Type="http://schemas.openxmlformats.org/officeDocument/2006/relationships/hyperlink" Target="../../../../../:b:/g/personal/kontakt_seniorenengel-alltagsbegleitung_de/IQCA4dfZZ3abTogcHSjKaudxAUvIcDS5oWQLCA0iHfZrT5w?e=axfUMZ" TargetMode="External"/><Relationship Id="rId190" Type="http://schemas.openxmlformats.org/officeDocument/2006/relationships/hyperlink" Target="../../../../:b:/g/personal/kontakt_seniorenengel-alltagsbegleitung_de/IQDfwPbqkCdzQoiFoOond6ZnARaGwChv5ER_K9Sjf6QjBy4%3fe=GBpKNf" TargetMode="External"/><Relationship Id="rId204" Type="http://schemas.openxmlformats.org/officeDocument/2006/relationships/hyperlink" Target="../../../../:b:/g/personal/kontakt_seniorenengel-alltagsbegleitung_de/IQCOqVQw2_V3TZrMEuUaIb6LASrLvK1sNyOTigkTXXFEqNI%3fe=8eGIRe" TargetMode="External"/><Relationship Id="rId225" Type="http://schemas.openxmlformats.org/officeDocument/2006/relationships/hyperlink" Target="../../../../:b:/g/personal/kontakt_seniorenengel-alltagsbegleitung_de/IQCZBf_ul_4iRJ0yzAvwuFpvAW3YoXGWXckR40r__NsuLQA%3fe=12IzWh" TargetMode="External"/><Relationship Id="rId246" Type="http://schemas.openxmlformats.org/officeDocument/2006/relationships/hyperlink" Target="../../../../:b:/g/personal/kontakt_seniorenengel-alltagsbegleitung_de/IQC1c1509lB0Qb-6Uwu5PjzHAfTrrWwJAg9N9EWuK31QCpY%3fe=1lFZtl" TargetMode="External"/><Relationship Id="rId267" Type="http://schemas.openxmlformats.org/officeDocument/2006/relationships/hyperlink" Target="../../../../:b:/g/personal/kontakt_seniorenengel-alltagsbegleitung_de/IQDCUetfJ1txQ7JWHmD5C-nHAWaugCjF0XNCSfPiGyHLwFY%3fe=FYa6Pi" TargetMode="External"/><Relationship Id="rId288" Type="http://schemas.openxmlformats.org/officeDocument/2006/relationships/hyperlink" Target="../../../../:b:/g/personal/kontakt_seniorenengel-alltagsbegleitung_de/IQC0BPYn3_JgSJGjctO71tA5AbwW4b-8cgI4VqKWOEeTIUw%3fe=wDQiCo" TargetMode="External"/><Relationship Id="rId411" Type="http://schemas.openxmlformats.org/officeDocument/2006/relationships/hyperlink" Target="../../../../../:b:/g/personal/kontakt_seniorenengel-alltagsbegleitung_de/IQCRG4BFgNlsTrzq0BiGOfOTAVxZ5xLK4RH6NHqn1LIHm_8?e=Z6E6lo" TargetMode="External"/><Relationship Id="rId432" Type="http://schemas.openxmlformats.org/officeDocument/2006/relationships/hyperlink" Target="../../../../../:i:/g/personal/kontakt_seniorenengel-alltagsbegleitung_de/IQCBNOWGHb-KRJNbtXJoe6ZTAT0CFibBAP_R6r8n8fZpQzo?e=MuDaFi" TargetMode="External"/><Relationship Id="rId453" Type="http://schemas.openxmlformats.org/officeDocument/2006/relationships/hyperlink" Target="../../../../../:b:/g/personal/kontakt_seniorenengel-alltagsbegleitung_de/IQDbYr9hyAQ5QbTIabVcZYPnATPcaRjWMYGmAadxx6QyMKk?e=ve2bdu" TargetMode="External"/><Relationship Id="rId474" Type="http://schemas.openxmlformats.org/officeDocument/2006/relationships/hyperlink" Target="../../../../../:b:/g/personal/kontakt_seniorenengel-alltagsbegleitung_de/IQAUrYs8HyP2Sqxaa7tFoIX7AapCNcUMT76T094xnekSVCQ?e=yYj5GJ" TargetMode="External"/><Relationship Id="rId106" Type="http://schemas.openxmlformats.org/officeDocument/2006/relationships/hyperlink" Target="../../../../:b:/g/personal/kontakt_seniorenengel-alltagsbegleitung_de/EdaQdRVYQh9KgX2g96ZBmhEBn4IcWFLWcqyKlCYISjSdBg%3fe=xdCKYy" TargetMode="External"/><Relationship Id="rId127" Type="http://schemas.openxmlformats.org/officeDocument/2006/relationships/hyperlink" Target="../../../../:b:/g/personal/kontakt_seniorenengel-alltagsbegleitung_de/EeTnNpGpPTxHtin7GFE5iB0ByxbYlwQKZwTsBZTlGcCBag%3fe=1C5pOb" TargetMode="External"/><Relationship Id="rId313" Type="http://schemas.openxmlformats.org/officeDocument/2006/relationships/hyperlink" Target="../../../../:i:/g/personal/kontakt_seniorenengel-alltagsbegleitung_de/IQCc954blbsjRJsNcXoBq_1lAVEm0vT4AY9oR1X-RkCjzFE%3fe=mAO4rv" TargetMode="External"/><Relationship Id="rId10" Type="http://schemas.openxmlformats.org/officeDocument/2006/relationships/hyperlink" Target="../../../AppData/Roaming/Microsoft/Excel/04_Leistungsnachweise/202507_1_Inge_Leupold.pdf" TargetMode="External"/><Relationship Id="rId31" Type="http://schemas.openxmlformats.org/officeDocument/2006/relationships/hyperlink" Target="../../../AppData/Roaming/Microsoft/Excel/04_Leistungsnachweise/202507_Rita_Neubert.pdf" TargetMode="External"/><Relationship Id="rId52" Type="http://schemas.openxmlformats.org/officeDocument/2006/relationships/hyperlink" Target="../../../../:i:/g/personal/kontakt_seniorenengel-alltagsbegleitung_de/EfkrXXIWFpZCjiAtJXasKOQB3wAxTza2dzKdEDEbwWW2tg%3fe=vcEtCw" TargetMode="External"/><Relationship Id="rId73" Type="http://schemas.openxmlformats.org/officeDocument/2006/relationships/hyperlink" Target="../../../../:b:/g/personal/kontakt_seniorenengel-alltagsbegleitung_de/ETD4a7Qt-qFIro-JWybKxbEB0-YdstE0JgPRi9oq2JENBA%3fe=iOFPfl" TargetMode="External"/><Relationship Id="rId94" Type="http://schemas.openxmlformats.org/officeDocument/2006/relationships/hyperlink" Target="../../../../:b:/g/personal/kontakt_seniorenengel-alltagsbegleitung_de/EfzVNr5CkMZGh8comH_jwGMBYnGC8Xmc9c22Tpy7PChuJg%3fe=HWQxxb" TargetMode="External"/><Relationship Id="rId148" Type="http://schemas.openxmlformats.org/officeDocument/2006/relationships/hyperlink" Target="../../../../:b:/g/personal/kontakt_seniorenengel-alltagsbegleitung_de/EfTIeF-ZSfBDq7x6DpcwB_gBPylYMYpHcHPtnLC4VxWS8A%3fe=ui4jtd" TargetMode="External"/><Relationship Id="rId169" Type="http://schemas.openxmlformats.org/officeDocument/2006/relationships/hyperlink" Target="../../../../:b:/g/personal/kontakt_seniorenengel-alltagsbegleitung_de/IQBLGo2exvapQJYZbF61RA8kAVI5VU-UbFYnQUY6OymfWfA%3fe=oRKczN" TargetMode="External"/><Relationship Id="rId334" Type="http://schemas.openxmlformats.org/officeDocument/2006/relationships/hyperlink" Target="../../../../:b:/g/personal/kontakt_seniorenengel-alltagsbegleitung_de/IQAEHDK7ENegT40um95_kHquARpQsC_hbECGpU1fFuFyOTo%3fe=YBlLta" TargetMode="External"/><Relationship Id="rId355" Type="http://schemas.openxmlformats.org/officeDocument/2006/relationships/hyperlink" Target="../../../../../:b:/g/personal/kontakt_seniorenengel-alltagsbegleitung_de/IQA0_6EDfVT2SIlhSH5sMqElAY4F_GGCu1_qukkakFNZkL0?e=lXFJqd" TargetMode="External"/><Relationship Id="rId376" Type="http://schemas.openxmlformats.org/officeDocument/2006/relationships/hyperlink" Target="../../../../../:b:/g/personal/kontakt_seniorenengel-alltagsbegleitung_de/IQCVMMDva6tKQZJpr0b0Y2m3AcAj_SuWaAeG1nG-8styR00?e=1feJse" TargetMode="External"/><Relationship Id="rId397" Type="http://schemas.openxmlformats.org/officeDocument/2006/relationships/hyperlink" Target="../../../../../:b:/g/personal/kontakt_seniorenengel-alltagsbegleitung_de/IQCk0UxvbycvTYSQtxfd67ZeARuaPTv9sI_xB7d514GwDH8?e=Wph78C" TargetMode="External"/><Relationship Id="rId4" Type="http://schemas.openxmlformats.org/officeDocument/2006/relationships/hyperlink" Target="../../../AppData/Roaming/Microsoft/Excel/04_Leistungsnachweise/202506_Christian_Jungnickel.pdf" TargetMode="External"/><Relationship Id="rId180" Type="http://schemas.openxmlformats.org/officeDocument/2006/relationships/hyperlink" Target="../../../../:b:/g/personal/kontakt_seniorenengel-alltagsbegleitung_de/IQBm5bWd7tVsSZuSvVDv_JVFAXfvyZCXXXFaKsqT7h7k9vs%3fe=SwldQG" TargetMode="External"/><Relationship Id="rId215" Type="http://schemas.openxmlformats.org/officeDocument/2006/relationships/hyperlink" Target="../../../../:b:/g/personal/kontakt_seniorenengel-alltagsbegleitung_de/IQDowx7n9skNTp_I7450gurNAf5vr8UDTM44ZkjtuV_GdYU%3fe=kaObME" TargetMode="External"/><Relationship Id="rId236" Type="http://schemas.openxmlformats.org/officeDocument/2006/relationships/hyperlink" Target="../../../../:b:/g/personal/kontakt_seniorenengel-alltagsbegleitung_de/IQD7VUEzvMINSblt04PZ1zTKAazgYZ9dGWQtGTjcaNlGJLo%3fe=gyCUBL" TargetMode="External"/><Relationship Id="rId257" Type="http://schemas.openxmlformats.org/officeDocument/2006/relationships/hyperlink" Target="../../../../:b:/g/personal/kontakt_seniorenengel-alltagsbegleitung_de/IQA-3BgkSn9dRLM8i-j4HBBFAWpBmEI4NGGALfMl1JOOLf8%3fe=O7k3sa" TargetMode="External"/><Relationship Id="rId278" Type="http://schemas.openxmlformats.org/officeDocument/2006/relationships/hyperlink" Target="../../../../:b:/g/personal/kontakt_seniorenengel-alltagsbegleitung_de/IQARByAN3uT0TZta40vz1x4hAZxR-r7Uv_RmMJoedmzxI3w%3fe=waqxzf" TargetMode="External"/><Relationship Id="rId401" Type="http://schemas.openxmlformats.org/officeDocument/2006/relationships/hyperlink" Target="../../../../../:b:/g/personal/kontakt_seniorenengel-alltagsbegleitung_de/IQAXKa6OuLD7Qr_JX45t2B6OASFkL1okSbodQQ1MiUJPv3k?e=PckiIl" TargetMode="External"/><Relationship Id="rId422" Type="http://schemas.openxmlformats.org/officeDocument/2006/relationships/hyperlink" Target="../../../../../:b:/g/personal/kontakt_seniorenengel-alltagsbegleitung_de/IQB_Lb8vIMz6Tpzg84g9bXOyATJjBUGEv7jewXU-uP3dN3w?e=SrLdir" TargetMode="External"/><Relationship Id="rId443" Type="http://schemas.openxmlformats.org/officeDocument/2006/relationships/hyperlink" Target="../../../../../:i:/g/personal/kontakt_seniorenengel-alltagsbegleitung_de/IQBH9scUMdPZT7N7kBmfL9ryAWSdFTs2oDu2_4FT-yEkjXM?e=HG40OJ" TargetMode="External"/><Relationship Id="rId464" Type="http://schemas.openxmlformats.org/officeDocument/2006/relationships/hyperlink" Target="../../../../../:b:/g/personal/kontakt_seniorenengel-alltagsbegleitung_de/IQBv6qYus8zWTZay5Y_FoApXAbkJyUKgXWAkFxlOhDEZu5A?e=4gidzv" TargetMode="External"/><Relationship Id="rId303" Type="http://schemas.openxmlformats.org/officeDocument/2006/relationships/hyperlink" Target="../../../../:b:/g/personal/kontakt_seniorenengel-alltagsbegleitung_de/IQBd6uLqeIbqSYe6y_98uaI5AUAORkgo-_UWLlxoddJM3-0%3fe=ne8KHj" TargetMode="External"/><Relationship Id="rId485" Type="http://schemas.openxmlformats.org/officeDocument/2006/relationships/hyperlink" Target="../../../../../:i:/g/personal/kontakt_seniorenengel-alltagsbegleitung_de/IQCixgnTfzOPR5__EX9HUBr3AeFU2q5o0-LkjtBzrZXoFoI?e=k82267" TargetMode="External"/><Relationship Id="rId42" Type="http://schemas.openxmlformats.org/officeDocument/2006/relationships/hyperlink" Target="../../../../:i:/g/personal/kontakt_seniorenengel-alltagsbegleitung_de/EQSpqm2kkoZDoznqDevC1cwBpR05ouBNbs1I1__gjg__kA%3fe=vpMMUU" TargetMode="External"/><Relationship Id="rId84" Type="http://schemas.openxmlformats.org/officeDocument/2006/relationships/hyperlink" Target="../../../../:b:/g/personal/kontakt_seniorenengel-alltagsbegleitung_de/EfLhYHClWbJKpCAYUSzS5zQBWFBw4Nq-iHroLFQGTtXF0w%3fe=1mqFd3" TargetMode="External"/><Relationship Id="rId138" Type="http://schemas.openxmlformats.org/officeDocument/2006/relationships/hyperlink" Target="../../../../:b:/g/personal/kontakt_seniorenengel-alltagsbegleitung_de/Edfb47g1m8pKkuTSAoysRcIBWtowSkkYt1qcYfusv2LTOg%3fe=m3Jb9O" TargetMode="External"/><Relationship Id="rId345" Type="http://schemas.openxmlformats.org/officeDocument/2006/relationships/hyperlink" Target="../../../../../:i:/g/personal/kontakt_seniorenengel-alltagsbegleitung_de/IQCtotXMyhiyRrm6Ax4EjosEAYrhVOY7Tkw1ZsSIHjQWrEg?e=Bcg3ZG" TargetMode="External"/><Relationship Id="rId387" Type="http://schemas.openxmlformats.org/officeDocument/2006/relationships/hyperlink" Target="../../../../../:b:/g/personal/kontakt_seniorenengel-alltagsbegleitung_de/IQBMOD_Aja8nTbUFUflwH9dAAXiBzP3TJRzL4Tna02uBXEM?e=xSYsR9" TargetMode="External"/><Relationship Id="rId191" Type="http://schemas.openxmlformats.org/officeDocument/2006/relationships/hyperlink" Target="../../../../:b:/g/personal/kontakt_seniorenengel-alltagsbegleitung_de/IQCe8ZSYELpnQ4F7QsqlHiNMAfr8X5xXeI47Rtszk3S07SA%3fe=6pXIgW" TargetMode="External"/><Relationship Id="rId205" Type="http://schemas.openxmlformats.org/officeDocument/2006/relationships/hyperlink" Target="../../../../:b:/g/personal/kontakt_seniorenengel-alltagsbegleitung_de/IQCOqVQw2_V3TZrMEuUaIb6LASrLvK1sNyOTigkTXXFEqNI%3fe=8eGIRe" TargetMode="External"/><Relationship Id="rId247" Type="http://schemas.openxmlformats.org/officeDocument/2006/relationships/hyperlink" Target="../../../../:b:/g/personal/kontakt_seniorenengel-alltagsbegleitung_de/IQD2XjWoF09PQrszdWFRwOzSAfIoB4P1T9Q-dSYbmL5Ufaw%3fe=KgYBJY" TargetMode="External"/><Relationship Id="rId412" Type="http://schemas.openxmlformats.org/officeDocument/2006/relationships/hyperlink" Target="../../../../../:b:/g/personal/kontakt_seniorenengel-alltagsbegleitung_de/IQCRG4BFgNlsTrzq0BiGOfOTAVxZ5xLK4RH6NHqn1LIHm_8?e=Z6E6lo" TargetMode="External"/><Relationship Id="rId107" Type="http://schemas.openxmlformats.org/officeDocument/2006/relationships/hyperlink" Target="../../../../:b:/g/personal/kontakt_seniorenengel-alltagsbegleitung_de/Efndbs2tXsJHktvCQT7JSXIBlKScdCx_cvumbqpJX6bG3Q%3fe=w82njT" TargetMode="External"/><Relationship Id="rId289" Type="http://schemas.openxmlformats.org/officeDocument/2006/relationships/hyperlink" Target="../../../../:b:/g/personal/kontakt_seniorenengel-alltagsbegleitung_de/IQB65cp4o0ELRIEy2TONfLcSAS2bequii7ROyQ_LRjwDR2U%3fe=EsR0Wg" TargetMode="External"/><Relationship Id="rId454" Type="http://schemas.openxmlformats.org/officeDocument/2006/relationships/hyperlink" Target="../../../../../:b:/g/personal/kontakt_seniorenengel-alltagsbegleitung_de/IQB-AOkTf0SLTJpfnLWgTBu1AROzCfUkuBf7TUQHiAxSDUc?e=0sqhYb" TargetMode="External"/><Relationship Id="rId11" Type="http://schemas.openxmlformats.org/officeDocument/2006/relationships/hyperlink" Target="../../../AppData/Roaming/Microsoft/Excel/04_Leistungsnachweise/202507_2_Inge_Leupold.pdf" TargetMode="External"/><Relationship Id="rId53" Type="http://schemas.openxmlformats.org/officeDocument/2006/relationships/hyperlink" Target="../../../../:i:/g/personal/kontakt_seniorenengel-alltagsbegleitung_de/EfkrXXIWFpZCjiAtJXasKOQB3wAxTza2dzKdEDEbwWW2tg%3fe=vcEtCw" TargetMode="External"/><Relationship Id="rId149" Type="http://schemas.openxmlformats.org/officeDocument/2006/relationships/hyperlink" Target="../../../../:b:/g/personal/kontakt_seniorenengel-alltagsbegleitung_de/EdzyqSOco-1Dsvi8mipMFoABptieCbbWY8JqvHvX16fWaA%3fe=LjaEPb" TargetMode="External"/><Relationship Id="rId314" Type="http://schemas.openxmlformats.org/officeDocument/2006/relationships/hyperlink" Target="../../../../:i:/g/personal/kontakt_seniorenengel-alltagsbegleitung_de/IQCc954blbsjRJsNcXoBq_1lAVEm0vT4AY9oR1X-RkCjzFE%3fe=mAO4rv" TargetMode="External"/><Relationship Id="rId356" Type="http://schemas.openxmlformats.org/officeDocument/2006/relationships/hyperlink" Target="../../../../../:b:/g/personal/kontakt_seniorenengel-alltagsbegleitung_de/IQAt7lNJTMYyRqE3KcyvlEEUAaeJ3GX-TmlDAoHunv00t6g?e=lDotk3" TargetMode="External"/><Relationship Id="rId398" Type="http://schemas.openxmlformats.org/officeDocument/2006/relationships/hyperlink" Target="../../../../../:b:/g/personal/kontakt_seniorenengel-alltagsbegleitung_de/IQCHKyv-0B6GQp4PS--ya0LTAc6IkqrcWshfGIMvyBDumzw?e=KmLKqF" TargetMode="External"/><Relationship Id="rId95" Type="http://schemas.openxmlformats.org/officeDocument/2006/relationships/hyperlink" Target="../../../../:b:/g/personal/kontakt_seniorenengel-alltagsbegleitung_de/EfzVNr5CkMZGh8comH_jwGMBYnGC8Xmc9c22Tpy7PChuJg%3fe=HWQxxb" TargetMode="External"/><Relationship Id="rId160" Type="http://schemas.openxmlformats.org/officeDocument/2006/relationships/hyperlink" Target="../../../../:b:/g/personal/kontakt_seniorenengel-alltagsbegleitung_de/EUy5P77TE5REnDtFJ86VIRcB0uPP8T-F-ovVrw2zGNgYog%3fe=yMrWtP" TargetMode="External"/><Relationship Id="rId216" Type="http://schemas.openxmlformats.org/officeDocument/2006/relationships/hyperlink" Target="../../../../:b:/g/personal/kontakt_seniorenengel-alltagsbegleitung_de/IQDowx7n9skNTp_I7450gurNAf5vr8UDTM44ZkjtuV_GdYU%3fe=kaObME" TargetMode="External"/><Relationship Id="rId423" Type="http://schemas.openxmlformats.org/officeDocument/2006/relationships/hyperlink" Target="../../../../../:b:/g/personal/kontakt_seniorenengel-alltagsbegleitung_de/IQB_Lb8vIMz6Tpzg84g9bXOyATJjBUGEv7jewXU-uP3dN3w?e=SrLdir" TargetMode="External"/><Relationship Id="rId258" Type="http://schemas.openxmlformats.org/officeDocument/2006/relationships/hyperlink" Target="../../../../:b:/g/personal/kontakt_seniorenengel-alltagsbegleitung_de/IQBQlqQLj9q5S7DU1S9SgnHrAQEbgjDY6xz7arMU_Y3ChDA%3fe=3iYAhr" TargetMode="External"/><Relationship Id="rId465" Type="http://schemas.openxmlformats.org/officeDocument/2006/relationships/hyperlink" Target="../../../../../:b:/g/personal/kontakt_seniorenengel-alltagsbegleitung_de/IQC-E1AmvuxsSrKoLcfZenA9AQaHLIHRuJS2wyVfHbFiqIU?e=QHFTg6" TargetMode="External"/><Relationship Id="rId22" Type="http://schemas.openxmlformats.org/officeDocument/2006/relationships/hyperlink" Target="../../../AppData/Roaming/Microsoft/Excel/04_Leistungsnachweise/202507_Helga_Dienelt.pdf" TargetMode="External"/><Relationship Id="rId64" Type="http://schemas.openxmlformats.org/officeDocument/2006/relationships/hyperlink" Target="../../../../:b:/g/personal/kontakt_seniorenengel-alltagsbegleitung_de/EewClDT3hWBCn9mJL3RL2jABJWyYehvtl01VJlNSNezDYA%3fe=t00E1y" TargetMode="External"/><Relationship Id="rId118" Type="http://schemas.openxmlformats.org/officeDocument/2006/relationships/hyperlink" Target="../../../../:b:/g/personal/kontakt_seniorenengel-alltagsbegleitung_de/EbFvejJdS3VCrwYu1s41gssBeolVmvilkq8SLUMM0ropYQ%3fe=JVd7Kv" TargetMode="External"/><Relationship Id="rId325" Type="http://schemas.openxmlformats.org/officeDocument/2006/relationships/hyperlink" Target="../../../../:b:/g/personal/kontakt_seniorenengel-alltagsbegleitung_de/IQDrrDT93ZkoTqXJh90k1iP1AaNg2JJIYmTssE1Fygq6MwQ%3fe=gosh43" TargetMode="External"/><Relationship Id="rId367" Type="http://schemas.openxmlformats.org/officeDocument/2006/relationships/hyperlink" Target="../../../../../:b:/g/personal/kontakt_seniorenengel-alltagsbegleitung_de/IQBp5FTw9AlWRYFi9YfrcP6rAVsI0n4ID_-dKkwBWUjO3so?e=eiPLJB" TargetMode="External"/><Relationship Id="rId171" Type="http://schemas.openxmlformats.org/officeDocument/2006/relationships/hyperlink" Target="../../../../:b:/g/personal/kontakt_seniorenengel-alltagsbegleitung_de/IQDMIqKAEpxlRLdPio6q69ADAd6UJTc21cNTuiME8Qtth0A%3fe=2JX7gh" TargetMode="External"/><Relationship Id="rId227" Type="http://schemas.openxmlformats.org/officeDocument/2006/relationships/hyperlink" Target="../../../../:b:/g/personal/kontakt_seniorenengel-alltagsbegleitung_de/IQDSzREYLtuGS6ERYWEPMGo-AYE8IcMPcz2gMVtHL0BMDH0%3fe=fa8Gjl" TargetMode="External"/><Relationship Id="rId269" Type="http://schemas.openxmlformats.org/officeDocument/2006/relationships/hyperlink" Target="../../../../:b:/g/personal/kontakt_seniorenengel-alltagsbegleitung_de/IQDCUetfJ1txQ7JWHmD5C-nHAWaugCjF0XNCSfPiGyHLwFY%3fe=FYa6Pi" TargetMode="External"/><Relationship Id="rId434" Type="http://schemas.openxmlformats.org/officeDocument/2006/relationships/hyperlink" Target="../../../../../:i:/g/personal/kontakt_seniorenengel-alltagsbegleitung_de/IQCBNOWGHb-KRJNbtXJoe6ZTAT0CFibBAP_R6r8n8fZpQzo?e=MuDaFi" TargetMode="External"/><Relationship Id="rId476" Type="http://schemas.openxmlformats.org/officeDocument/2006/relationships/hyperlink" Target="../../../../../:b:/g/personal/kontakt_seniorenengel-alltagsbegleitung_de/IQAUrYs8HyP2Sqxaa7tFoIX7AapCNcUMT76T094xnekSVCQ?e=yYj5GJ" TargetMode="External"/><Relationship Id="rId33" Type="http://schemas.openxmlformats.org/officeDocument/2006/relationships/hyperlink" Target="../../../AppData/Roaming/Microsoft/Excel/04_Leistungsnachweise/202507_Rita_Nitschke.pdf" TargetMode="External"/><Relationship Id="rId129" Type="http://schemas.openxmlformats.org/officeDocument/2006/relationships/hyperlink" Target="../../../../:b:/g/personal/kontakt_seniorenengel-alltagsbegleitung_de/EXKFMUmg8R9JvspYCrVh0s4ByrYIaX0AeZuYeWYQ48Yc0Q%3fe=uofHeW" TargetMode="External"/><Relationship Id="rId280" Type="http://schemas.openxmlformats.org/officeDocument/2006/relationships/hyperlink" Target="../../../../:b:/g/personal/kontakt_seniorenengel-alltagsbegleitung_de/IQBNZJ32L3pOSqmxLc8s2Z4-AazrogdfB2HkNTZzFvTN3y4%3fe=sS0RIf" TargetMode="External"/><Relationship Id="rId336" Type="http://schemas.openxmlformats.org/officeDocument/2006/relationships/hyperlink" Target="../../../../:b:/g/personal/kontakt_seniorenengel-alltagsbegleitung_de/IQDi9QFUz9jYS7e_g2IPhRIVAY1tFcBZUq2GyvgN73WtbRQ%3fe=JaGxOs" TargetMode="External"/><Relationship Id="rId75" Type="http://schemas.openxmlformats.org/officeDocument/2006/relationships/hyperlink" Target="../../../../:b:/g/personal/kontakt_seniorenengel-alltagsbegleitung_de/ETD4a7Qt-qFIro-JWybKxbEB0-YdstE0JgPRi9oq2JENBA%3fe=iOFPfl" TargetMode="External"/><Relationship Id="rId140" Type="http://schemas.openxmlformats.org/officeDocument/2006/relationships/hyperlink" Target="../../../../:b:/g/personal/kontakt_seniorenengel-alltagsbegleitung_de/EUB7eQsGtlZHlwa6waQXFeMBibCUSTYbooHVtJ_pkK6KoQ%3fe=QZ4YD3" TargetMode="External"/><Relationship Id="rId182" Type="http://schemas.openxmlformats.org/officeDocument/2006/relationships/hyperlink" Target="../../../../:b:/g/personal/kontakt_seniorenengel-alltagsbegleitung_de/IQBm5bWd7tVsSZuSvVDv_JVFAXfvyZCXXXFaKsqT7h7k9vs%3fe=SwldQG" TargetMode="External"/><Relationship Id="rId378" Type="http://schemas.openxmlformats.org/officeDocument/2006/relationships/hyperlink" Target="../../../../../:b:/g/personal/kontakt_seniorenengel-alltagsbegleitung_de/IQBqo7BLecIKRY8X0zaVvRHOAQoHChUHvxxptOGN6qFxiKw?e=6PuBao" TargetMode="External"/><Relationship Id="rId403" Type="http://schemas.openxmlformats.org/officeDocument/2006/relationships/hyperlink" Target="../../../../../:b:/g/personal/kontakt_seniorenengel-alltagsbegleitung_de/IQDw68IGywRJSZYNwQeF5SksAdP3yxFt1wVWlQfUB4LCmy8?e=q21mcm" TargetMode="External"/><Relationship Id="rId6" Type="http://schemas.openxmlformats.org/officeDocument/2006/relationships/hyperlink" Target="../../../AppData/Roaming/Microsoft/Excel/04_Leistungsnachweise/202506_Elke_Berghold.pdf" TargetMode="External"/><Relationship Id="rId238" Type="http://schemas.openxmlformats.org/officeDocument/2006/relationships/hyperlink" Target="../../../../:b:/g/personal/kontakt_seniorenengel-alltagsbegleitung_de/IQACfRQhEO9MS6CVlyzwrKffAY9_SU38uEE-aihqWnioIxQ%3fe=H91CnM" TargetMode="External"/><Relationship Id="rId445" Type="http://schemas.openxmlformats.org/officeDocument/2006/relationships/hyperlink" Target="../../../../../:i:/g/personal/kontakt_seniorenengel-alltagsbegleitung_de/IQBH9scUMdPZT7N7kBmfL9ryAWSdFTs2oDu2_4FT-yEkjXM?e=HG40OJ" TargetMode="External"/><Relationship Id="rId487" Type="http://schemas.openxmlformats.org/officeDocument/2006/relationships/hyperlink" Target="../../../../../:i:/g/personal/kontakt_seniorenengel-alltagsbegleitung_de/IQCixgnTfzOPR5__EX9HUBr3AeFU2q5o0-LkjtBzrZXoFoI?e=k82267" TargetMode="External"/><Relationship Id="rId291" Type="http://schemas.openxmlformats.org/officeDocument/2006/relationships/hyperlink" Target="../../../../:b:/g/personal/kontakt_seniorenengel-alltagsbegleitung_de/IQDoSLyuEV6LSKTvo8rCE1i3Ae_d3JkSxhDdwXmgaDt9O-U%3fe=fnkjFM" TargetMode="External"/><Relationship Id="rId305" Type="http://schemas.openxmlformats.org/officeDocument/2006/relationships/hyperlink" Target="../../../../:b:/g/personal/kontakt_seniorenengel-alltagsbegleitung_de/IQBd6uLqeIbqSYe6y_98uaI5AUAORkgo-_UWLlxoddJM3-0%3fe=ne8KHj" TargetMode="External"/><Relationship Id="rId347" Type="http://schemas.openxmlformats.org/officeDocument/2006/relationships/hyperlink" Target="../../../../../:i:/g/personal/kontakt_seniorenengel-alltagsbegleitung_de/IQCtotXMyhiyRrm6Ax4EjosEAYrhVOY7Tkw1ZsSIHjQWrEg?e=Bcg3ZG" TargetMode="External"/><Relationship Id="rId44" Type="http://schemas.openxmlformats.org/officeDocument/2006/relationships/hyperlink" Target="../../../../:i:/g/personal/kontakt_seniorenengel-alltagsbegleitung_de/Edh8uMHzyytNotvbNmadCa8BeCXhgkN9wDvab-e3pFmmrg%3fe=SHYlVd" TargetMode="External"/><Relationship Id="rId86" Type="http://schemas.openxmlformats.org/officeDocument/2006/relationships/hyperlink" Target="../../../../:b:/g/personal/kontakt_seniorenengel-alltagsbegleitung_de/EfLhYHClWbJKpCAYUSzS5zQBWFBw4Nq-iHroLFQGTtXF0w%3fe=1mqFd3" TargetMode="External"/><Relationship Id="rId151" Type="http://schemas.openxmlformats.org/officeDocument/2006/relationships/hyperlink" Target="../../../../:b:/g/personal/kontakt_seniorenengel-alltagsbegleitung_de/EfCM5iMOqbxBsuBpDODGVUYB2FSEvkJ78ZBHwfY0nCLxGA%3fe=4U6Ogb" TargetMode="External"/><Relationship Id="rId389" Type="http://schemas.openxmlformats.org/officeDocument/2006/relationships/hyperlink" Target="../../../../../:b:/g/personal/kontakt_seniorenengel-alltagsbegleitung_de/IQBMOD_Aja8nTbUFUflwH9dAAXiBzP3TJRzL4Tna02uBXEM?e=xSYsR9" TargetMode="External"/><Relationship Id="rId193" Type="http://schemas.openxmlformats.org/officeDocument/2006/relationships/hyperlink" Target="../../../../:b:/g/personal/kontakt_seniorenengel-alltagsbegleitung_de/IQCSWBKMKlnqT7wjJYcfV2G1Afjgy5TVwX1LQnSrshgfDWY%3fe=HoQAwV" TargetMode="External"/><Relationship Id="rId207" Type="http://schemas.openxmlformats.org/officeDocument/2006/relationships/hyperlink" Target="../../../../:b:/g/personal/kontakt_seniorenengel-alltagsbegleitung_de/IQDKjZywIN_GTpX5Ae05oZoSAUM1WxvZ5kWRSbOkZM6eEXM%3fe=Te0d5h" TargetMode="External"/><Relationship Id="rId249" Type="http://schemas.openxmlformats.org/officeDocument/2006/relationships/hyperlink" Target="../../../../:b:/g/personal/kontakt_seniorenengel-alltagsbegleitung_de/IQCNZ28HByvoT7e0danDqWlHAfHD5w_O-DAFrlCk7Y06k-g%3fe=8ejHxF" TargetMode="External"/><Relationship Id="rId414" Type="http://schemas.openxmlformats.org/officeDocument/2006/relationships/hyperlink" Target="../../../../../:b:/g/personal/kontakt_seniorenengel-alltagsbegleitung_de/IQDcOnxFJnVPRpau6ZJBbathAagHXeRU69CR0D3Kpdot7Uc?e=cBqS0l" TargetMode="External"/><Relationship Id="rId456" Type="http://schemas.openxmlformats.org/officeDocument/2006/relationships/hyperlink" Target="../../../../../:b:/g/personal/kontakt_seniorenengel-alltagsbegleitung_de/IQB-AOkTf0SLTJpfnLWgTBu1AROzCfUkuBf7TUQHiAxSDUc?e=0sqhYb" TargetMode="External"/><Relationship Id="rId13" Type="http://schemas.openxmlformats.org/officeDocument/2006/relationships/hyperlink" Target="../../../AppData/Roaming/Microsoft/Excel/04_Leistungsnachweise/202507_Christian_Jungnickel.pdf" TargetMode="External"/><Relationship Id="rId109" Type="http://schemas.openxmlformats.org/officeDocument/2006/relationships/hyperlink" Target="../../../../:b:/g/personal/kontakt_seniorenengel-alltagsbegleitung_de/Eal0nBFEaYlHuhNBb1H8OWYB8VwpPIdh5gSKtfFgXp1joA%3fe=cSs2ta" TargetMode="External"/><Relationship Id="rId260" Type="http://schemas.openxmlformats.org/officeDocument/2006/relationships/hyperlink" Target="../../../../:b:/g/personal/kontakt_seniorenengel-alltagsbegleitung_de/IQAXyOrziYVSTZ7jv9QPxjreAeeXZMdwtccVBuR9ShySWlw%3fe=lxgSiE" TargetMode="External"/><Relationship Id="rId316" Type="http://schemas.openxmlformats.org/officeDocument/2006/relationships/hyperlink" Target="../../../../:b:/g/personal/kontakt_seniorenengel-alltagsbegleitung_de/IQC_GGdZOqAIS7K8Kn0HOBRxAb6x_KiP8dSs_tWoAptZgMY%3fe=QP5Zja" TargetMode="External"/><Relationship Id="rId55" Type="http://schemas.openxmlformats.org/officeDocument/2006/relationships/hyperlink" Target="../../../../:b:/g/personal/kontakt_seniorenengel-alltagsbegleitung_de/Efe95BeB0UZGhJxX1NMcP5sBogQA-q08AGlXCAPXryVsPg%3fe=OXjaQg" TargetMode="External"/><Relationship Id="rId97" Type="http://schemas.openxmlformats.org/officeDocument/2006/relationships/hyperlink" Target="../../../../:b:/g/personal/kontakt_seniorenengel-alltagsbegleitung_de/EfzVNr5CkMZGh8comH_jwGMBYnGC8Xmc9c22Tpy7PChuJg%3fe=HWQxxb" TargetMode="External"/><Relationship Id="rId120" Type="http://schemas.openxmlformats.org/officeDocument/2006/relationships/hyperlink" Target="../../../../:b:/g/personal/kontakt_seniorenengel-alltagsbegleitung_de/EQX3m628LhZEpZfxxv6xImIBOMXg_e2hqFEXI-kKi77THg%3fe=dxS7yO" TargetMode="External"/><Relationship Id="rId358" Type="http://schemas.openxmlformats.org/officeDocument/2006/relationships/hyperlink" Target="../../../../../:b:/g/personal/kontakt_seniorenengel-alltagsbegleitung_de/IQAvyvU7HEF7SKnYLXIvVKHWAf_R04vVg_IMmKNaXnmq2Qw?e=pRQH6f" TargetMode="External"/><Relationship Id="rId162" Type="http://schemas.openxmlformats.org/officeDocument/2006/relationships/hyperlink" Target="../../../../:b:/g/personal/kontakt_seniorenengel-alltagsbegleitung_de/EUy5P77TE5REnDtFJ86VIRcB0uPP8T-F-ovVrw2zGNgYog%3fe=yMrWtP" TargetMode="External"/><Relationship Id="rId218" Type="http://schemas.openxmlformats.org/officeDocument/2006/relationships/hyperlink" Target="../../../../:b:/g/personal/kontakt_seniorenengel-alltagsbegleitung_de/IQDHSxpbrZbuT6HIE2dsQnBmAZDOdvUek7CrgHbe8-z6jFw%3fe=24VfiD" TargetMode="External"/><Relationship Id="rId425" Type="http://schemas.openxmlformats.org/officeDocument/2006/relationships/hyperlink" Target="../../../../../:b:/g/personal/kontakt_seniorenengel-alltagsbegleitung_de/IQClXlSh2w-QSJmV_kHuzdBBASlVAob65XNc6wPeIcz64hc?e=YWYH6B" TargetMode="External"/><Relationship Id="rId467" Type="http://schemas.openxmlformats.org/officeDocument/2006/relationships/hyperlink" Target="../../../../../:b:/g/personal/kontakt_seniorenengel-alltagsbegleitung_de/IQCTVNcFN8yKQLXSQzXx0fPzAYq1JnZmYm4rCnEhqNvI7xY?e=HpBvpO" TargetMode="External"/><Relationship Id="rId271" Type="http://schemas.openxmlformats.org/officeDocument/2006/relationships/hyperlink" Target="../../../../:b:/g/personal/kontakt_seniorenengel-alltagsbegleitung_de/IQClnWnB8r-dQa5oN-lbJaVnAZy4Z1SCrrORlVLrIgT7osU%3fe=koQQ60" TargetMode="External"/><Relationship Id="rId24" Type="http://schemas.openxmlformats.org/officeDocument/2006/relationships/hyperlink" Target="../../../AppData/Roaming/Microsoft/Excel/04_Leistungsnachweise/202507_Hella_Rei&#223;ig.pdf" TargetMode="External"/><Relationship Id="rId66" Type="http://schemas.openxmlformats.org/officeDocument/2006/relationships/hyperlink" Target="../../../../:b:/g/personal/kontakt_seniorenengel-alltagsbegleitung_de/EZnGPzJmqxdOjTFngBhM5KABe0xuot1CuYr-4-MOEzW8JA%3fe=HJk5aH" TargetMode="External"/><Relationship Id="rId131" Type="http://schemas.openxmlformats.org/officeDocument/2006/relationships/hyperlink" Target="../../../../:b:/g/personal/kontakt_seniorenengel-alltagsbegleitung_de/ES3Czn5WwBJLgMvWY7HGNyEBkkzyLZGEUpUqfumLmgRMOA%3fe=ehv8KH" TargetMode="External"/><Relationship Id="rId327" Type="http://schemas.openxmlformats.org/officeDocument/2006/relationships/hyperlink" Target="../../../../:b:/g/personal/kontakt_seniorenengel-alltagsbegleitung_de/IQAabXtjyxD-RZYUcsVjWwhqAb-GO4Ei8IKD1ouSbYiQRO4%3fe=e3gqCT" TargetMode="External"/><Relationship Id="rId369" Type="http://schemas.openxmlformats.org/officeDocument/2006/relationships/hyperlink" Target="../../../../../:b:/g/personal/kontakt_seniorenengel-alltagsbegleitung_de/IQBQNl81aPM1TbOanqCSY0bpAdE2RY29rl6bDQ53b2_2gIQ?e=vN4Zg5" TargetMode="External"/><Relationship Id="rId173" Type="http://schemas.openxmlformats.org/officeDocument/2006/relationships/hyperlink" Target="../../../../:b:/g/personal/kontakt_seniorenengel-alltagsbegleitung_de/IQDMIqKAEpxlRLdPio6q69ADAd6UJTc21cNTuiME8Qtth0A%3fe=2JX7gh" TargetMode="External"/><Relationship Id="rId229" Type="http://schemas.openxmlformats.org/officeDocument/2006/relationships/hyperlink" Target="../../../../:i:/g/personal/kontakt_seniorenengel-alltagsbegleitung_de/IQCSJHfOIPunQ7bk8Ls5lFw8AWwrZBYVb85f27Gu_o2B_fI%3fe=4jbDTv" TargetMode="External"/><Relationship Id="rId380" Type="http://schemas.openxmlformats.org/officeDocument/2006/relationships/hyperlink" Target="../../../../../:b:/g/personal/kontakt_seniorenengel-alltagsbegleitung_de/IQBqo7BLecIKRY8X0zaVvRHOAQoHChUHvxxptOGN6qFxiKw?e=6PuBao" TargetMode="External"/><Relationship Id="rId436" Type="http://schemas.openxmlformats.org/officeDocument/2006/relationships/hyperlink" Target="../../../../../:b:/g/personal/kontakt_seniorenengel-alltagsbegleitung_de/IQCQUsdNhcpfTLBRnQgR0tXOAbOcfdyWsYoi3nNtVipieF4?e=JI537s" TargetMode="External"/><Relationship Id="rId240" Type="http://schemas.openxmlformats.org/officeDocument/2006/relationships/hyperlink" Target="../../../../:b:/g/personal/kontakt_seniorenengel-alltagsbegleitung_de/IQBq6oM8IXIITbzjFcb_AflrAWplxwfECgfX4wZa0ZEKdC0%3fe=nMzGu7" TargetMode="External"/><Relationship Id="rId478" Type="http://schemas.openxmlformats.org/officeDocument/2006/relationships/hyperlink" Target="../../../../../:b:/g/personal/kontakt_seniorenengel-alltagsbegleitung_de/IQAUrYs8HyP2Sqxaa7tFoIX7AapCNcUMT76T094xnekSVCQ?e=yYj5GJ" TargetMode="External"/><Relationship Id="rId35" Type="http://schemas.openxmlformats.org/officeDocument/2006/relationships/hyperlink" Target="../../../../:i:/g/personal/kontakt_seniorenengel-alltagsbegleitung_de/EcHOvTsfq91Aqk0Iw50raq4BWs2OLpIEWruJFbErRr2XWw%3fe=Vd1CVV" TargetMode="External"/><Relationship Id="rId77" Type="http://schemas.openxmlformats.org/officeDocument/2006/relationships/hyperlink" Target="../../../../:b:/g/personal/kontakt_seniorenengel-alltagsbegleitung_de/ETD4a7Qt-qFIro-JWybKxbEB0-YdstE0JgPRi9oq2JENBA%3fe=iOFPfl" TargetMode="External"/><Relationship Id="rId100" Type="http://schemas.openxmlformats.org/officeDocument/2006/relationships/hyperlink" Target="../../../../:b:/g/personal/kontakt_seniorenengel-alltagsbegleitung_de/EfJBx67lMd9Hv3BjiOjuBqgBvnxRPYiD9na1J4rJbacvOQ%3fe=f09Con" TargetMode="External"/><Relationship Id="rId282" Type="http://schemas.openxmlformats.org/officeDocument/2006/relationships/hyperlink" Target="../../../../:b:/g/personal/kontakt_seniorenengel-alltagsbegleitung_de/IQBNZJ32L3pOSqmxLc8s2Z4-AazrogdfB2HkNTZzFvTN3y4%3fe=sS0RIf" TargetMode="External"/><Relationship Id="rId338" Type="http://schemas.openxmlformats.org/officeDocument/2006/relationships/hyperlink" Target="../../../../:b:/g/personal/kontakt_seniorenengel-alltagsbegleitung_de/IQDXvMAmbRyFTaz5vdVeK_uQATDOSLLP_JzdZCliM1_PzEI%3fe=mWL8bA" TargetMode="External"/><Relationship Id="rId8" Type="http://schemas.openxmlformats.org/officeDocument/2006/relationships/hyperlink" Target="../../../AppData/Roaming/Microsoft/Excel/04_Leistungsnachweise/202506_Helga_Dienelt.pdf" TargetMode="External"/><Relationship Id="rId142" Type="http://schemas.openxmlformats.org/officeDocument/2006/relationships/hyperlink" Target="../../../../:b:/g/personal/kontakt_seniorenengel-alltagsbegleitung_de/EXeuwGccOkpFk3PHRnbtnfcBgadNZunU6b5_2JRTvhzZcg%3fe=DtDWtF" TargetMode="External"/><Relationship Id="rId184" Type="http://schemas.openxmlformats.org/officeDocument/2006/relationships/hyperlink" Target="../../../../:b:/g/personal/kontakt_seniorenengel-alltagsbegleitung_de/IQD7-rf-MFG5TJ-ZEBC8a9PKAaDez2UTnh9LX1y8HD4PAl0%3fe=xTenlX" TargetMode="External"/><Relationship Id="rId391" Type="http://schemas.openxmlformats.org/officeDocument/2006/relationships/hyperlink" Target="../../../../../:b:/g/personal/kontakt_seniorenengel-alltagsbegleitung_de/IQCS1DneENVzSZyvdEUMPpEQAR63uZl0-MmclIQobRiPCuc?e=XmDb6o" TargetMode="External"/><Relationship Id="rId405" Type="http://schemas.openxmlformats.org/officeDocument/2006/relationships/hyperlink" Target="../../../../../:b:/g/personal/kontakt_seniorenengel-alltagsbegleitung_de/IQBAIw-DJvhEQZSXCY2LlIi4AXo2SOgD934NF5F5IS_NYNs?e=qbWPFN" TargetMode="External"/><Relationship Id="rId447" Type="http://schemas.openxmlformats.org/officeDocument/2006/relationships/hyperlink" Target="../../../../../:i:/g/personal/kontakt_seniorenengel-alltagsbegleitung_de/IQB4ZVD1NKYvQb6Jo8i3IVsgAXUuqrPLyTjtHt6MYuAVZX8?e=K7zufD" TargetMode="External"/><Relationship Id="rId251" Type="http://schemas.openxmlformats.org/officeDocument/2006/relationships/hyperlink" Target="../../../../:b:/g/personal/kontakt_seniorenengel-alltagsbegleitung_de/IQCtdmihvqd9SJ0_6Xu6LZmQAe69WDrDM_oukodrPtNU8dM%3fe=6rnGEh" TargetMode="External"/><Relationship Id="rId489" Type="http://schemas.openxmlformats.org/officeDocument/2006/relationships/hyperlink" Target="../../../../../:b:/g/personal/kontakt_seniorenengel-alltagsbegleitung_de/IQBGLfu2d6r9SoqvjgCuR0j_Act4tJwKHRBdfbdvBuUAfBM?e=wWe6v0" TargetMode="External"/><Relationship Id="rId46" Type="http://schemas.openxmlformats.org/officeDocument/2006/relationships/hyperlink" Target="../../../../:i:/g/personal/kontakt_seniorenengel-alltagsbegleitung_de/EcZKnwxVC0VJlAbkhbdnqPcBJNBjZnkk2Dj66W2fxjQSBw%3fe=7c8LjG" TargetMode="External"/><Relationship Id="rId293" Type="http://schemas.openxmlformats.org/officeDocument/2006/relationships/hyperlink" Target="../../../../:b:/g/personal/kontakt_seniorenengel-alltagsbegleitung_de/IQAY6VUYk0BxQKYih7vG-FgQAcpt-xwmowO9BGuaff3-4z0%3fe=7hfN27" TargetMode="External"/><Relationship Id="rId307" Type="http://schemas.openxmlformats.org/officeDocument/2006/relationships/hyperlink" Target="../../../../:i:/g/personal/kontakt_seniorenengel-alltagsbegleitung_de/IQATHjHnmeD4Q78UbtMLlOOSATPohGyKQdrN6QpQP_gnsZg%3fe=Yc705X" TargetMode="External"/><Relationship Id="rId349" Type="http://schemas.openxmlformats.org/officeDocument/2006/relationships/hyperlink" Target="../../../../../:i:/g/personal/kontakt_seniorenengel-alltagsbegleitung_de/IQAK1cjpdYsrQoD9LqlkiA7QAUVyHbuhSMLsABvP9CCfv5s?e=g0xhju" TargetMode="External"/><Relationship Id="rId88" Type="http://schemas.openxmlformats.org/officeDocument/2006/relationships/hyperlink" Target="../../../../:b:/g/personal/kontakt_seniorenengel-alltagsbegleitung_de/EfLhYHClWbJKpCAYUSzS5zQBWFBw4Nq-iHroLFQGTtXF0w%3fe=1mqFd3" TargetMode="External"/><Relationship Id="rId111" Type="http://schemas.openxmlformats.org/officeDocument/2006/relationships/hyperlink" Target="../../../../:b:/g/personal/kontakt_seniorenengel-alltagsbegleitung_de/EaqZRiuhUr5AifdNeh-_PaIBAkmfp1e0JCVjoQ3G0j7jIg%3fe=zKRYmZ" TargetMode="External"/><Relationship Id="rId153" Type="http://schemas.openxmlformats.org/officeDocument/2006/relationships/hyperlink" Target="../../../../:b:/g/personal/kontakt_seniorenengel-alltagsbegleitung_de/EfPd1dN8WYBJgbuljhwyJ5UBOE93mT1e9XKvj7D-2iJExQ%3fe=94kiIX" TargetMode="External"/><Relationship Id="rId195" Type="http://schemas.openxmlformats.org/officeDocument/2006/relationships/hyperlink" Target="../../../../:b:/g/personal/kontakt_seniorenengel-alltagsbegleitung_de/IQDCtFXB-vFfQJ1K8LdPOcpbAQiHlKp95tTFGOzeFkLE-SM%3fe=HSPS9e" TargetMode="External"/><Relationship Id="rId209" Type="http://schemas.openxmlformats.org/officeDocument/2006/relationships/hyperlink" Target="../../../../:b:/g/personal/kontakt_seniorenengel-alltagsbegleitung_de/IQBtTvXO-BEiT7kaa0A4XmtnAVqxZsl9YdcdoJdCXzmgSUg%3fe=W0lKk1" TargetMode="External"/><Relationship Id="rId360" Type="http://schemas.openxmlformats.org/officeDocument/2006/relationships/hyperlink" Target="../../../../../:b:/g/personal/kontakt_seniorenengel-alltagsbegleitung_de/IQC0Uf2jGv1aSpqRBInq9mcYAT4QpNRzC-Qj60L51Quvm0A?e=pS2bRk" TargetMode="External"/><Relationship Id="rId416" Type="http://schemas.openxmlformats.org/officeDocument/2006/relationships/hyperlink" Target="../../../../../:b:/g/personal/kontakt_seniorenengel-alltagsbegleitung_de/IQDcOnxFJnVPRpau6ZJBbathAagHXeRU69CR0D3Kpdot7Uc?e=cBqS0l" TargetMode="External"/><Relationship Id="rId220" Type="http://schemas.openxmlformats.org/officeDocument/2006/relationships/hyperlink" Target="../../../../:b:/g/personal/kontakt_seniorenengel-alltagsbegleitung_de/IQDHSxpbrZbuT6HIE2dsQnBmAZDOdvUek7CrgHbe8-z6jFw%3fe=24VfiD" TargetMode="External"/><Relationship Id="rId458" Type="http://schemas.openxmlformats.org/officeDocument/2006/relationships/hyperlink" Target="../../../../../:b:/g/personal/kontakt_seniorenengel-alltagsbegleitung_de/IQDmmKCw3qmVQ5rXuf2A-6HAAS0YRFENvTc8vu-Y_Td6SM0?e=40lsv7" TargetMode="External"/><Relationship Id="rId15" Type="http://schemas.openxmlformats.org/officeDocument/2006/relationships/hyperlink" Target="../../../AppData/Roaming/Microsoft/Excel/04_Leistungsnachweise/202507_Dieter_Kraft.pdf" TargetMode="External"/><Relationship Id="rId57" Type="http://schemas.openxmlformats.org/officeDocument/2006/relationships/hyperlink" Target="../../../../:b:/g/personal/kontakt_seniorenengel-alltagsbegleitung_de/EUVu363iq-ZPjFAyVzY10s0BkOtviy2QNT30viFxwnNPQA%3fe=g80pjp" TargetMode="External"/><Relationship Id="rId262" Type="http://schemas.openxmlformats.org/officeDocument/2006/relationships/hyperlink" Target="../../../../:b:/g/personal/kontakt_seniorenengel-alltagsbegleitung_de/IQAXyOrziYVSTZ7jv9QPxjreAeeXZMdwtccVBuR9ShySWlw%3fe=lxgSiE" TargetMode="External"/><Relationship Id="rId318" Type="http://schemas.openxmlformats.org/officeDocument/2006/relationships/hyperlink" Target="../../../../:b:/g/personal/kontakt_seniorenengel-alltagsbegleitung_de/IQDb2oI81wLkQKBsPM12h3eTARR0sEoPoNt2DqQ97SEPCiw%3fe=ilzYY8" TargetMode="External"/><Relationship Id="rId99" Type="http://schemas.openxmlformats.org/officeDocument/2006/relationships/hyperlink" Target="../../../../:b:/g/personal/kontakt_seniorenengel-alltagsbegleitung_de/EXOOL9KgkVZLh_zb8fuGkTQBWDZHY9TjL8vJ-hiJaE1cWQ%3fe=pyHQr7" TargetMode="External"/><Relationship Id="rId122" Type="http://schemas.openxmlformats.org/officeDocument/2006/relationships/hyperlink" Target="../../../../:b:/g/personal/kontakt_seniorenengel-alltagsbegleitung_de/EQX3m628LhZEpZfxxv6xImIBOMXg_e2hqFEXI-kKi77THg%3fe=dxS7yO" TargetMode="External"/><Relationship Id="rId164" Type="http://schemas.openxmlformats.org/officeDocument/2006/relationships/hyperlink" Target="../../../../:b:/g/personal/kontakt_seniorenengel-alltagsbegleitung_de/EX5njxX7uitCrAXrKEfL1sEB2B1V9Uo4SiT4jP8CHbAP4g%3fe=SaVnE8" TargetMode="External"/><Relationship Id="rId371" Type="http://schemas.openxmlformats.org/officeDocument/2006/relationships/hyperlink" Target="../../../../../:b:/g/personal/kontakt_seniorenengel-alltagsbegleitung_de/IQCByguZCf5qRrJue5msSTL3ARvM4yp1BP06aFTNiTZUpWU?e=ZDzAOn" TargetMode="External"/><Relationship Id="rId427" Type="http://schemas.openxmlformats.org/officeDocument/2006/relationships/hyperlink" Target="../../../../../:b:/g/personal/kontakt_seniorenengel-alltagsbegleitung_de/IQClXlSh2w-QSJmV_kHuzdBBASlVAob65XNc6wPeIcz64hc?e=YWYH6B" TargetMode="External"/><Relationship Id="rId469" Type="http://schemas.openxmlformats.org/officeDocument/2006/relationships/hyperlink" Target="../../../../../:b:/g/personal/kontakt_seniorenengel-alltagsbegleitung_de/IQAkyMWiq-caTodltgNg4BKPAf-Ikz72z2y-7GyEzc0S1eo?e=OEMe76" TargetMode="External"/><Relationship Id="rId26" Type="http://schemas.openxmlformats.org/officeDocument/2006/relationships/hyperlink" Target="../../../AppData/Roaming/Microsoft/Excel/04_Leistungsnachweise/202507_Lothar_Krawalski.pdf" TargetMode="External"/><Relationship Id="rId231" Type="http://schemas.openxmlformats.org/officeDocument/2006/relationships/hyperlink" Target="../../../../:i:/g/personal/kontakt_seniorenengel-alltagsbegleitung_de/IQANcq95B7H-RY1kbFXBbLIMAZlvp7F2hnRAMabqvFfr-1s%3fe=Dg1k9U" TargetMode="External"/><Relationship Id="rId273" Type="http://schemas.openxmlformats.org/officeDocument/2006/relationships/hyperlink" Target="../../../../:b:/g/personal/kontakt_seniorenengel-alltagsbegleitung_de/IQABnw0PLVCiT7ghtZ-e8FhAAXs4k8rLgyYB9KrRVO01sxE%3fe=de0AiA" TargetMode="External"/><Relationship Id="rId329" Type="http://schemas.openxmlformats.org/officeDocument/2006/relationships/hyperlink" Target="../../../../:b:/g/personal/kontakt_seniorenengel-alltagsbegleitung_de/IQBCMQ-wWX6PRLjxuKolXyFTAf6bLCsxbOGWTo6JhhKDtSQ%3fe=Dnw6PV" TargetMode="External"/><Relationship Id="rId480" Type="http://schemas.openxmlformats.org/officeDocument/2006/relationships/hyperlink" Target="../../../../../:b:/g/personal/kontakt_seniorenengel-alltagsbegleitung_de/IQAqHNGn51VoQ4n-Qs-1AiXAAW0I8aBJanZgOtAI1JsZujE?e=85CI96" TargetMode="External"/><Relationship Id="rId68" Type="http://schemas.openxmlformats.org/officeDocument/2006/relationships/hyperlink" Target="../../../../:b:/g/personal/kontakt_seniorenengel-alltagsbegleitung_de/EasN2-B9H-9Gh6zEVIVpjRsBLOf8kPoV_RwVh1TjY_245Q%3fe=dKBrzp" TargetMode="External"/><Relationship Id="rId133" Type="http://schemas.openxmlformats.org/officeDocument/2006/relationships/hyperlink" Target="../../../../:b:/g/personal/kontakt_seniorenengel-alltagsbegleitung_de/EebKdvHvNlhNjJLxjurLo4MB7JrptAwo6Z2iYYdhXvxd_A%3fe=WZKF57" TargetMode="External"/><Relationship Id="rId175" Type="http://schemas.openxmlformats.org/officeDocument/2006/relationships/hyperlink" Target="../../../../:b:/g/personal/kontakt_seniorenengel-alltagsbegleitung_de/IQBOS3eXst0wQYD0p-X5m-8CAUQTt-Xq7ndp258GlfPVCcg%3fe=Bp63iK" TargetMode="External"/><Relationship Id="rId340" Type="http://schemas.openxmlformats.org/officeDocument/2006/relationships/hyperlink" Target="../../../../:b:/g/personal/kontakt_seniorenengel-alltagsbegleitung_de/IQDXvMAmbRyFTaz5vdVeK_uQATDOSLLP_JzdZCliM1_PzEI%3fe=mWL8bA" TargetMode="External"/><Relationship Id="rId200" Type="http://schemas.openxmlformats.org/officeDocument/2006/relationships/hyperlink" Target="../../../../:b:/g/personal/kontakt_seniorenengel-alltagsbegleitung_de/IQAecBE9HcXKRbsQkU3n7ydpAXvDjRzTB7ka6OBl3DbPqgM%3fe=0HNGW2" TargetMode="External"/><Relationship Id="rId382" Type="http://schemas.openxmlformats.org/officeDocument/2006/relationships/hyperlink" Target="../../../../../:b:/g/personal/kontakt_seniorenengel-alltagsbegleitung_de/IQBqo7BLecIKRY8X0zaVvRHOAQoHChUHvxxptOGN6qFxiKw?e=6PuBao" TargetMode="External"/><Relationship Id="rId438" Type="http://schemas.openxmlformats.org/officeDocument/2006/relationships/hyperlink" Target="../../../../../:b:/g/personal/kontakt_seniorenengel-alltagsbegleitung_de/IQCQUsdNhcpfTLBRnQgR0tXOAbOcfdyWsYoi3nNtVipieF4?e=JI537s" TargetMode="External"/><Relationship Id="rId242" Type="http://schemas.openxmlformats.org/officeDocument/2006/relationships/hyperlink" Target="../../../../:b:/g/personal/kontakt_seniorenengel-alltagsbegleitung_de/IQC1c1509lB0Qb-6Uwu5PjzHAfTrrWwJAg9N9EWuK31QCpY%3fe=1lFZtl" TargetMode="External"/><Relationship Id="rId284" Type="http://schemas.openxmlformats.org/officeDocument/2006/relationships/hyperlink" Target="../../../../:b:/g/personal/kontakt_seniorenengel-alltagsbegleitung_de/IQD7QUP7asQASKqiW8OAp28eAS0YolmsKSczeYuKu11MoWs%3fe=FNu6K5" TargetMode="External"/><Relationship Id="rId491" Type="http://schemas.openxmlformats.org/officeDocument/2006/relationships/hyperlink" Target="../../../../../:b:/g/personal/kontakt_seniorenengel-alltagsbegleitung_de/IQDVoxtB0cpKS6HHn9tgd2x1AYRNIa9YWwovusFtCdum8Nw?e=vWf2ln" TargetMode="External"/><Relationship Id="rId37" Type="http://schemas.openxmlformats.org/officeDocument/2006/relationships/hyperlink" Target="../../../../:i:/g/personal/kontakt_seniorenengel-alltagsbegleitung_de/EQgfS0V3DIJDqxA9fKe8IeABwRqJOYPfZrjzK5sJQjet7A%3fe=GxXw7R" TargetMode="External"/><Relationship Id="rId79" Type="http://schemas.openxmlformats.org/officeDocument/2006/relationships/hyperlink" Target="../../../../:b:/g/personal/kontakt_seniorenengel-alltagsbegleitung_de/ETD4a7Qt-qFIro-JWybKxbEB0-YdstE0JgPRi9oq2JENBA%3fe=iOFPfl" TargetMode="External"/><Relationship Id="rId102" Type="http://schemas.openxmlformats.org/officeDocument/2006/relationships/hyperlink" Target="../../../../:b:/g/personal/kontakt_seniorenengel-alltagsbegleitung_de/EfJBx67lMd9Hv3BjiOjuBqgBvnxRPYiD9na1J4rJbacvOQ%3fe=f09Con" TargetMode="External"/><Relationship Id="rId144" Type="http://schemas.openxmlformats.org/officeDocument/2006/relationships/hyperlink" Target="../../../../:b:/g/personal/kontakt_seniorenengel-alltagsbegleitung_de/EZDc5XLQR3NPq26tjql9rjcB6fZCPxDQB6JQezXgme834w%3fe=H8FrkI" TargetMode="External"/><Relationship Id="rId90" Type="http://schemas.openxmlformats.org/officeDocument/2006/relationships/hyperlink" Target="../../../../:b:/g/personal/kontakt_seniorenengel-alltagsbegleitung_de/EZzqrQiUZDdLtj25KQejfhsBw_7kqKRqt7HFYrRSygEisg%3fe=oeN3Ab" TargetMode="External"/><Relationship Id="rId186" Type="http://schemas.openxmlformats.org/officeDocument/2006/relationships/hyperlink" Target="../../../../:b:/g/personal/kontakt_seniorenengel-alltagsbegleitung_de/IQDCYfj62saXRpO1SUDd3txwAXufXf5OtwsR4OdZUzi1eZ8%3fe=oW07pf" TargetMode="External"/><Relationship Id="rId351" Type="http://schemas.openxmlformats.org/officeDocument/2006/relationships/hyperlink" Target="../../../../../:i:/g/personal/kontakt_seniorenengel-alltagsbegleitung_de/IQAK1cjpdYsrQoD9LqlkiA7QAUVyHbuhSMLsABvP9CCfv5s?e=g0xhju" TargetMode="External"/><Relationship Id="rId393" Type="http://schemas.openxmlformats.org/officeDocument/2006/relationships/hyperlink" Target="../../../../../:b:/g/personal/kontakt_seniorenengel-alltagsbegleitung_de/IQCAC9z66KSNR4CK5NB49SfTAerPvGd5CQZ8AbdG3SR-yPM?e=B30OIu" TargetMode="External"/><Relationship Id="rId407" Type="http://schemas.openxmlformats.org/officeDocument/2006/relationships/hyperlink" Target="../../../../../:b:/g/personal/kontakt_seniorenengel-alltagsbegleitung_de/IQBiPO3_dAzmTq6SFWO7_hbmARVqVRAeaCKDmC3Qf9TeShY?e=LoQcDC" TargetMode="External"/><Relationship Id="rId449" Type="http://schemas.openxmlformats.org/officeDocument/2006/relationships/hyperlink" Target="../../../../../:i:/g/personal/kontakt_seniorenengel-alltagsbegleitung_de/IQBH9scUMdPZT7N7kBmfL9ryAWSdFTs2oDu2_4FT-yEkjXM?e=HG40OJ" TargetMode="External"/><Relationship Id="rId211" Type="http://schemas.openxmlformats.org/officeDocument/2006/relationships/hyperlink" Target="../../../../:b:/g/personal/kontakt_seniorenengel-alltagsbegleitung_de/IQDowx7n9skNTp_I7450gurNAf5vr8UDTM44ZkjtuV_GdYU%3fe=kaObME" TargetMode="External"/><Relationship Id="rId253" Type="http://schemas.openxmlformats.org/officeDocument/2006/relationships/hyperlink" Target="../../../../:b:/g/personal/kontakt_seniorenengel-alltagsbegleitung_de/IQA-3BgkSn9dRLM8i-j4HBBFAWpBmEI4NGGALfMl1JOOLf8%3fe=O7k3sa" TargetMode="External"/><Relationship Id="rId295" Type="http://schemas.openxmlformats.org/officeDocument/2006/relationships/hyperlink" Target="../../../../:b:/g/personal/kontakt_seniorenengel-alltagsbegleitung_de/IQDKDjS84pOCR4YipVORXy-zAXgoZSPkXdht0p3ZEXc6St8%3fe=P3bhOE" TargetMode="External"/><Relationship Id="rId309" Type="http://schemas.openxmlformats.org/officeDocument/2006/relationships/hyperlink" Target="../../../../:i:/g/personal/kontakt_seniorenengel-alltagsbegleitung_de/IQATHjHnmeD4Q78UbtMLlOOSATPohGyKQdrN6QpQP_gnsZg%3fe=Yc705X" TargetMode="External"/><Relationship Id="rId460" Type="http://schemas.openxmlformats.org/officeDocument/2006/relationships/hyperlink" Target="../../../../../:b:/g/personal/kontakt_seniorenengel-alltagsbegleitung_de/IQB34F5NJgQxR7RM85k25qKzAdoWEilqfPiRce7MJER3_I0?e=OGy3dn" TargetMode="External"/><Relationship Id="rId48" Type="http://schemas.openxmlformats.org/officeDocument/2006/relationships/hyperlink" Target="../../../../:b:/g/personal/kontakt_seniorenengel-alltagsbegleitung_de/Eaus-48kxu5Oopzja9375d8BUQFQubSmPR3UgkBbn8g87w%3fe=4hJgFK" TargetMode="External"/><Relationship Id="rId113" Type="http://schemas.openxmlformats.org/officeDocument/2006/relationships/hyperlink" Target="../../../../:b:/g/personal/kontakt_seniorenengel-alltagsbegleitung_de/EaqZRiuhUr5AifdNeh-_PaIBAkmfp1e0JCVjoQ3G0j7jIg%3fe=zKRYmZ" TargetMode="External"/><Relationship Id="rId320" Type="http://schemas.openxmlformats.org/officeDocument/2006/relationships/hyperlink" Target="../../../../:b:/g/personal/kontakt_seniorenengel-alltagsbegleitung_de/IQDb2oI81wLkQKBsPM12h3eTARR0sEoPoNt2DqQ97SEPCiw%3fe=ilzYY8" TargetMode="External"/><Relationship Id="rId155" Type="http://schemas.openxmlformats.org/officeDocument/2006/relationships/hyperlink" Target="../../../../:b:/g/personal/kontakt_seniorenengel-alltagsbegleitung_de/EfPd1dN8WYBJgbuljhwyJ5UBOE93mT1e9XKvj7D-2iJExQ%3fe=94kiIX" TargetMode="External"/><Relationship Id="rId197" Type="http://schemas.openxmlformats.org/officeDocument/2006/relationships/hyperlink" Target="../../../../:b:/g/personal/kontakt_seniorenengel-alltagsbegleitung_de/IQAecBE9HcXKRbsQkU3n7ydpAXvDjRzTB7ka6OBl3DbPqgM%3fe=0HNGW2" TargetMode="External"/><Relationship Id="rId362" Type="http://schemas.openxmlformats.org/officeDocument/2006/relationships/hyperlink" Target="../../../../../:b:/g/personal/kontakt_seniorenengel-alltagsbegleitung_de/IQCQ4Mhyybv0Q5Vk6W5p9f4iAe8-qYJ3lHM3AHvE0e_T0MY?e=lGjfbp" TargetMode="External"/><Relationship Id="rId418" Type="http://schemas.openxmlformats.org/officeDocument/2006/relationships/hyperlink" Target="../../../../../:b:/g/personal/kontakt_seniorenengel-alltagsbegleitung_de/IQAi3nGPB4GxR54BXnmiv9jfAb4W_5ECtY6XmeROohQcUGA?e=21GZYG" TargetMode="External"/><Relationship Id="rId222" Type="http://schemas.openxmlformats.org/officeDocument/2006/relationships/hyperlink" Target="../../../../:b:/g/personal/kontakt_seniorenengel-alltagsbegleitung_de/IQAf-lVWamfaTb9g_QA6ntT1AaMRV9SiK_daWeQFshBlyDc%3fe=VyQeK2" TargetMode="External"/><Relationship Id="rId264" Type="http://schemas.openxmlformats.org/officeDocument/2006/relationships/hyperlink" Target="../../../../:b:/g/personal/kontakt_seniorenengel-alltagsbegleitung_de/IQBMcMyBG8vMQ4k7eGcYAmtSAXlKxqPE4hTCgJZxYhqdLpA%3fe=clKcbu" TargetMode="External"/><Relationship Id="rId471" Type="http://schemas.openxmlformats.org/officeDocument/2006/relationships/hyperlink" Target="../../../../../:b:/g/personal/kontakt_seniorenengel-alltagsbegleitung_de/IQAUrYs8HyP2Sqxaa7tFoIX7AapCNcUMT76T094xnekSVCQ?e=yYj5GJ" TargetMode="External"/><Relationship Id="rId17" Type="http://schemas.openxmlformats.org/officeDocument/2006/relationships/hyperlink" Target="../../../AppData/Roaming/Microsoft/Excel/04_Leistungsnachweise/202507_G&#252;nter_Marx.pdf" TargetMode="External"/><Relationship Id="rId59" Type="http://schemas.openxmlformats.org/officeDocument/2006/relationships/hyperlink" Target="../../../../:b:/g/personal/kontakt_seniorenengel-alltagsbegleitung_de/EWVR5jeEqitMgb3PEnq1HnYBirhzMCGS9m0BmRxT-BKaQg%3fe=xnsNmX" TargetMode="External"/><Relationship Id="rId124" Type="http://schemas.openxmlformats.org/officeDocument/2006/relationships/hyperlink" Target="../../../../:b:/g/personal/kontakt_seniorenengel-alltagsbegleitung_de/Een_YQB6cRBHgsZbcyyXBCgBgnCNgnF3poWL3YLDchHYRg%3fe=baHiFA" TargetMode="External"/><Relationship Id="rId70" Type="http://schemas.openxmlformats.org/officeDocument/2006/relationships/hyperlink" Target="../../../../:b:/g/personal/kontakt_seniorenengel-alltagsbegleitung_de/EffumS3GTPNBp9r3ip3K8qQBvb2a3BumdZ5mqXVQWSYRMA%3fe=ocMQOD" TargetMode="External"/><Relationship Id="rId166" Type="http://schemas.openxmlformats.org/officeDocument/2006/relationships/hyperlink" Target="../../../../:b:/g/personal/kontakt_seniorenengel-alltagsbegleitung_de/Efci0XrMP0xOmOlgDsPkVrwBm_liZLyQVntCDQu7AaxX7w%3fe=UZYZjN" TargetMode="External"/><Relationship Id="rId331" Type="http://schemas.openxmlformats.org/officeDocument/2006/relationships/hyperlink" Target="../../../../:b:/g/personal/kontakt_seniorenengel-alltagsbegleitung_de/IQBCMQ-wWX6PRLjxuKolXyFTAf6bLCsxbOGWTo6JhhKDtSQ%3fe=Dnw6PV" TargetMode="External"/><Relationship Id="rId373" Type="http://schemas.openxmlformats.org/officeDocument/2006/relationships/hyperlink" Target="../../../../../:b:/g/personal/kontakt_seniorenengel-alltagsbegleitung_de/IQB_6Z8tlWZCQZFBCMNwrMVqAd7yuGDoRd6H3NO5_tC2KLU?e=BVbMGY" TargetMode="External"/><Relationship Id="rId429" Type="http://schemas.openxmlformats.org/officeDocument/2006/relationships/hyperlink" Target="../../../../../:i:/g/personal/kontakt_seniorenengel-alltagsbegleitung_de/IQA6C47xDMCjT7zec1RLaT75AUbIuYVkSbE887pR9cY_E-k?e=hMV06l" TargetMode="External"/><Relationship Id="rId1" Type="http://schemas.openxmlformats.org/officeDocument/2006/relationships/hyperlink" Target="../../../AppData/Roaming/Microsoft/Excel/04_Leistungsnachweise/202506_Dieter_Berghold.pdf" TargetMode="External"/><Relationship Id="rId233" Type="http://schemas.openxmlformats.org/officeDocument/2006/relationships/hyperlink" Target="../../../../:b:/g/personal/kontakt_seniorenengel-alltagsbegleitung_de/IQDTnpCUMnAaQaugh_hzSkVhAcDQJILzVQcLI2smhKU3AmA%3fe=Hk1MGo" TargetMode="External"/><Relationship Id="rId440" Type="http://schemas.openxmlformats.org/officeDocument/2006/relationships/hyperlink" Target="../../../../../:b:/g/personal/kontakt_seniorenengel-alltagsbegleitung_de/IQBXh12_XwMPT7Ep8lN6waTFAXQq3Y82orm5gLOkomX3qb8?e=FBHgpE" TargetMode="External"/><Relationship Id="rId28" Type="http://schemas.openxmlformats.org/officeDocument/2006/relationships/hyperlink" Target="../../../AppData/Roaming/Microsoft/Excel/04_Leistungsnachweise/202507_Lothar_Krawalski.pdf" TargetMode="External"/><Relationship Id="rId275" Type="http://schemas.openxmlformats.org/officeDocument/2006/relationships/hyperlink" Target="../../../../:b:/g/personal/kontakt_seniorenengel-alltagsbegleitung_de/IQAPnHAgJLXqSZgZaoYYvPvIAR84mvV6qecW212c7CzRErw%3fe=CWA6OU" TargetMode="External"/><Relationship Id="rId300" Type="http://schemas.openxmlformats.org/officeDocument/2006/relationships/hyperlink" Target="../../../../:b:/g/personal/kontakt_seniorenengel-alltagsbegleitung_de/IQBd6uLqeIbqSYe6y_98uaI5AUAORkgo-_UWLlxoddJM3-0%3fe=ne8KHj" TargetMode="External"/><Relationship Id="rId482" Type="http://schemas.openxmlformats.org/officeDocument/2006/relationships/hyperlink" Target="../../../../../:i:/g/personal/kontakt_seniorenengel-alltagsbegleitung_de/IQAL9eQX_7J-QYSQIzd_zyqJAZnY_mNOla8NvhkA8L0ps4M?e=5cXQ86" TargetMode="External"/><Relationship Id="rId81" Type="http://schemas.openxmlformats.org/officeDocument/2006/relationships/hyperlink" Target="../../../../:i:/g/personal/kontakt_seniorenengel-alltagsbegleitung_de/EULRlGx8H5FDmmVzyUPqN1UB2kT4SpCmZ-7hAC8RR9wRXA%3fe=JmJAYW" TargetMode="External"/><Relationship Id="rId135" Type="http://schemas.openxmlformats.org/officeDocument/2006/relationships/hyperlink" Target="../../../../:b:/g/personal/kontakt_seniorenengel-alltagsbegleitung_de/EaxScN9Tg7pKvGMS46hdkUMBWUSGiYQgobttMz4dy6SDDA%3fe=iu4hVR" TargetMode="External"/><Relationship Id="rId177" Type="http://schemas.openxmlformats.org/officeDocument/2006/relationships/hyperlink" Target="../../../../:b:/g/personal/kontakt_seniorenengel-alltagsbegleitung_de/IQBOS3eXst0wQYD0p-X5m-8CAUQTt-Xq7ndp258GlfPVCcg%3fe=Bp63iK" TargetMode="External"/><Relationship Id="rId342" Type="http://schemas.openxmlformats.org/officeDocument/2006/relationships/hyperlink" Target="../../../../../:i:/g/personal/kontakt_seniorenengel-alltagsbegleitung_de/IQDDbqtIegzcS7h2tFEldkTOAY_M7-H7Gp4Zc_3XBhusrOY?e=EsKDoS" TargetMode="External"/><Relationship Id="rId384" Type="http://schemas.openxmlformats.org/officeDocument/2006/relationships/hyperlink" Target="../../../../../:b:/g/personal/kontakt_seniorenengel-alltagsbegleitung_de/IQCiRjXZ2UI7QooceMZ4KOU9AWx6O8SGqs5p-FchtafFHdc?e=cWDRTO" TargetMode="External"/><Relationship Id="rId202" Type="http://schemas.openxmlformats.org/officeDocument/2006/relationships/hyperlink" Target="../../../../:b:/g/personal/kontakt_seniorenengel-alltagsbegleitung_de/IQA3ajY2m9epQrk6BmLtmHTGATeM1o9ynvgQGnAgHC7yDoA%3fe=dtiZEU" TargetMode="External"/><Relationship Id="rId244" Type="http://schemas.openxmlformats.org/officeDocument/2006/relationships/hyperlink" Target="../../../../:b:/g/personal/kontakt_seniorenengel-alltagsbegleitung_de/IQC1c1509lB0Qb-6Uwu5PjzHAfTrrWwJAg9N9EWuK31QCpY%3fe=1lFZtl" TargetMode="External"/><Relationship Id="rId39" Type="http://schemas.openxmlformats.org/officeDocument/2006/relationships/hyperlink" Target="../../../../:i:/g/personal/kontakt_seniorenengel-alltagsbegleitung_de/EZpj3ZPdbm9Er7w84MNGW4QB7zm5fWs7osc5-AXmkYPyaQ%3fe=vDMzlZ" TargetMode="External"/><Relationship Id="rId286" Type="http://schemas.openxmlformats.org/officeDocument/2006/relationships/hyperlink" Target="../../../../:b:/g/personal/kontakt_seniorenengel-alltagsbegleitung_de/IQD7QUP7asQASKqiW8OAp28eAS0YolmsKSczeYuKu11MoWs%3fe=FNu6K5" TargetMode="External"/><Relationship Id="rId451" Type="http://schemas.openxmlformats.org/officeDocument/2006/relationships/hyperlink" Target="../../../../../:i:/g/personal/kontakt_seniorenengel-alltagsbegleitung_de/IQBH9scUMdPZT7N7kBmfL9ryAWSdFTs2oDu2_4FT-yEkjXM?e=HG40OJ" TargetMode="External"/><Relationship Id="rId493" Type="http://schemas.openxmlformats.org/officeDocument/2006/relationships/vmlDrawing" Target="../drawings/vmlDrawing1.vml"/><Relationship Id="rId50" Type="http://schemas.openxmlformats.org/officeDocument/2006/relationships/hyperlink" Target="../../../../:i:/g/personal/kontakt_seniorenengel-alltagsbegleitung_de/EfTi1urOV-tIlMIrDdPHEXoBnvoyhsIvsE5T9TUXfuzdLQ%3fe=evAaj1" TargetMode="External"/><Relationship Id="rId104" Type="http://schemas.openxmlformats.org/officeDocument/2006/relationships/hyperlink" Target="../../../../:b:/g/personal/kontakt_seniorenengel-alltagsbegleitung_de/EdaQdRVYQh9KgX2g96ZBmhEBn4IcWFLWcqyKlCYISjSdBg%3fe=xdCKYy" TargetMode="External"/><Relationship Id="rId146" Type="http://schemas.openxmlformats.org/officeDocument/2006/relationships/hyperlink" Target="../../../../:b:/g/personal/kontakt_seniorenengel-alltagsbegleitung_de/Ec6nG72hzyBIuNrFQO6gVjAB7SvexIfHpCHLrKH_ulRDWw%3fe=UOMjLm" TargetMode="External"/><Relationship Id="rId188" Type="http://schemas.openxmlformats.org/officeDocument/2006/relationships/hyperlink" Target="../../../../:b:/g/personal/kontakt_seniorenengel-alltagsbegleitung_de/IQBe3y-7IowtQ6GV6YZxmOyBAdWeC446JEM4MMxWLJXLXkc%3fe=5s9hR3" TargetMode="External"/><Relationship Id="rId311" Type="http://schemas.openxmlformats.org/officeDocument/2006/relationships/hyperlink" Target="../../../../:i:/g/personal/kontakt_seniorenengel-alltagsbegleitung_de/IQCc954blbsjRJsNcXoBq_1lAVEm0vT4AY9oR1X-RkCjzFE%3fe=mAO4rv" TargetMode="External"/><Relationship Id="rId353" Type="http://schemas.openxmlformats.org/officeDocument/2006/relationships/hyperlink" Target="../../../../../:i:/g/personal/kontakt_seniorenengel-alltagsbegleitung_de/IQAfL0c2ostATqwso-5O-QPhAaHbmg7XcM9WIdn8gfrcp9U?e=TzeraC" TargetMode="External"/><Relationship Id="rId395" Type="http://schemas.openxmlformats.org/officeDocument/2006/relationships/hyperlink" Target="../../../../../:b:/g/personal/kontakt_seniorenengel-alltagsbegleitung_de/IQBwYhESygxzTaJDYyIe9RdPAQLDN1UJ-zllWlzHwXR5U9w?e=XZ8shp" TargetMode="External"/><Relationship Id="rId409" Type="http://schemas.openxmlformats.org/officeDocument/2006/relationships/hyperlink" Target="../../../../../:b:/g/personal/kontakt_seniorenengel-alltagsbegleitung_de/IQA4RI9UAaBSQqqAPIZDbORHASYgoXyZe4umZeRQDWmMUI4?e=scrmvp" TargetMode="External"/><Relationship Id="rId92" Type="http://schemas.openxmlformats.org/officeDocument/2006/relationships/hyperlink" Target="../../../../:b:/g/personal/kontakt_seniorenengel-alltagsbegleitung_de/EcbpuUxWCZxHn6mCwZJVuiwB3dddeU3gxfgsbLHFWHwfAw%3fe=mAaOce" TargetMode="External"/><Relationship Id="rId213" Type="http://schemas.openxmlformats.org/officeDocument/2006/relationships/hyperlink" Target="../../../../:b:/g/personal/kontakt_seniorenengel-alltagsbegleitung_de/IQDowx7n9skNTp_I7450gurNAf5vr8UDTM44ZkjtuV_GdYU%3fe=kaObME" TargetMode="External"/><Relationship Id="rId420" Type="http://schemas.openxmlformats.org/officeDocument/2006/relationships/hyperlink" Target="../../../../../:b:/g/personal/kontakt_seniorenengel-alltagsbegleitung_de/IQB_Lb8vIMz6Tpzg84g9bXOyATJjBUGEv7jewXU-uP3dN3w?e=SrLdir" TargetMode="External"/><Relationship Id="rId255" Type="http://schemas.openxmlformats.org/officeDocument/2006/relationships/hyperlink" Target="../../../../:b:/g/personal/kontakt_seniorenengel-alltagsbegleitung_de/IQA-3BgkSn9dRLM8i-j4HBBFAWpBmEI4NGGALfMl1JOOLf8%3fe=O7k3sa" TargetMode="External"/><Relationship Id="rId297" Type="http://schemas.openxmlformats.org/officeDocument/2006/relationships/hyperlink" Target="../../../../:b:/g/personal/kontakt_seniorenengel-alltagsbegleitung_de/IQDPJ5Cpz-KlQ74cW9NrmaBAAdRRMwYXIrl6mLgSDm2oExU%3fe=JThkBf" TargetMode="External"/><Relationship Id="rId462" Type="http://schemas.openxmlformats.org/officeDocument/2006/relationships/hyperlink" Target="../../../../../:b:/g/personal/kontakt_seniorenengel-alltagsbegleitung_de/IQBlQlqTRh__Q5zb8Kctp6_qAfuTAi0qJnpoHDtqngeeO0I?e=aukg7v" TargetMode="External"/><Relationship Id="rId115" Type="http://schemas.openxmlformats.org/officeDocument/2006/relationships/hyperlink" Target="../../../../:b:/g/personal/kontakt_seniorenengel-alltagsbegleitung_de/ERXc6fCaa-ZHu4CwXDbIrhgBl07w-NA34Jln_7Ll25otjw%3fe=2p6XEc" TargetMode="External"/><Relationship Id="rId157" Type="http://schemas.openxmlformats.org/officeDocument/2006/relationships/hyperlink" Target="../../../../:b:/g/personal/kontakt_seniorenengel-alltagsbegleitung_de/ERwTV0teiX5GnSvZhkFqT80BhwRjd2pVXGcEm2uLTqPDug%3fe=xQM0ck" TargetMode="External"/><Relationship Id="rId322" Type="http://schemas.openxmlformats.org/officeDocument/2006/relationships/hyperlink" Target="../../../../:b:/g/personal/kontakt_seniorenengel-alltagsbegleitung_de/IQBu7q7WIWyDQb22aFibPOG0Aab64zuTv2DI7Aey6O3_u84%3fe=lyxsve" TargetMode="External"/><Relationship Id="rId364" Type="http://schemas.openxmlformats.org/officeDocument/2006/relationships/hyperlink" Target="../../../../../:b:/g/personal/kontakt_seniorenengel-alltagsbegleitung_de/IQDVIoN531a2QIUqqKIYMDJ9Ad1dloK0-FaPqKvVic8F4q4?e=G4gBSA" TargetMode="External"/><Relationship Id="rId61" Type="http://schemas.openxmlformats.org/officeDocument/2006/relationships/hyperlink" Target="../../../../:b:/g/personal/kontakt_seniorenengel-alltagsbegleitung_de/EaPHbUMMCf5Kn-KbE_UOn0kB-tPzeBauphMZ6RJosTxl-g%3fe=gt5ZFj" TargetMode="External"/><Relationship Id="rId199" Type="http://schemas.openxmlformats.org/officeDocument/2006/relationships/hyperlink" Target="../../../../:b:/g/personal/kontakt_seniorenengel-alltagsbegleitung_de/IQAecBE9HcXKRbsQkU3n7ydpAXvDjRzTB7ka6OBl3DbPqgM%3fe=0HNGW2" TargetMode="External"/><Relationship Id="rId19" Type="http://schemas.openxmlformats.org/officeDocument/2006/relationships/hyperlink" Target="../../../AppData/Roaming/Microsoft/Excel/04_Leistungsnachweise/202507_Helga_Dienelt.pdf" TargetMode="External"/><Relationship Id="rId224" Type="http://schemas.openxmlformats.org/officeDocument/2006/relationships/hyperlink" Target="../../../../:b:/g/personal/kontakt_seniorenengel-alltagsbegleitung_de/IQBXYja71_FCTpTf-dK-uKLdAda1fwV7zdD7r3CcxjQ3BZk%3fe=LzzK2T" TargetMode="External"/><Relationship Id="rId266" Type="http://schemas.openxmlformats.org/officeDocument/2006/relationships/hyperlink" Target="../../../../:b:/g/personal/kontakt_seniorenengel-alltagsbegleitung_de/IQDCUetfJ1txQ7JWHmD5C-nHAWaugCjF0XNCSfPiGyHLwFY%3fe=FYa6Pi" TargetMode="External"/><Relationship Id="rId431" Type="http://schemas.openxmlformats.org/officeDocument/2006/relationships/hyperlink" Target="../../../../../:i:/g/personal/kontakt_seniorenengel-alltagsbegleitung_de/IQCBNOWGHb-KRJNbtXJoe6ZTAT0CFibBAP_R6r8n8fZpQzo?e=MuDaFi" TargetMode="External"/><Relationship Id="rId473" Type="http://schemas.openxmlformats.org/officeDocument/2006/relationships/hyperlink" Target="../../../../../:b:/g/personal/kontakt_seniorenengel-alltagsbegleitung_de/IQAUrYs8HyP2Sqxaa7tFoIX7AapCNcUMT76T094xnekSVCQ?e=yYj5GJ" TargetMode="External"/><Relationship Id="rId30" Type="http://schemas.openxmlformats.org/officeDocument/2006/relationships/hyperlink" Target="../../../AppData/Roaming/Microsoft/Excel/04_Leistungsnachweise/202507_Matthias_Ro&#223;.pdf" TargetMode="External"/><Relationship Id="rId126" Type="http://schemas.openxmlformats.org/officeDocument/2006/relationships/hyperlink" Target="../../../../:b:/g/personal/kontakt_seniorenengel-alltagsbegleitung_de/EeTnNpGpPTxHtin7GFE5iB0ByxbYlwQKZwTsBZTlGcCBag%3fe=1C5pOb" TargetMode="External"/><Relationship Id="rId168" Type="http://schemas.openxmlformats.org/officeDocument/2006/relationships/hyperlink" Target="../../../../:b:/g/personal/kontakt_seniorenengel-alltagsbegleitung_de/IQAUt02V_gb2QrZHyXI7Q_j3AU1_qq-e3uak3q6fHhnKer4%3fe=ivXIJW" TargetMode="External"/><Relationship Id="rId333" Type="http://schemas.openxmlformats.org/officeDocument/2006/relationships/hyperlink" Target="../../../../:b:/g/personal/kontakt_seniorenengel-alltagsbegleitung_de/IQCw0Ab6poiZSZSTXm9Z6Zx7AUeQHvDAbT4yDdJ46KRMT7Q%3fe=fvry33" TargetMode="External"/><Relationship Id="rId72" Type="http://schemas.openxmlformats.org/officeDocument/2006/relationships/hyperlink" Target="../../../../:b:/g/personal/kontakt_seniorenengel-alltagsbegleitung_de/EZ0q_bKy2ydKo4UxueKJlB0Bkc83A_1OY12xeEdovZGeIQ%3fe=ryp9nn" TargetMode="External"/><Relationship Id="rId375" Type="http://schemas.openxmlformats.org/officeDocument/2006/relationships/hyperlink" Target="../../../../../:b:/g/personal/kontakt_seniorenengel-alltagsbegleitung_de/IQCVMMDva6tKQZJpr0b0Y2m3AcAj_SuWaAeG1nG-8styR00?e=1feJse" TargetMode="External"/><Relationship Id="rId3" Type="http://schemas.openxmlformats.org/officeDocument/2006/relationships/hyperlink" Target="../../../AppData/Roaming/Microsoft/Excel/04_Leistungsnachweise/202506_Dieter_Berghold.pdf" TargetMode="External"/><Relationship Id="rId235" Type="http://schemas.openxmlformats.org/officeDocument/2006/relationships/hyperlink" Target="../../../../:b:/g/personal/kontakt_seniorenengel-alltagsbegleitung_de/IQBGq-UkTCLoQLyJXyTzZBSfATPVV_A14GNYfsYIs83ip-8%3fe=yRu0Cs" TargetMode="External"/><Relationship Id="rId277" Type="http://schemas.openxmlformats.org/officeDocument/2006/relationships/hyperlink" Target="../../../../:b:/g/personal/kontakt_seniorenengel-alltagsbegleitung_de/IQDgDI5o1WFsSrp3qSDbDeJ6AQoPKPDlFEBO7Uv8hjaVqY0%3fe=HPdpl9" TargetMode="External"/><Relationship Id="rId400" Type="http://schemas.openxmlformats.org/officeDocument/2006/relationships/hyperlink" Target="../../../../../:b:/g/personal/kontakt_seniorenengel-alltagsbegleitung_de/IQCHKyv-0B6GQp4PS--ya0LTAc6IkqrcWshfGIMvyBDumzw?e=KmLKqF" TargetMode="External"/><Relationship Id="rId442" Type="http://schemas.openxmlformats.org/officeDocument/2006/relationships/hyperlink" Target="../../../../../:i:/g/personal/kontakt_seniorenengel-alltagsbegleitung_de/IQBH9scUMdPZT7N7kBmfL9ryAWSdFTs2oDu2_4FT-yEkjXM?e=HG40OJ" TargetMode="External"/><Relationship Id="rId484" Type="http://schemas.openxmlformats.org/officeDocument/2006/relationships/hyperlink" Target="../../../../../:i:/g/personal/kontakt_seniorenengel-alltagsbegleitung_de/IQAc4mUQK2FJSorzdlFXTPe0AYC9aI2Wrp2kOIyHVkrtFmc?e=IlKd7e" TargetMode="External"/><Relationship Id="rId137" Type="http://schemas.openxmlformats.org/officeDocument/2006/relationships/hyperlink" Target="../../../../:b:/g/personal/kontakt_seniorenengel-alltagsbegleitung_de/Edfb47g1m8pKkuTSAoysRcIBWtowSkkYt1qcYfusv2LTOg%3fe=m3Jb9O" TargetMode="External"/><Relationship Id="rId302" Type="http://schemas.openxmlformats.org/officeDocument/2006/relationships/hyperlink" Target="../../../../:b:/g/personal/kontakt_seniorenengel-alltagsbegleitung_de/IQBd6uLqeIbqSYe6y_98uaI5AUAORkgo-_UWLlxoddJM3-0%3fe=ne8KHj" TargetMode="External"/><Relationship Id="rId344" Type="http://schemas.openxmlformats.org/officeDocument/2006/relationships/hyperlink" Target="../../../../../:i:/g/personal/kontakt_seniorenengel-alltagsbegleitung_de/IQCtotXMyhiyRrm6Ax4EjosEAYrhVOY7Tkw1ZsSIHjQWrEg?e=Bcg3ZG" TargetMode="External"/><Relationship Id="rId41" Type="http://schemas.openxmlformats.org/officeDocument/2006/relationships/hyperlink" Target="../../../../:i:/g/personal/kontakt_seniorenengel-alltagsbegleitung_de/EXHMVCvzCe5Jkc0WhF_d-WwBY55zo9zCIUbmwtdZFv_i2Q%3fe=LOqJfF" TargetMode="External"/><Relationship Id="rId83" Type="http://schemas.openxmlformats.org/officeDocument/2006/relationships/hyperlink" Target="../../../../:b:/g/personal/kontakt_seniorenengel-alltagsbegleitung_de/EfLhYHClWbJKpCAYUSzS5zQBWFBw4Nq-iHroLFQGTtXF0w%3fe=1mqFd3" TargetMode="External"/><Relationship Id="rId179" Type="http://schemas.openxmlformats.org/officeDocument/2006/relationships/hyperlink" Target="../../../../:b:/g/personal/kontakt_seniorenengel-alltagsbegleitung_de/IQBt7JvzjZd8QopvMAb_ePZ5Ae_1jW3Po2vzInmedvhVvkA%3fe=vp2qBL" TargetMode="External"/><Relationship Id="rId386" Type="http://schemas.openxmlformats.org/officeDocument/2006/relationships/hyperlink" Target="../../../../../:b:/g/personal/kontakt_seniorenengel-alltagsbegleitung_de/IQBMOD_Aja8nTbUFUflwH9dAAXiBzP3TJRzL4Tna02uBXEM?e=xSYs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3C74-2A1D-43E0-9D53-CE7544D93DFD}">
  <dimension ref="A1:AN651"/>
  <sheetViews>
    <sheetView tabSelected="1" workbookViewId="0">
      <selection activeCell="C9" sqref="C9"/>
    </sheetView>
  </sheetViews>
  <sheetFormatPr baseColWidth="10" defaultColWidth="11.42578125" defaultRowHeight="15" x14ac:dyDescent="0.25"/>
  <cols>
    <col min="1" max="1" width="1.42578125" customWidth="1"/>
    <col min="2" max="2" width="28.28515625" bestFit="1" customWidth="1"/>
    <col min="3" max="3" width="10.140625" customWidth="1"/>
    <col min="4" max="4" width="9.5703125" customWidth="1"/>
    <col min="5" max="5" width="7.7109375" customWidth="1"/>
    <col min="6" max="6" width="10.7109375" customWidth="1"/>
    <col min="7" max="7" width="12.140625" customWidth="1"/>
    <col min="8" max="8" width="17.7109375" customWidth="1"/>
    <col min="9" max="9" width="16.7109375" customWidth="1"/>
    <col min="10" max="10" width="29" customWidth="1"/>
    <col min="11" max="11" width="30.5703125" bestFit="1" customWidth="1"/>
    <col min="12" max="12" width="17.140625" style="1" customWidth="1"/>
    <col min="13" max="13" width="22.42578125" customWidth="1"/>
    <col min="14" max="14" width="12.85546875" customWidth="1"/>
    <col min="15" max="15" width="1.42578125" customWidth="1"/>
    <col min="16" max="16" width="14.42578125" customWidth="1"/>
    <col min="17" max="17" width="1.42578125" customWidth="1"/>
    <col min="18" max="18" width="20" customWidth="1"/>
    <col min="19" max="19" width="9.42578125" customWidth="1"/>
    <col min="20" max="20" width="1.42578125" customWidth="1"/>
    <col min="21" max="21" width="10.5703125" style="1" bestFit="1" customWidth="1"/>
    <col min="22" max="22" width="10.5703125" bestFit="1" customWidth="1"/>
    <col min="23" max="24" width="10.85546875" bestFit="1" customWidth="1"/>
    <col min="25" max="25" width="1.42578125" customWidth="1"/>
    <col min="26" max="26" width="14.7109375" bestFit="1" customWidth="1"/>
    <col min="27" max="27" width="10.140625" bestFit="1" customWidth="1"/>
    <col min="28" max="28" width="1.42578125" customWidth="1"/>
    <col min="29" max="29" width="14.7109375" customWidth="1"/>
    <col min="33" max="33" width="17.7109375" bestFit="1" customWidth="1"/>
    <col min="34" max="34" width="18.85546875" bestFit="1" customWidth="1"/>
    <col min="35" max="35" width="16.7109375" bestFit="1" customWidth="1"/>
    <col min="36" max="36" width="29" bestFit="1" customWidth="1"/>
  </cols>
  <sheetData>
    <row r="1" spans="2:40" ht="7.5" customHeight="1" x14ac:dyDescent="0.25"/>
    <row r="2" spans="2:40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2"/>
      <c r="N2" s="2"/>
      <c r="O2" s="4"/>
      <c r="P2" s="2"/>
      <c r="Q2" s="4"/>
      <c r="R2" s="2"/>
      <c r="S2" s="2"/>
      <c r="T2" s="4"/>
      <c r="U2" s="5"/>
      <c r="V2" s="5">
        <f>SUMIF($I$4:$I$1494,"Hauswirtschaft",$V$4:$V$1494)</f>
        <v>29130.375</v>
      </c>
      <c r="W2" s="5">
        <f>SUMIF($I$4:$I$1494,"Alltagsbegleitung",$V$4:$V$1494)</f>
        <v>8410.5</v>
      </c>
      <c r="X2" s="6"/>
      <c r="Y2" s="4"/>
      <c r="Z2" s="7"/>
      <c r="AA2" s="2"/>
      <c r="AB2" s="4"/>
      <c r="AC2" s="2"/>
      <c r="AD2" s="4"/>
      <c r="AE2" s="2" t="s">
        <v>0</v>
      </c>
      <c r="AF2" s="2" t="s">
        <v>0</v>
      </c>
      <c r="AG2" s="2"/>
      <c r="AH2" s="2"/>
      <c r="AI2" s="2"/>
      <c r="AJ2" s="2"/>
      <c r="AK2" s="4"/>
      <c r="AL2" s="4"/>
      <c r="AM2" s="4"/>
      <c r="AN2" s="4"/>
    </row>
    <row r="3" spans="2:40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8" t="s">
        <v>11</v>
      </c>
      <c r="M3" s="2" t="s">
        <v>12</v>
      </c>
      <c r="N3" s="2" t="s">
        <v>13</v>
      </c>
      <c r="O3" s="4"/>
      <c r="P3" s="2" t="s">
        <v>14</v>
      </c>
      <c r="Q3" s="4"/>
      <c r="R3" s="2" t="s">
        <v>15</v>
      </c>
      <c r="S3" s="2" t="s">
        <v>16</v>
      </c>
      <c r="T3" s="4"/>
      <c r="U3" s="8" t="s">
        <v>17</v>
      </c>
      <c r="V3" s="2" t="s">
        <v>18</v>
      </c>
      <c r="W3" s="2" t="s">
        <v>19</v>
      </c>
      <c r="X3" s="2" t="s">
        <v>20</v>
      </c>
      <c r="Y3" s="4"/>
      <c r="Z3" s="2" t="s">
        <v>21</v>
      </c>
      <c r="AA3" s="2" t="s">
        <v>2</v>
      </c>
      <c r="AB3" s="4"/>
      <c r="AC3" s="2" t="s">
        <v>22</v>
      </c>
      <c r="AD3" s="4"/>
      <c r="AE3" s="2" t="s">
        <v>23</v>
      </c>
      <c r="AF3" s="2" t="s">
        <v>23</v>
      </c>
      <c r="AG3" s="2" t="str">
        <f>H3</f>
        <v>Senioren Engel</v>
      </c>
      <c r="AH3" s="2"/>
      <c r="AI3" s="2"/>
      <c r="AJ3" s="2" t="s">
        <v>24</v>
      </c>
      <c r="AK3" s="4"/>
      <c r="AL3" s="4"/>
      <c r="AM3" s="4"/>
      <c r="AN3" s="4"/>
    </row>
    <row r="4" spans="2:40" x14ac:dyDescent="0.25">
      <c r="B4" s="9" t="s">
        <v>25</v>
      </c>
      <c r="C4" s="10">
        <v>45797</v>
      </c>
      <c r="D4" s="11">
        <v>0.41666666666666669</v>
      </c>
      <c r="E4" s="11">
        <v>0.5</v>
      </c>
      <c r="F4" s="12">
        <f>(E4-D4)*24</f>
        <v>1.9999999999999996</v>
      </c>
      <c r="G4" s="12"/>
      <c r="H4" s="9" t="s">
        <v>26</v>
      </c>
      <c r="I4" s="9" t="s">
        <v>27</v>
      </c>
      <c r="J4" s="9" t="s">
        <v>28</v>
      </c>
      <c r="K4" s="9" t="str">
        <f>VLOOKUP($B4,[1]Kundenübersicht!$E$4:$AC$1003,MATCH(K$3,[1]Kundenübersicht!$E$3:$BA$3,FALSE),FALSE)</f>
        <v>Barmer Pflegekasse</v>
      </c>
      <c r="L4" s="13">
        <f>VLOOKUP(B4,[1]Kundenübersicht!$E$4:$AC$1003,MATCH(L$3,[1]Kundenübersicht!$E$3:$BA$3,FALSE),FALSE)</f>
        <v>184940005</v>
      </c>
      <c r="M4" s="13" t="str">
        <f>VLOOKUP(B4,[1]Kundenübersicht!$E$4:$AC$1003,MATCH(M$3,[1]Kundenübersicht!$E$3:$BA$3,FALSE),FALSE)</f>
        <v>Z817157321</v>
      </c>
      <c r="N4" s="13" t="str">
        <f>VLOOKUP(B4,[1]Kundenübersicht!$E$4:$AC$1003,MATCH(N$3,[1]Kundenübersicht!$E$3:$BA$3,FALSE),FALSE)</f>
        <v>PG 1</v>
      </c>
      <c r="P4" s="9" t="s">
        <v>29</v>
      </c>
      <c r="R4" s="9" t="s">
        <v>30</v>
      </c>
      <c r="S4" s="14" t="s">
        <v>31</v>
      </c>
      <c r="U4" s="15">
        <f>IF(YEAR(C4)&lt;=2025,IFERROR(IF(I4="Hauswirtschaft",VLOOKUP($B4,[1]Kundenübersicht!$E$4:$BA$1003,MATCH("Hauswirtschaft [€/Stunde]",[1]Kundenübersicht!$E$3:$BA$3,FALSE),FALSE),VLOOKUP($B4,[1]Kundenübersicht!$E$4:$BA$1003,MATCH("Alltagsbegleitung [€/Stunde]",[1]Kundenübersicht!$E$3:$BA$3,FALSE),FALSE)),0),IFERROR(IF(I4="Hauswirtschaft",VLOOKUP($B4,[1]Kundenübersicht!$E$4:$BA$1003,MATCH("HW ab 2026 [€/Stunde]",[1]Kundenübersicht!$E$3:$BA$3,FALSE),FALSE),VLOOKUP($B4,[1]Kundenübersicht!$E$4:$BA$1003,MATCH("Alltagsbegleitung [€/Stunde]",[1]Kundenübersicht!$E$3:$BA$3,FALSE),FALSE)),0))</f>
        <v>32.75</v>
      </c>
      <c r="V4" s="16">
        <f>U4*F4</f>
        <v>65.499999999999986</v>
      </c>
      <c r="W4" s="16">
        <f t="shared" ref="W4:W67" si="0">IF(AND(YEAR(C4)&lt;=2025,X4="Alt"),0,G4*0.35)</f>
        <v>0</v>
      </c>
      <c r="X4" s="16" t="str">
        <f>VLOOKUP(B4,[1]Kundenübersicht!E:AG,MATCH($X$3,[1]Kundenübersicht!$E$3:$AY$3,0),FALSE)</f>
        <v>Alt</v>
      </c>
      <c r="Z4" s="9" t="s">
        <v>29</v>
      </c>
      <c r="AA4" s="10">
        <v>45959</v>
      </c>
      <c r="AC4" s="10">
        <v>45981</v>
      </c>
      <c r="AE4" s="9">
        <f>YEAR(C4)</f>
        <v>2025</v>
      </c>
      <c r="AF4" s="17" t="str">
        <f>IF(MONTH(C4)&lt;=9,"0"&amp;MONTH(C4)&amp;"."&amp;YEAR(C4),MONTH(C4)&amp;"."&amp;YEAR(C4))</f>
        <v>05.2025</v>
      </c>
      <c r="AG4" s="17" t="str">
        <f>IF(H4="","",H4)</f>
        <v>Celina Panther</v>
      </c>
      <c r="AH4" s="17" t="str">
        <f>IFERROR(VLOOKUP(B4,[1]Kundenübersicht!$E$4:$F$85,2,FALSE),"")</f>
        <v>Rosemarie Schröder</v>
      </c>
      <c r="AI4" s="17" t="str">
        <f>IF(I4="","",I4)</f>
        <v>Hauswirtschaft</v>
      </c>
      <c r="AJ4" s="17" t="str">
        <f>IF(J4="","",J4)</f>
        <v>Entlastungsleistung</v>
      </c>
      <c r="AL4" s="18">
        <f t="shared" ref="AL4:AL67" si="1">IF(I4="Hauswirtschaft",38,42)</f>
        <v>38</v>
      </c>
      <c r="AM4" s="18">
        <f t="shared" ref="AM4:AM67" si="2">AL4*F4</f>
        <v>75.999999999999986</v>
      </c>
      <c r="AN4" s="18">
        <f t="shared" ref="AN4:AN67" si="3">G4*0.35</f>
        <v>0</v>
      </c>
    </row>
    <row r="5" spans="2:40" x14ac:dyDescent="0.25">
      <c r="B5" s="9" t="s">
        <v>25</v>
      </c>
      <c r="C5" s="19">
        <v>45804</v>
      </c>
      <c r="D5" s="11">
        <v>0.41666666666666669</v>
      </c>
      <c r="E5" s="11">
        <v>0.5</v>
      </c>
      <c r="F5" s="12">
        <f>(E5-D5)*24</f>
        <v>1.9999999999999996</v>
      </c>
      <c r="G5" s="12"/>
      <c r="H5" s="9" t="s">
        <v>26</v>
      </c>
      <c r="I5" s="9" t="s">
        <v>27</v>
      </c>
      <c r="J5" s="9" t="s">
        <v>28</v>
      </c>
      <c r="K5" s="9" t="str">
        <f>VLOOKUP($B5,[1]Kundenübersicht!$E$4:$AC$1003,MATCH(K$3,[1]Kundenübersicht!$E$3:$BA$3,FALSE),FALSE)</f>
        <v>Barmer Pflegekasse</v>
      </c>
      <c r="L5" s="13">
        <f>VLOOKUP(B5,[1]Kundenübersicht!$E$4:$AC$1003,MATCH(L$3,[1]Kundenübersicht!$E$3:$BA$3,FALSE),FALSE)</f>
        <v>184940005</v>
      </c>
      <c r="M5" s="13" t="str">
        <f>VLOOKUP(B5,[1]Kundenübersicht!$E$4:$AC$1003,MATCH(M$3,[1]Kundenübersicht!$E$3:$BA$3,FALSE),FALSE)</f>
        <v>Z817157321</v>
      </c>
      <c r="N5" s="13" t="str">
        <f>VLOOKUP(B5,[1]Kundenübersicht!$E$4:$AC$1003,MATCH(N$3,[1]Kundenübersicht!$E$3:$BA$3,FALSE),FALSE)</f>
        <v>PG 1</v>
      </c>
      <c r="P5" s="9" t="s">
        <v>29</v>
      </c>
      <c r="R5" s="9" t="s">
        <v>30</v>
      </c>
      <c r="S5" s="14" t="s">
        <v>31</v>
      </c>
      <c r="U5" s="15">
        <f>IF(YEAR(C5)&lt;=2025,IFERROR(IF(I5="Hauswirtschaft",VLOOKUP($B5,[1]Kundenübersicht!$E$4:$BA$1003,MATCH("Hauswirtschaft [€/Stunde]",[1]Kundenübersicht!$E$3:$BA$3,FALSE),FALSE),VLOOKUP($B5,[1]Kundenübersicht!$E$4:$BA$1003,MATCH("Alltagsbegleitung [€/Stunde]",[1]Kundenübersicht!$E$3:$BA$3,FALSE),FALSE)),0),IFERROR(IF(I5="Hauswirtschaft",VLOOKUP($B5,[1]Kundenübersicht!$E$4:$BA$1003,MATCH("HW ab 2026 [€/Stunde]",[1]Kundenübersicht!$E$3:$BA$3,FALSE),FALSE),VLOOKUP($B5,[1]Kundenübersicht!$E$4:$BA$1003,MATCH("Alltagsbegleitung [€/Stunde]",[1]Kundenübersicht!$E$3:$BA$3,FALSE),FALSE)),0))</f>
        <v>32.75</v>
      </c>
      <c r="V5" s="16">
        <f>U5*F5</f>
        <v>65.499999999999986</v>
      </c>
      <c r="W5" s="16">
        <f t="shared" si="0"/>
        <v>0</v>
      </c>
      <c r="X5" s="16" t="str">
        <f>VLOOKUP(B5,[1]Kundenübersicht!E:AG,MATCH($X$3,[1]Kundenübersicht!$E$3:$AY$3,0),FALSE)</f>
        <v>Alt</v>
      </c>
      <c r="Z5" s="9" t="s">
        <v>29</v>
      </c>
      <c r="AA5" s="10">
        <v>45959</v>
      </c>
      <c r="AC5" s="10">
        <v>45981</v>
      </c>
      <c r="AE5" s="9">
        <f>YEAR(C5)</f>
        <v>2025</v>
      </c>
      <c r="AF5" s="17" t="str">
        <f>IF(MONTH(C5)&lt;=9,"0"&amp;MONTH(C5)&amp;"."&amp;YEAR(C5),MONTH(C5)&amp;"."&amp;YEAR(C5))</f>
        <v>05.2025</v>
      </c>
      <c r="AG5" s="17" t="str">
        <f>IF(H5="","",H5)</f>
        <v>Celina Panther</v>
      </c>
      <c r="AH5" s="17" t="str">
        <f>IFERROR(VLOOKUP(B5,[1]Kundenübersicht!$E$4:$F$85,2,FALSE),"")</f>
        <v>Rosemarie Schröder</v>
      </c>
      <c r="AI5" s="17" t="str">
        <f>IF(I5="","",I5)</f>
        <v>Hauswirtschaft</v>
      </c>
      <c r="AJ5" s="17" t="str">
        <f>IF(J5="","",J5)</f>
        <v>Entlastungsleistung</v>
      </c>
      <c r="AL5" s="18">
        <f t="shared" si="1"/>
        <v>38</v>
      </c>
      <c r="AM5" s="18">
        <f t="shared" si="2"/>
        <v>75.999999999999986</v>
      </c>
      <c r="AN5" s="18">
        <f t="shared" si="3"/>
        <v>0</v>
      </c>
    </row>
    <row r="6" spans="2:40" x14ac:dyDescent="0.25">
      <c r="B6" s="9" t="s">
        <v>32</v>
      </c>
      <c r="C6" s="10">
        <v>45813</v>
      </c>
      <c r="D6" s="11">
        <v>0.41666666666666669</v>
      </c>
      <c r="E6" s="11">
        <v>0.54166666666666663</v>
      </c>
      <c r="F6" s="12">
        <f t="shared" ref="F6:F69" si="4">(E6-D6)*24</f>
        <v>2.9999999999999987</v>
      </c>
      <c r="G6" s="12"/>
      <c r="H6" s="9" t="s">
        <v>33</v>
      </c>
      <c r="I6" s="9" t="s">
        <v>27</v>
      </c>
      <c r="J6" s="9" t="s">
        <v>28</v>
      </c>
      <c r="K6" s="9" t="str">
        <f>VLOOKUP($B6,[1]Kundenübersicht!$E$4:$AC$1003,MATCH(K$3,[1]Kundenübersicht!$E$3:$BA$3,FALSE),FALSE)</f>
        <v>IKK Classic</v>
      </c>
      <c r="L6" s="13" t="str">
        <f>VLOOKUP(B6,[1]Kundenübersicht!$E$4:$AC$1003,MATCH(L$3,[1]Kundenübersicht!$E$3:$BA$3,FALSE),FALSE)</f>
        <v>187202793</v>
      </c>
      <c r="M6" s="13" t="str">
        <f>VLOOKUP(B6,[1]Kundenübersicht!$E$4:$AC$1003,MATCH(M$3,[1]Kundenübersicht!$E$3:$BA$3,FALSE),FALSE)</f>
        <v>A268233642</v>
      </c>
      <c r="N6" s="13" t="str">
        <f>VLOOKUP(B6,[1]Kundenübersicht!$E$4:$AC$1003,MATCH(N$3,[1]Kundenübersicht!$E$3:$BA$3,FALSE),FALSE)</f>
        <v>PG 2</v>
      </c>
      <c r="P6" s="9" t="s">
        <v>29</v>
      </c>
      <c r="R6" s="9" t="s">
        <v>30</v>
      </c>
      <c r="S6" s="14" t="s">
        <v>31</v>
      </c>
      <c r="U6" s="15">
        <f>IF(YEAR(C6)&lt;=2025,IFERROR(IF(I6="Hauswirtschaft",VLOOKUP($B6,[1]Kundenübersicht!$E$4:$BA$1003,MATCH("Hauswirtschaft [€/Stunde]",[1]Kundenübersicht!$E$3:$BA$3,FALSE),FALSE),VLOOKUP($B6,[1]Kundenübersicht!$E$4:$BA$1003,MATCH("Alltagsbegleitung [€/Stunde]",[1]Kundenübersicht!$E$3:$BA$3,FALSE),FALSE)),0),IFERROR(IF(I6="Hauswirtschaft",VLOOKUP($B6,[1]Kundenübersicht!$E$4:$BA$1003,MATCH("HW ab 2026 [€/Stunde]",[1]Kundenübersicht!$E$3:$BA$3,FALSE),FALSE),VLOOKUP($B6,[1]Kundenübersicht!$E$4:$BA$1003,MATCH("Alltagsbegleitung [€/Stunde]",[1]Kundenübersicht!$E$3:$BA$3,FALSE),FALSE)),0))</f>
        <v>32.75</v>
      </c>
      <c r="V6" s="16">
        <f t="shared" ref="V6:V69" si="5">U6*F6</f>
        <v>98.249999999999957</v>
      </c>
      <c r="W6" s="16">
        <f t="shared" si="0"/>
        <v>0</v>
      </c>
      <c r="X6" s="16" t="str">
        <f>VLOOKUP(B6,[1]Kundenübersicht!E:AG,MATCH($X$3,[1]Kundenübersicht!$E$3:$AY$3,0),FALSE)</f>
        <v>Alt</v>
      </c>
      <c r="Z6" s="9" t="s">
        <v>29</v>
      </c>
      <c r="AA6" s="10">
        <v>45979</v>
      </c>
      <c r="AC6" s="10">
        <v>45995</v>
      </c>
      <c r="AE6" s="9">
        <f t="shared" ref="AE6:AE69" si="6">YEAR(C6)</f>
        <v>2025</v>
      </c>
      <c r="AF6" s="17" t="str">
        <f t="shared" ref="AF6:AF69" si="7">IF(MONTH(C6)&lt;=9,"0"&amp;MONTH(C6)&amp;"."&amp;YEAR(C6),MONTH(C6)&amp;"."&amp;YEAR(C6))</f>
        <v>06.2025</v>
      </c>
      <c r="AG6" s="17" t="str">
        <f t="shared" ref="AG6:AG69" si="8">IF(H6="","",H6)</f>
        <v>Christiane Fiebag</v>
      </c>
      <c r="AH6" s="17" t="str">
        <f>IFERROR(VLOOKUP(B6,[1]Kundenübersicht!$E$4:$F$85,2,FALSE),"")</f>
        <v>Wolfgang Nagler</v>
      </c>
      <c r="AI6" s="17" t="str">
        <f t="shared" ref="AI6:AJ21" si="9">IF(I6="","",I6)</f>
        <v>Hauswirtschaft</v>
      </c>
      <c r="AJ6" s="17" t="str">
        <f t="shared" si="9"/>
        <v>Entlastungsleistung</v>
      </c>
      <c r="AL6" s="18">
        <f t="shared" si="1"/>
        <v>38</v>
      </c>
      <c r="AM6" s="18">
        <f t="shared" si="2"/>
        <v>113.99999999999994</v>
      </c>
      <c r="AN6" s="18">
        <f t="shared" si="3"/>
        <v>0</v>
      </c>
    </row>
    <row r="7" spans="2:40" x14ac:dyDescent="0.25">
      <c r="B7" s="9" t="s">
        <v>25</v>
      </c>
      <c r="C7" s="19">
        <v>45814</v>
      </c>
      <c r="D7" s="11">
        <v>0.41666666666666669</v>
      </c>
      <c r="E7" s="11">
        <v>0.5</v>
      </c>
      <c r="F7" s="12">
        <f t="shared" si="4"/>
        <v>1.9999999999999996</v>
      </c>
      <c r="G7" s="12"/>
      <c r="H7" s="9" t="s">
        <v>26</v>
      </c>
      <c r="I7" s="9" t="s">
        <v>27</v>
      </c>
      <c r="J7" s="9" t="s">
        <v>28</v>
      </c>
      <c r="K7" s="9" t="str">
        <f>VLOOKUP($B7,[1]Kundenübersicht!$E$4:$AC$1003,MATCH(K$3,[1]Kundenübersicht!$E$3:$BA$3,FALSE),FALSE)</f>
        <v>Barmer Pflegekasse</v>
      </c>
      <c r="L7" s="13">
        <f>VLOOKUP(B7,[1]Kundenübersicht!$E$4:$AC$1003,MATCH(L$3,[1]Kundenübersicht!$E$3:$BA$3,FALSE),FALSE)</f>
        <v>184940005</v>
      </c>
      <c r="M7" s="13" t="str">
        <f>VLOOKUP(B7,[1]Kundenübersicht!$E$4:$AC$1003,MATCH(M$3,[1]Kundenübersicht!$E$3:$BA$3,FALSE),FALSE)</f>
        <v>Z817157321</v>
      </c>
      <c r="N7" s="13" t="str">
        <f>VLOOKUP(B7,[1]Kundenübersicht!$E$4:$AC$1003,MATCH(N$3,[1]Kundenübersicht!$E$3:$BA$3,FALSE),FALSE)</f>
        <v>PG 1</v>
      </c>
      <c r="P7" s="20" t="s">
        <v>29</v>
      </c>
      <c r="R7" s="9" t="s">
        <v>30</v>
      </c>
      <c r="S7" s="14" t="s">
        <v>31</v>
      </c>
      <c r="U7" s="15">
        <f>IF(YEAR(C7)&lt;=2025,IFERROR(IF(I7="Hauswirtschaft",VLOOKUP($B7,[1]Kundenübersicht!$E$4:$BA$1003,MATCH("Hauswirtschaft [€/Stunde]",[1]Kundenübersicht!$E$3:$BA$3,FALSE),FALSE),VLOOKUP($B7,[1]Kundenübersicht!$E$4:$BA$1003,MATCH("Alltagsbegleitung [€/Stunde]",[1]Kundenübersicht!$E$3:$BA$3,FALSE),FALSE)),0),IFERROR(IF(I7="Hauswirtschaft",VLOOKUP($B7,[1]Kundenübersicht!$E$4:$BA$1003,MATCH("HW ab 2026 [€/Stunde]",[1]Kundenübersicht!$E$3:$BA$3,FALSE),FALSE),VLOOKUP($B7,[1]Kundenübersicht!$E$4:$BA$1003,MATCH("Alltagsbegleitung [€/Stunde]",[1]Kundenübersicht!$E$3:$BA$3,FALSE),FALSE)),0))</f>
        <v>32.75</v>
      </c>
      <c r="V7" s="16">
        <f t="shared" si="5"/>
        <v>65.499999999999986</v>
      </c>
      <c r="W7" s="16">
        <f t="shared" si="0"/>
        <v>0</v>
      </c>
      <c r="X7" s="16" t="str">
        <f>VLOOKUP(B7,[1]Kundenübersicht!E:AG,MATCH($X$3,[1]Kundenübersicht!$E$3:$AY$3,0),FALSE)</f>
        <v>Alt</v>
      </c>
      <c r="Z7" s="9" t="s">
        <v>29</v>
      </c>
      <c r="AA7" s="10">
        <v>45959</v>
      </c>
      <c r="AC7" s="10">
        <v>45981</v>
      </c>
      <c r="AE7" s="9">
        <f t="shared" si="6"/>
        <v>2025</v>
      </c>
      <c r="AF7" s="17" t="str">
        <f t="shared" si="7"/>
        <v>06.2025</v>
      </c>
      <c r="AG7" s="17" t="str">
        <f t="shared" si="8"/>
        <v>Celina Panther</v>
      </c>
      <c r="AH7" s="17" t="str">
        <f>IFERROR(VLOOKUP(B7,[1]Kundenübersicht!$E$4:$F$85,2,FALSE),"")</f>
        <v>Rosemarie Schröder</v>
      </c>
      <c r="AI7" s="17" t="str">
        <f t="shared" si="9"/>
        <v>Hauswirtschaft</v>
      </c>
      <c r="AJ7" s="17" t="str">
        <f t="shared" si="9"/>
        <v>Entlastungsleistung</v>
      </c>
      <c r="AL7" s="18">
        <f t="shared" si="1"/>
        <v>38</v>
      </c>
      <c r="AM7" s="18">
        <f t="shared" si="2"/>
        <v>75.999999999999986</v>
      </c>
      <c r="AN7" s="18">
        <f t="shared" si="3"/>
        <v>0</v>
      </c>
    </row>
    <row r="8" spans="2:40" x14ac:dyDescent="0.25">
      <c r="B8" s="20" t="s">
        <v>34</v>
      </c>
      <c r="C8" s="19">
        <v>45818</v>
      </c>
      <c r="D8" s="11">
        <v>0.45833333333333331</v>
      </c>
      <c r="E8" s="11">
        <v>0.5</v>
      </c>
      <c r="F8" s="12">
        <f t="shared" si="4"/>
        <v>1.0000000000000004</v>
      </c>
      <c r="G8" s="12"/>
      <c r="H8" s="20" t="s">
        <v>33</v>
      </c>
      <c r="I8" s="9" t="s">
        <v>27</v>
      </c>
      <c r="J8" s="9" t="s">
        <v>28</v>
      </c>
      <c r="K8" s="9" t="str">
        <f>VLOOKUP($B8,[1]Kundenübersicht!$E$4:$AC$1003,MATCH(K$3,[1]Kundenübersicht!$E$3:$BA$3,FALSE),FALSE)</f>
        <v>AOK PLUS</v>
      </c>
      <c r="L8" s="13">
        <f>VLOOKUP(B8,[1]Kundenübersicht!$E$4:$AC$1003,MATCH(L$3,[1]Kundenübersicht!$E$3:$BA$3,FALSE),FALSE)</f>
        <v>107299005</v>
      </c>
      <c r="M8" s="13" t="str">
        <f>VLOOKUP(B8,[1]Kundenübersicht!$E$4:$AC$1003,MATCH(M$3,[1]Kundenübersicht!$E$3:$BA$3,FALSE),FALSE)</f>
        <v>R234942678</v>
      </c>
      <c r="N8" s="13" t="str">
        <f>VLOOKUP(B8,[1]Kundenübersicht!$E$4:$AC$1003,MATCH(N$3,[1]Kundenübersicht!$E$3:$BA$3,FALSE),FALSE)</f>
        <v>PG 2</v>
      </c>
      <c r="P8" s="20" t="s">
        <v>29</v>
      </c>
      <c r="R8" s="9" t="s">
        <v>30</v>
      </c>
      <c r="S8" s="14" t="s">
        <v>31</v>
      </c>
      <c r="U8" s="15">
        <f>IF(YEAR(C8)&lt;=2025,IFERROR(IF(I8="Hauswirtschaft",VLOOKUP($B8,[1]Kundenübersicht!$E$4:$BA$1003,MATCH("Hauswirtschaft [€/Stunde]",[1]Kundenübersicht!$E$3:$BA$3,FALSE),FALSE),VLOOKUP($B8,[1]Kundenübersicht!$E$4:$BA$1003,MATCH("Alltagsbegleitung [€/Stunde]",[1]Kundenübersicht!$E$3:$BA$3,FALSE),FALSE)),0),IFERROR(IF(I8="Hauswirtschaft",VLOOKUP($B8,[1]Kundenübersicht!$E$4:$BA$1003,MATCH("HW ab 2026 [€/Stunde]",[1]Kundenübersicht!$E$3:$BA$3,FALSE),FALSE),VLOOKUP($B8,[1]Kundenübersicht!$E$4:$BA$1003,MATCH("Alltagsbegleitung [€/Stunde]",[1]Kundenübersicht!$E$3:$BA$3,FALSE),FALSE)),0))</f>
        <v>32.75</v>
      </c>
      <c r="V8" s="16">
        <f t="shared" si="5"/>
        <v>32.750000000000014</v>
      </c>
      <c r="W8" s="16">
        <f t="shared" si="0"/>
        <v>0</v>
      </c>
      <c r="X8" s="16" t="str">
        <f>VLOOKUP(B8,[1]Kundenübersicht!E:AG,MATCH($X$3,[1]Kundenübersicht!$E$3:$AY$3,0),FALSE)</f>
        <v>Alt</v>
      </c>
      <c r="Z8" s="20" t="s">
        <v>29</v>
      </c>
      <c r="AA8" s="19"/>
      <c r="AC8" s="19">
        <v>45917</v>
      </c>
      <c r="AE8" s="9">
        <f t="shared" si="6"/>
        <v>2025</v>
      </c>
      <c r="AF8" s="17" t="str">
        <f t="shared" si="7"/>
        <v>06.2025</v>
      </c>
      <c r="AG8" s="17" t="str">
        <f t="shared" si="8"/>
        <v>Christiane Fiebag</v>
      </c>
      <c r="AH8" s="17" t="str">
        <f>IFERROR(VLOOKUP(B8,[1]Kundenübersicht!$E$4:$F$85,2,FALSE),"")</f>
        <v>Dieter Berghold</v>
      </c>
      <c r="AI8" s="17" t="str">
        <f t="shared" si="9"/>
        <v>Hauswirtschaft</v>
      </c>
      <c r="AJ8" s="17" t="str">
        <f t="shared" si="9"/>
        <v>Entlastungsleistung</v>
      </c>
      <c r="AL8" s="18">
        <f t="shared" si="1"/>
        <v>38</v>
      </c>
      <c r="AM8" s="18">
        <f t="shared" si="2"/>
        <v>38.000000000000014</v>
      </c>
      <c r="AN8" s="18">
        <f t="shared" si="3"/>
        <v>0</v>
      </c>
    </row>
    <row r="9" spans="2:40" x14ac:dyDescent="0.25">
      <c r="B9" s="20" t="s">
        <v>35</v>
      </c>
      <c r="C9" s="19">
        <v>45818</v>
      </c>
      <c r="D9" s="11">
        <v>0.5</v>
      </c>
      <c r="E9" s="11">
        <v>0.54166666666666663</v>
      </c>
      <c r="F9" s="12">
        <f t="shared" si="4"/>
        <v>0.99999999999999911</v>
      </c>
      <c r="G9" s="12"/>
      <c r="H9" s="20" t="s">
        <v>33</v>
      </c>
      <c r="I9" s="9" t="s">
        <v>27</v>
      </c>
      <c r="J9" s="9" t="s">
        <v>28</v>
      </c>
      <c r="K9" s="9" t="str">
        <f>VLOOKUP($B9,[1]Kundenübersicht!$E$4:$AC$1003,MATCH(K$3,[1]Kundenübersicht!$E$3:$BA$3,FALSE),FALSE)</f>
        <v>AOK PLUS</v>
      </c>
      <c r="L9" s="13">
        <f>VLOOKUP(B9,[1]Kundenübersicht!$E$4:$AC$1003,MATCH(L$3,[1]Kundenübersicht!$E$3:$BA$3,FALSE),FALSE)</f>
        <v>107299005</v>
      </c>
      <c r="M9" s="13" t="str">
        <f>VLOOKUP(B9,[1]Kundenübersicht!$E$4:$AC$1003,MATCH(M$3,[1]Kundenübersicht!$E$3:$BA$3,FALSE),FALSE)</f>
        <v>P722909118</v>
      </c>
      <c r="N9" s="13" t="str">
        <f>VLOOKUP(B9,[1]Kundenübersicht!$E$4:$AC$1003,MATCH(N$3,[1]Kundenübersicht!$E$3:$BA$3,FALSE),FALSE)</f>
        <v>PG 3</v>
      </c>
      <c r="P9" s="20" t="s">
        <v>29</v>
      </c>
      <c r="R9" s="9" t="s">
        <v>30</v>
      </c>
      <c r="S9" s="14" t="s">
        <v>31</v>
      </c>
      <c r="U9" s="15">
        <f>IF(YEAR(C9)&lt;=2025,IFERROR(IF(I9="Hauswirtschaft",VLOOKUP($B9,[1]Kundenübersicht!$E$4:$BA$1003,MATCH("Hauswirtschaft [€/Stunde]",[1]Kundenübersicht!$E$3:$BA$3,FALSE),FALSE),VLOOKUP($B9,[1]Kundenübersicht!$E$4:$BA$1003,MATCH("Alltagsbegleitung [€/Stunde]",[1]Kundenübersicht!$E$3:$BA$3,FALSE),FALSE)),0),IFERROR(IF(I9="Hauswirtschaft",VLOOKUP($B9,[1]Kundenübersicht!$E$4:$BA$1003,MATCH("HW ab 2026 [€/Stunde]",[1]Kundenübersicht!$E$3:$BA$3,FALSE),FALSE),VLOOKUP($B9,[1]Kundenübersicht!$E$4:$BA$1003,MATCH("Alltagsbegleitung [€/Stunde]",[1]Kundenübersicht!$E$3:$BA$3,FALSE),FALSE)),0))</f>
        <v>32.75</v>
      </c>
      <c r="V9" s="16">
        <f t="shared" si="5"/>
        <v>32.749999999999972</v>
      </c>
      <c r="W9" s="16">
        <f t="shared" si="0"/>
        <v>0</v>
      </c>
      <c r="X9" s="16" t="str">
        <f>VLOOKUP(B9,[1]Kundenübersicht!E:AG,MATCH($X$3,[1]Kundenübersicht!$E$3:$AY$3,0),FALSE)</f>
        <v>Alt</v>
      </c>
      <c r="Z9" s="20" t="s">
        <v>29</v>
      </c>
      <c r="AA9" s="19"/>
      <c r="AC9" s="19">
        <v>45917</v>
      </c>
      <c r="AE9" s="9">
        <f t="shared" si="6"/>
        <v>2025</v>
      </c>
      <c r="AF9" s="17" t="str">
        <f t="shared" si="7"/>
        <v>06.2025</v>
      </c>
      <c r="AG9" s="17" t="str">
        <f t="shared" si="8"/>
        <v>Christiane Fiebag</v>
      </c>
      <c r="AH9" s="17" t="str">
        <f>IFERROR(VLOOKUP(B9,[1]Kundenübersicht!$E$4:$F$85,2,FALSE),"")</f>
        <v>Elke Berghold</v>
      </c>
      <c r="AI9" s="17" t="str">
        <f t="shared" si="9"/>
        <v>Hauswirtschaft</v>
      </c>
      <c r="AJ9" s="17" t="str">
        <f t="shared" si="9"/>
        <v>Entlastungsleistung</v>
      </c>
      <c r="AL9" s="18">
        <f t="shared" si="1"/>
        <v>38</v>
      </c>
      <c r="AM9" s="18">
        <f t="shared" si="2"/>
        <v>37.999999999999964</v>
      </c>
      <c r="AN9" s="18">
        <f t="shared" si="3"/>
        <v>0</v>
      </c>
    </row>
    <row r="10" spans="2:40" x14ac:dyDescent="0.25">
      <c r="B10" s="20" t="s">
        <v>36</v>
      </c>
      <c r="C10" s="19">
        <v>45821</v>
      </c>
      <c r="D10" s="11">
        <v>0.41666666666666669</v>
      </c>
      <c r="E10" s="11">
        <v>0.5</v>
      </c>
      <c r="F10" s="12">
        <f t="shared" si="4"/>
        <v>1.9999999999999996</v>
      </c>
      <c r="G10" s="12"/>
      <c r="H10" s="20" t="s">
        <v>26</v>
      </c>
      <c r="I10" s="9" t="s">
        <v>27</v>
      </c>
      <c r="J10" s="9" t="s">
        <v>28</v>
      </c>
      <c r="K10" s="9" t="str">
        <f>VLOOKUP($B10,[1]Kundenübersicht!$E$4:$AC$1003,MATCH(K$3,[1]Kundenübersicht!$E$3:$BA$3,FALSE),FALSE)</f>
        <v>IKK Classic</v>
      </c>
      <c r="L10" s="13" t="str">
        <f>VLOOKUP(B10,[1]Kundenübersicht!$E$4:$AC$1003,MATCH(L$3,[1]Kundenübersicht!$E$3:$BA$3,FALSE),FALSE)</f>
        <v>187202793</v>
      </c>
      <c r="M10" s="13" t="str">
        <f>VLOOKUP(B10,[1]Kundenübersicht!$E$4:$AC$1003,MATCH(M$3,[1]Kundenübersicht!$E$3:$BA$3,FALSE),FALSE)</f>
        <v>X365499146</v>
      </c>
      <c r="N10" s="13" t="str">
        <f>VLOOKUP(B10,[1]Kundenübersicht!$E$4:$AC$1003,MATCH(N$3,[1]Kundenübersicht!$E$3:$BA$3,FALSE),FALSE)</f>
        <v>PG 1</v>
      </c>
      <c r="P10" s="20" t="s">
        <v>29</v>
      </c>
      <c r="R10" s="9" t="s">
        <v>30</v>
      </c>
      <c r="S10" s="14" t="s">
        <v>31</v>
      </c>
      <c r="U10" s="15">
        <f>IF(YEAR(C10)&lt;=2025,IFERROR(IF(I10="Hauswirtschaft",VLOOKUP($B10,[1]Kundenübersicht!$E$4:$BA$1003,MATCH("Hauswirtschaft [€/Stunde]",[1]Kundenübersicht!$E$3:$BA$3,FALSE),FALSE),VLOOKUP($B10,[1]Kundenübersicht!$E$4:$BA$1003,MATCH("Alltagsbegleitung [€/Stunde]",[1]Kundenübersicht!$E$3:$BA$3,FALSE),FALSE)),0),IFERROR(IF(I10="Hauswirtschaft",VLOOKUP($B10,[1]Kundenübersicht!$E$4:$BA$1003,MATCH("HW ab 2026 [€/Stunde]",[1]Kundenübersicht!$E$3:$BA$3,FALSE),FALSE),VLOOKUP($B10,[1]Kundenübersicht!$E$4:$BA$1003,MATCH("Alltagsbegleitung [€/Stunde]",[1]Kundenübersicht!$E$3:$BA$3,FALSE),FALSE)),0))</f>
        <v>32.75</v>
      </c>
      <c r="V10" s="16">
        <f t="shared" si="5"/>
        <v>65.499999999999986</v>
      </c>
      <c r="W10" s="16">
        <f t="shared" si="0"/>
        <v>0</v>
      </c>
      <c r="X10" s="16" t="str">
        <f>VLOOKUP(B10,[1]Kundenübersicht!E:AG,MATCH($X$3,[1]Kundenübersicht!$E$3:$AY$3,0),FALSE)</f>
        <v>Alt</v>
      </c>
      <c r="Z10" s="9" t="s">
        <v>29</v>
      </c>
      <c r="AA10" s="10">
        <v>45979</v>
      </c>
      <c r="AC10" s="10">
        <v>45995</v>
      </c>
      <c r="AE10" s="9">
        <f t="shared" si="6"/>
        <v>2025</v>
      </c>
      <c r="AF10" s="17" t="str">
        <f t="shared" si="7"/>
        <v>06.2025</v>
      </c>
      <c r="AG10" s="17" t="str">
        <f t="shared" si="8"/>
        <v>Celina Panther</v>
      </c>
      <c r="AH10" s="17" t="str">
        <f>IFERROR(VLOOKUP(B10,[1]Kundenübersicht!$E$4:$F$85,2,FALSE),"")</f>
        <v>Ingrid Haufe</v>
      </c>
      <c r="AI10" s="17" t="str">
        <f t="shared" si="9"/>
        <v>Hauswirtschaft</v>
      </c>
      <c r="AJ10" s="17" t="str">
        <f t="shared" si="9"/>
        <v>Entlastungsleistung</v>
      </c>
      <c r="AL10" s="18">
        <f t="shared" si="1"/>
        <v>38</v>
      </c>
      <c r="AM10" s="18">
        <f t="shared" si="2"/>
        <v>75.999999999999986</v>
      </c>
      <c r="AN10" s="18">
        <f t="shared" si="3"/>
        <v>0</v>
      </c>
    </row>
    <row r="11" spans="2:40" x14ac:dyDescent="0.25">
      <c r="B11" s="20" t="s">
        <v>37</v>
      </c>
      <c r="C11" s="19">
        <v>45821</v>
      </c>
      <c r="D11" s="11">
        <v>0.41666666666666669</v>
      </c>
      <c r="E11" s="11">
        <v>0.5</v>
      </c>
      <c r="F11" s="12">
        <f t="shared" si="4"/>
        <v>1.9999999999999996</v>
      </c>
      <c r="G11" s="12"/>
      <c r="H11" s="20" t="s">
        <v>26</v>
      </c>
      <c r="I11" s="9" t="s">
        <v>27</v>
      </c>
      <c r="J11" s="9" t="s">
        <v>28</v>
      </c>
      <c r="K11" s="9" t="str">
        <f>VLOOKUP($B11,[1]Kundenübersicht!$E$4:$AC$1003,MATCH(K$3,[1]Kundenübersicht!$E$3:$BA$3,FALSE),FALSE)</f>
        <v>IKK Classic</v>
      </c>
      <c r="L11" s="13" t="str">
        <f>VLOOKUP(B11,[1]Kundenübersicht!$E$4:$AC$1003,MATCH(L$3,[1]Kundenübersicht!$E$3:$BA$3,FALSE),FALSE)</f>
        <v>187202793</v>
      </c>
      <c r="M11" s="13" t="str">
        <f>VLOOKUP(B11,[1]Kundenübersicht!$E$4:$AC$1003,MATCH(M$3,[1]Kundenübersicht!$E$3:$BA$3,FALSE),FALSE)</f>
        <v>E434900220</v>
      </c>
      <c r="N11" s="13" t="str">
        <f>VLOOKUP(B11,[1]Kundenübersicht!$E$4:$AC$1003,MATCH(N$3,[1]Kundenübersicht!$E$3:$BA$3,FALSE),FALSE)</f>
        <v>PG 1</v>
      </c>
      <c r="P11" s="20" t="s">
        <v>29</v>
      </c>
      <c r="R11" s="9" t="s">
        <v>30</v>
      </c>
      <c r="S11" s="14" t="s">
        <v>31</v>
      </c>
      <c r="U11" s="15">
        <f>IF(YEAR(C11)&lt;=2025,IFERROR(IF(I11="Hauswirtschaft",VLOOKUP($B11,[1]Kundenübersicht!$E$4:$BA$1003,MATCH("Hauswirtschaft [€/Stunde]",[1]Kundenübersicht!$E$3:$BA$3,FALSE),FALSE),VLOOKUP($B11,[1]Kundenübersicht!$E$4:$BA$1003,MATCH("Alltagsbegleitung [€/Stunde]",[1]Kundenübersicht!$E$3:$BA$3,FALSE),FALSE)),0),IFERROR(IF(I11="Hauswirtschaft",VLOOKUP($B11,[1]Kundenübersicht!$E$4:$BA$1003,MATCH("HW ab 2026 [€/Stunde]",[1]Kundenübersicht!$E$3:$BA$3,FALSE),FALSE),VLOOKUP($B11,[1]Kundenübersicht!$E$4:$BA$1003,MATCH("Alltagsbegleitung [€/Stunde]",[1]Kundenübersicht!$E$3:$BA$3,FALSE),FALSE)),0))</f>
        <v>32.75</v>
      </c>
      <c r="V11" s="16">
        <f t="shared" si="5"/>
        <v>65.499999999999986</v>
      </c>
      <c r="W11" s="16">
        <f t="shared" si="0"/>
        <v>0</v>
      </c>
      <c r="X11" s="16" t="str">
        <f>VLOOKUP(B11,[1]Kundenübersicht!E:AG,MATCH($X$3,[1]Kundenübersicht!$E$3:$AY$3,0),FALSE)</f>
        <v>Alt</v>
      </c>
      <c r="Z11" s="9" t="s">
        <v>29</v>
      </c>
      <c r="AA11" s="10">
        <v>45979</v>
      </c>
      <c r="AC11" s="10">
        <v>45995</v>
      </c>
      <c r="AE11" s="9">
        <f t="shared" si="6"/>
        <v>2025</v>
      </c>
      <c r="AF11" s="17" t="str">
        <f t="shared" si="7"/>
        <v>06.2025</v>
      </c>
      <c r="AG11" s="17" t="str">
        <f t="shared" si="8"/>
        <v>Celina Panther</v>
      </c>
      <c r="AH11" s="17" t="str">
        <f>IFERROR(VLOOKUP(B11,[1]Kundenübersicht!$E$4:$F$85,2,FALSE),"")</f>
        <v>Lothar Haufe</v>
      </c>
      <c r="AI11" s="17" t="str">
        <f t="shared" si="9"/>
        <v>Hauswirtschaft</v>
      </c>
      <c r="AJ11" s="17" t="str">
        <f t="shared" si="9"/>
        <v>Entlastungsleistung</v>
      </c>
      <c r="AL11" s="18">
        <f t="shared" si="1"/>
        <v>38</v>
      </c>
      <c r="AM11" s="18">
        <f t="shared" si="2"/>
        <v>75.999999999999986</v>
      </c>
      <c r="AN11" s="18">
        <f t="shared" si="3"/>
        <v>0</v>
      </c>
    </row>
    <row r="12" spans="2:40" x14ac:dyDescent="0.25">
      <c r="B12" s="20" t="s">
        <v>35</v>
      </c>
      <c r="C12" s="19">
        <v>45824</v>
      </c>
      <c r="D12" s="11">
        <v>0.45833333333333331</v>
      </c>
      <c r="E12" s="11">
        <v>0.5</v>
      </c>
      <c r="F12" s="12">
        <f t="shared" si="4"/>
        <v>1.0000000000000004</v>
      </c>
      <c r="G12" s="12"/>
      <c r="H12" s="20" t="s">
        <v>33</v>
      </c>
      <c r="I12" s="9" t="s">
        <v>27</v>
      </c>
      <c r="J12" s="9" t="s">
        <v>28</v>
      </c>
      <c r="K12" s="9" t="str">
        <f>VLOOKUP($B12,[1]Kundenübersicht!$E$4:$AC$1003,MATCH(K$3,[1]Kundenübersicht!$E$3:$BA$3,FALSE),FALSE)</f>
        <v>AOK PLUS</v>
      </c>
      <c r="L12" s="13">
        <f>VLOOKUP(B12,[1]Kundenübersicht!$E$4:$AC$1003,MATCH(L$3,[1]Kundenübersicht!$E$3:$BA$3,FALSE),FALSE)</f>
        <v>107299005</v>
      </c>
      <c r="M12" s="13" t="str">
        <f>VLOOKUP(B12,[1]Kundenübersicht!$E$4:$AC$1003,MATCH(M$3,[1]Kundenübersicht!$E$3:$BA$3,FALSE),FALSE)</f>
        <v>P722909118</v>
      </c>
      <c r="N12" s="13" t="str">
        <f>VLOOKUP(B12,[1]Kundenübersicht!$E$4:$AC$1003,MATCH(N$3,[1]Kundenübersicht!$E$3:$BA$3,FALSE),FALSE)</f>
        <v>PG 3</v>
      </c>
      <c r="P12" s="20" t="s">
        <v>29</v>
      </c>
      <c r="R12" s="9" t="s">
        <v>30</v>
      </c>
      <c r="S12" s="14" t="s">
        <v>31</v>
      </c>
      <c r="U12" s="15">
        <f>IF(YEAR(C12)&lt;=2025,IFERROR(IF(I12="Hauswirtschaft",VLOOKUP($B12,[1]Kundenübersicht!$E$4:$BA$1003,MATCH("Hauswirtschaft [€/Stunde]",[1]Kundenübersicht!$E$3:$BA$3,FALSE),FALSE),VLOOKUP($B12,[1]Kundenübersicht!$E$4:$BA$1003,MATCH("Alltagsbegleitung [€/Stunde]",[1]Kundenübersicht!$E$3:$BA$3,FALSE),FALSE)),0),IFERROR(IF(I12="Hauswirtschaft",VLOOKUP($B12,[1]Kundenübersicht!$E$4:$BA$1003,MATCH("HW ab 2026 [€/Stunde]",[1]Kundenübersicht!$E$3:$BA$3,FALSE),FALSE),VLOOKUP($B12,[1]Kundenübersicht!$E$4:$BA$1003,MATCH("Alltagsbegleitung [€/Stunde]",[1]Kundenübersicht!$E$3:$BA$3,FALSE),FALSE)),0))</f>
        <v>32.75</v>
      </c>
      <c r="V12" s="16">
        <f t="shared" si="5"/>
        <v>32.750000000000014</v>
      </c>
      <c r="W12" s="16">
        <f t="shared" si="0"/>
        <v>0</v>
      </c>
      <c r="X12" s="16" t="str">
        <f>VLOOKUP(B12,[1]Kundenübersicht!E:AG,MATCH($X$3,[1]Kundenübersicht!$E$3:$AY$3,0),FALSE)</f>
        <v>Alt</v>
      </c>
      <c r="Z12" s="20" t="s">
        <v>29</v>
      </c>
      <c r="AA12" s="19"/>
      <c r="AC12" s="19">
        <v>45917</v>
      </c>
      <c r="AE12" s="9">
        <f t="shared" si="6"/>
        <v>2025</v>
      </c>
      <c r="AF12" s="17" t="str">
        <f t="shared" si="7"/>
        <v>06.2025</v>
      </c>
      <c r="AG12" s="17" t="str">
        <f t="shared" si="8"/>
        <v>Christiane Fiebag</v>
      </c>
      <c r="AH12" s="17" t="str">
        <f>IFERROR(VLOOKUP(B12,[1]Kundenübersicht!$E$4:$F$85,2,FALSE),"")</f>
        <v>Elke Berghold</v>
      </c>
      <c r="AI12" s="17" t="str">
        <f t="shared" si="9"/>
        <v>Hauswirtschaft</v>
      </c>
      <c r="AJ12" s="17" t="str">
        <f t="shared" si="9"/>
        <v>Entlastungsleistung</v>
      </c>
      <c r="AL12" s="18">
        <f t="shared" si="1"/>
        <v>38</v>
      </c>
      <c r="AM12" s="18">
        <f t="shared" si="2"/>
        <v>38.000000000000014</v>
      </c>
      <c r="AN12" s="18">
        <f t="shared" si="3"/>
        <v>0</v>
      </c>
    </row>
    <row r="13" spans="2:40" x14ac:dyDescent="0.25">
      <c r="B13" s="20" t="s">
        <v>34</v>
      </c>
      <c r="C13" s="19">
        <v>45824</v>
      </c>
      <c r="D13" s="11">
        <v>0.5</v>
      </c>
      <c r="E13" s="11">
        <v>0.54166666666666663</v>
      </c>
      <c r="F13" s="12">
        <f t="shared" si="4"/>
        <v>0.99999999999999911</v>
      </c>
      <c r="G13" s="12"/>
      <c r="H13" s="20" t="s">
        <v>33</v>
      </c>
      <c r="I13" s="9" t="s">
        <v>27</v>
      </c>
      <c r="J13" s="9" t="s">
        <v>28</v>
      </c>
      <c r="K13" s="9" t="str">
        <f>VLOOKUP($B13,[1]Kundenübersicht!$E$4:$AC$1003,MATCH(K$3,[1]Kundenübersicht!$E$3:$BA$3,FALSE),FALSE)</f>
        <v>AOK PLUS</v>
      </c>
      <c r="L13" s="13">
        <f>VLOOKUP(B13,[1]Kundenübersicht!$E$4:$AC$1003,MATCH(L$3,[1]Kundenübersicht!$E$3:$BA$3,FALSE),FALSE)</f>
        <v>107299005</v>
      </c>
      <c r="M13" s="13" t="str">
        <f>VLOOKUP(B13,[1]Kundenübersicht!$E$4:$AC$1003,MATCH(M$3,[1]Kundenübersicht!$E$3:$BA$3,FALSE),FALSE)</f>
        <v>R234942678</v>
      </c>
      <c r="N13" s="13" t="str">
        <f>VLOOKUP(B13,[1]Kundenübersicht!$E$4:$AC$1003,MATCH(N$3,[1]Kundenübersicht!$E$3:$BA$3,FALSE),FALSE)</f>
        <v>PG 2</v>
      </c>
      <c r="P13" s="20" t="s">
        <v>29</v>
      </c>
      <c r="R13" s="9" t="s">
        <v>30</v>
      </c>
      <c r="S13" s="14" t="s">
        <v>31</v>
      </c>
      <c r="U13" s="15">
        <f>IF(YEAR(C13)&lt;=2025,IFERROR(IF(I13="Hauswirtschaft",VLOOKUP($B13,[1]Kundenübersicht!$E$4:$BA$1003,MATCH("Hauswirtschaft [€/Stunde]",[1]Kundenübersicht!$E$3:$BA$3,FALSE),FALSE),VLOOKUP($B13,[1]Kundenübersicht!$E$4:$BA$1003,MATCH("Alltagsbegleitung [€/Stunde]",[1]Kundenübersicht!$E$3:$BA$3,FALSE),FALSE)),0),IFERROR(IF(I13="Hauswirtschaft",VLOOKUP($B13,[1]Kundenübersicht!$E$4:$BA$1003,MATCH("HW ab 2026 [€/Stunde]",[1]Kundenübersicht!$E$3:$BA$3,FALSE),FALSE),VLOOKUP($B13,[1]Kundenübersicht!$E$4:$BA$1003,MATCH("Alltagsbegleitung [€/Stunde]",[1]Kundenübersicht!$E$3:$BA$3,FALSE),FALSE)),0))</f>
        <v>32.75</v>
      </c>
      <c r="V13" s="16">
        <f t="shared" si="5"/>
        <v>32.749999999999972</v>
      </c>
      <c r="W13" s="16">
        <f t="shared" si="0"/>
        <v>0</v>
      </c>
      <c r="X13" s="16" t="str">
        <f>VLOOKUP(B13,[1]Kundenübersicht!E:AG,MATCH($X$3,[1]Kundenübersicht!$E$3:$AY$3,0),FALSE)</f>
        <v>Alt</v>
      </c>
      <c r="Z13" s="20" t="s">
        <v>29</v>
      </c>
      <c r="AA13" s="19"/>
      <c r="AC13" s="19">
        <v>45917</v>
      </c>
      <c r="AE13" s="9">
        <f t="shared" si="6"/>
        <v>2025</v>
      </c>
      <c r="AF13" s="17" t="str">
        <f t="shared" si="7"/>
        <v>06.2025</v>
      </c>
      <c r="AG13" s="17" t="str">
        <f t="shared" si="8"/>
        <v>Christiane Fiebag</v>
      </c>
      <c r="AH13" s="17" t="str">
        <f>IFERROR(VLOOKUP(B13,[1]Kundenübersicht!$E$4:$F$85,2,FALSE),"")</f>
        <v>Dieter Berghold</v>
      </c>
      <c r="AI13" s="17" t="str">
        <f t="shared" si="9"/>
        <v>Hauswirtschaft</v>
      </c>
      <c r="AJ13" s="17" t="str">
        <f t="shared" si="9"/>
        <v>Entlastungsleistung</v>
      </c>
      <c r="AL13" s="18">
        <f t="shared" si="1"/>
        <v>38</v>
      </c>
      <c r="AM13" s="18">
        <f t="shared" si="2"/>
        <v>37.999999999999964</v>
      </c>
      <c r="AN13" s="18">
        <f t="shared" si="3"/>
        <v>0</v>
      </c>
    </row>
    <row r="14" spans="2:40" x14ac:dyDescent="0.25">
      <c r="B14" s="9" t="s">
        <v>25</v>
      </c>
      <c r="C14" s="19">
        <v>45824</v>
      </c>
      <c r="D14" s="11">
        <v>0.41666666666666669</v>
      </c>
      <c r="E14" s="11">
        <v>0.5</v>
      </c>
      <c r="F14" s="12">
        <f t="shared" si="4"/>
        <v>1.9999999999999996</v>
      </c>
      <c r="G14" s="12"/>
      <c r="H14" s="9" t="s">
        <v>26</v>
      </c>
      <c r="I14" s="9" t="s">
        <v>27</v>
      </c>
      <c r="J14" s="9" t="s">
        <v>28</v>
      </c>
      <c r="K14" s="9" t="str">
        <f>VLOOKUP($B14,[1]Kundenübersicht!$E$4:$AC$1003,MATCH(K$3,[1]Kundenübersicht!$E$3:$BA$3,FALSE),FALSE)</f>
        <v>Barmer Pflegekasse</v>
      </c>
      <c r="L14" s="13">
        <f>VLOOKUP(B14,[1]Kundenübersicht!$E$4:$AC$1003,MATCH(L$3,[1]Kundenübersicht!$E$3:$BA$3,FALSE),FALSE)</f>
        <v>184940005</v>
      </c>
      <c r="M14" s="13" t="str">
        <f>VLOOKUP(B14,[1]Kundenübersicht!$E$4:$AC$1003,MATCH(M$3,[1]Kundenübersicht!$E$3:$BA$3,FALSE),FALSE)</f>
        <v>Z817157321</v>
      </c>
      <c r="N14" s="13" t="str">
        <f>VLOOKUP(B14,[1]Kundenübersicht!$E$4:$AC$1003,MATCH(N$3,[1]Kundenübersicht!$E$3:$BA$3,FALSE),FALSE)</f>
        <v>PG 1</v>
      </c>
      <c r="P14" s="20" t="s">
        <v>29</v>
      </c>
      <c r="R14" s="9" t="s">
        <v>30</v>
      </c>
      <c r="S14" s="14" t="s">
        <v>31</v>
      </c>
      <c r="U14" s="15">
        <f>IF(YEAR(C14)&lt;=2025,IFERROR(IF(I14="Hauswirtschaft",VLOOKUP($B14,[1]Kundenübersicht!$E$4:$BA$1003,MATCH("Hauswirtschaft [€/Stunde]",[1]Kundenübersicht!$E$3:$BA$3,FALSE),FALSE),VLOOKUP($B14,[1]Kundenübersicht!$E$4:$BA$1003,MATCH("Alltagsbegleitung [€/Stunde]",[1]Kundenübersicht!$E$3:$BA$3,FALSE),FALSE)),0),IFERROR(IF(I14="Hauswirtschaft",VLOOKUP($B14,[1]Kundenübersicht!$E$4:$BA$1003,MATCH("HW ab 2026 [€/Stunde]",[1]Kundenübersicht!$E$3:$BA$3,FALSE),FALSE),VLOOKUP($B14,[1]Kundenübersicht!$E$4:$BA$1003,MATCH("Alltagsbegleitung [€/Stunde]",[1]Kundenübersicht!$E$3:$BA$3,FALSE),FALSE)),0))</f>
        <v>32.75</v>
      </c>
      <c r="V14" s="16">
        <f t="shared" si="5"/>
        <v>65.499999999999986</v>
      </c>
      <c r="W14" s="16">
        <f t="shared" si="0"/>
        <v>0</v>
      </c>
      <c r="X14" s="16" t="str">
        <f>VLOOKUP(B14,[1]Kundenübersicht!E:AG,MATCH($X$3,[1]Kundenübersicht!$E$3:$AY$3,0),FALSE)</f>
        <v>Alt</v>
      </c>
      <c r="Z14" s="9" t="s">
        <v>29</v>
      </c>
      <c r="AA14" s="10">
        <v>45959</v>
      </c>
      <c r="AC14" s="10">
        <v>45981</v>
      </c>
      <c r="AE14" s="9">
        <f t="shared" si="6"/>
        <v>2025</v>
      </c>
      <c r="AF14" s="17" t="str">
        <f t="shared" si="7"/>
        <v>06.2025</v>
      </c>
      <c r="AG14" s="17" t="str">
        <f t="shared" si="8"/>
        <v>Celina Panther</v>
      </c>
      <c r="AH14" s="17" t="str">
        <f>IFERROR(VLOOKUP(B14,[1]Kundenübersicht!$E$4:$F$85,2,FALSE),"")</f>
        <v>Rosemarie Schröder</v>
      </c>
      <c r="AI14" s="17" t="str">
        <f t="shared" si="9"/>
        <v>Hauswirtschaft</v>
      </c>
      <c r="AJ14" s="17" t="str">
        <f t="shared" si="9"/>
        <v>Entlastungsleistung</v>
      </c>
      <c r="AL14" s="18">
        <f t="shared" si="1"/>
        <v>38</v>
      </c>
      <c r="AM14" s="18">
        <f t="shared" si="2"/>
        <v>75.999999999999986</v>
      </c>
      <c r="AN14" s="18">
        <f t="shared" si="3"/>
        <v>0</v>
      </c>
    </row>
    <row r="15" spans="2:40" x14ac:dyDescent="0.25">
      <c r="B15" s="20" t="s">
        <v>38</v>
      </c>
      <c r="C15" s="19">
        <v>45828</v>
      </c>
      <c r="D15" s="11">
        <v>0.33333333333333331</v>
      </c>
      <c r="E15" s="11">
        <v>0.41666666666666669</v>
      </c>
      <c r="F15" s="12">
        <f t="shared" si="4"/>
        <v>2.0000000000000009</v>
      </c>
      <c r="G15" s="12"/>
      <c r="H15" s="20" t="s">
        <v>33</v>
      </c>
      <c r="I15" s="9" t="s">
        <v>27</v>
      </c>
      <c r="J15" s="9" t="s">
        <v>28</v>
      </c>
      <c r="K15" s="9" t="str">
        <f>VLOOKUP($B15,[1]Kundenübersicht!$E$4:$AC$1003,MATCH(K$3,[1]Kundenübersicht!$E$3:$BA$3,FALSE),FALSE)</f>
        <v>AOK PLUS</v>
      </c>
      <c r="L15" s="13">
        <f>VLOOKUP(B15,[1]Kundenübersicht!$E$4:$AC$1003,MATCH(L$3,[1]Kundenübersicht!$E$3:$BA$3,FALSE),FALSE)</f>
        <v>107299005</v>
      </c>
      <c r="M15" s="13" t="str">
        <f>VLOOKUP(B15,[1]Kundenübersicht!$E$4:$AC$1003,MATCH(M$3,[1]Kundenübersicht!$E$3:$BA$3,FALSE),FALSE)</f>
        <v>R782602114</v>
      </c>
      <c r="N15" s="13" t="str">
        <f>VLOOKUP(B15,[1]Kundenübersicht!$E$4:$AC$1003,MATCH(N$3,[1]Kundenübersicht!$E$3:$BA$3,FALSE),FALSE)</f>
        <v>PG 1</v>
      </c>
      <c r="P15" s="20" t="s">
        <v>29</v>
      </c>
      <c r="R15" s="9" t="s">
        <v>30</v>
      </c>
      <c r="S15" s="14" t="s">
        <v>31</v>
      </c>
      <c r="U15" s="15">
        <f>IF(YEAR(C15)&lt;=2025,IFERROR(IF(I15="Hauswirtschaft",VLOOKUP($B15,[1]Kundenübersicht!$E$4:$BA$1003,MATCH("Hauswirtschaft [€/Stunde]",[1]Kundenübersicht!$E$3:$BA$3,FALSE),FALSE),VLOOKUP($B15,[1]Kundenübersicht!$E$4:$BA$1003,MATCH("Alltagsbegleitung [€/Stunde]",[1]Kundenübersicht!$E$3:$BA$3,FALSE),FALSE)),0),IFERROR(IF(I15="Hauswirtschaft",VLOOKUP($B15,[1]Kundenübersicht!$E$4:$BA$1003,MATCH("HW ab 2026 [€/Stunde]",[1]Kundenübersicht!$E$3:$BA$3,FALSE),FALSE),VLOOKUP($B15,[1]Kundenübersicht!$E$4:$BA$1003,MATCH("Alltagsbegleitung [€/Stunde]",[1]Kundenübersicht!$E$3:$BA$3,FALSE),FALSE)),0))</f>
        <v>32.75</v>
      </c>
      <c r="V15" s="16">
        <f t="shared" si="5"/>
        <v>65.500000000000028</v>
      </c>
      <c r="W15" s="16">
        <f t="shared" si="0"/>
        <v>0</v>
      </c>
      <c r="X15" s="16" t="str">
        <f>VLOOKUP(B15,[1]Kundenübersicht!E:AG,MATCH($X$3,[1]Kundenübersicht!$E$3:$AY$3,0),FALSE)</f>
        <v>Alt</v>
      </c>
      <c r="Z15" s="20" t="s">
        <v>29</v>
      </c>
      <c r="AA15" s="19"/>
      <c r="AC15" s="19">
        <v>45917</v>
      </c>
      <c r="AE15" s="9">
        <f t="shared" si="6"/>
        <v>2025</v>
      </c>
      <c r="AF15" s="17" t="str">
        <f t="shared" si="7"/>
        <v>06.2025</v>
      </c>
      <c r="AG15" s="17" t="str">
        <f t="shared" si="8"/>
        <v>Christiane Fiebag</v>
      </c>
      <c r="AH15" s="17" t="str">
        <f>IFERROR(VLOOKUP(B15,[1]Kundenübersicht!$E$4:$F$85,2,FALSE),"")</f>
        <v>Christian Jungnickel</v>
      </c>
      <c r="AI15" s="17" t="str">
        <f t="shared" si="9"/>
        <v>Hauswirtschaft</v>
      </c>
      <c r="AJ15" s="17" t="str">
        <f t="shared" si="9"/>
        <v>Entlastungsleistung</v>
      </c>
      <c r="AL15" s="18">
        <f t="shared" si="1"/>
        <v>38</v>
      </c>
      <c r="AM15" s="18">
        <f t="shared" si="2"/>
        <v>76.000000000000028</v>
      </c>
      <c r="AN15" s="18">
        <f t="shared" si="3"/>
        <v>0</v>
      </c>
    </row>
    <row r="16" spans="2:40" x14ac:dyDescent="0.25">
      <c r="B16" s="20" t="s">
        <v>36</v>
      </c>
      <c r="C16" s="19">
        <v>45828</v>
      </c>
      <c r="D16" s="11">
        <v>0.41666666666666669</v>
      </c>
      <c r="E16" s="11">
        <v>0.5</v>
      </c>
      <c r="F16" s="12">
        <f t="shared" si="4"/>
        <v>1.9999999999999996</v>
      </c>
      <c r="G16" s="12"/>
      <c r="H16" s="20" t="s">
        <v>26</v>
      </c>
      <c r="I16" s="9" t="s">
        <v>27</v>
      </c>
      <c r="J16" s="9" t="s">
        <v>28</v>
      </c>
      <c r="K16" s="9" t="str">
        <f>VLOOKUP($B16,[1]Kundenübersicht!$E$4:$AC$1003,MATCH(K$3,[1]Kundenübersicht!$E$3:$BA$3,FALSE),FALSE)</f>
        <v>IKK Classic</v>
      </c>
      <c r="L16" s="13" t="str">
        <f>VLOOKUP(B16,[1]Kundenübersicht!$E$4:$AC$1003,MATCH(L$3,[1]Kundenübersicht!$E$3:$BA$3,FALSE),FALSE)</f>
        <v>187202793</v>
      </c>
      <c r="M16" s="13" t="str">
        <f>VLOOKUP(B16,[1]Kundenübersicht!$E$4:$AC$1003,MATCH(M$3,[1]Kundenübersicht!$E$3:$BA$3,FALSE),FALSE)</f>
        <v>X365499146</v>
      </c>
      <c r="N16" s="13" t="str">
        <f>VLOOKUP(B16,[1]Kundenübersicht!$E$4:$AC$1003,MATCH(N$3,[1]Kundenübersicht!$E$3:$BA$3,FALSE),FALSE)</f>
        <v>PG 1</v>
      </c>
      <c r="P16" s="20" t="s">
        <v>29</v>
      </c>
      <c r="R16" s="9" t="s">
        <v>30</v>
      </c>
      <c r="S16" s="14" t="s">
        <v>31</v>
      </c>
      <c r="U16" s="15">
        <f>IF(YEAR(C16)&lt;=2025,IFERROR(IF(I16="Hauswirtschaft",VLOOKUP($B16,[1]Kundenübersicht!$E$4:$BA$1003,MATCH("Hauswirtschaft [€/Stunde]",[1]Kundenübersicht!$E$3:$BA$3,FALSE),FALSE),VLOOKUP($B16,[1]Kundenübersicht!$E$4:$BA$1003,MATCH("Alltagsbegleitung [€/Stunde]",[1]Kundenübersicht!$E$3:$BA$3,FALSE),FALSE)),0),IFERROR(IF(I16="Hauswirtschaft",VLOOKUP($B16,[1]Kundenübersicht!$E$4:$BA$1003,MATCH("HW ab 2026 [€/Stunde]",[1]Kundenübersicht!$E$3:$BA$3,FALSE),FALSE),VLOOKUP($B16,[1]Kundenübersicht!$E$4:$BA$1003,MATCH("Alltagsbegleitung [€/Stunde]",[1]Kundenübersicht!$E$3:$BA$3,FALSE),FALSE)),0))</f>
        <v>32.75</v>
      </c>
      <c r="V16" s="16">
        <f t="shared" si="5"/>
        <v>65.499999999999986</v>
      </c>
      <c r="W16" s="16">
        <f t="shared" si="0"/>
        <v>0</v>
      </c>
      <c r="X16" s="16" t="str">
        <f>VLOOKUP(B16,[1]Kundenübersicht!E:AG,MATCH($X$3,[1]Kundenübersicht!$E$3:$AY$3,0),FALSE)</f>
        <v>Alt</v>
      </c>
      <c r="Z16" s="9" t="s">
        <v>29</v>
      </c>
      <c r="AA16" s="10">
        <v>45979</v>
      </c>
      <c r="AC16" s="10">
        <v>45995</v>
      </c>
      <c r="AE16" s="9">
        <f t="shared" si="6"/>
        <v>2025</v>
      </c>
      <c r="AF16" s="17" t="str">
        <f t="shared" si="7"/>
        <v>06.2025</v>
      </c>
      <c r="AG16" s="17" t="str">
        <f t="shared" si="8"/>
        <v>Celina Panther</v>
      </c>
      <c r="AH16" s="17" t="str">
        <f>IFERROR(VLOOKUP(B16,[1]Kundenübersicht!$E$4:$F$85,2,FALSE),"")</f>
        <v>Ingrid Haufe</v>
      </c>
      <c r="AI16" s="17" t="str">
        <f t="shared" si="9"/>
        <v>Hauswirtschaft</v>
      </c>
      <c r="AJ16" s="17" t="str">
        <f t="shared" si="9"/>
        <v>Entlastungsleistung</v>
      </c>
      <c r="AL16" s="18">
        <f t="shared" si="1"/>
        <v>38</v>
      </c>
      <c r="AM16" s="18">
        <f t="shared" si="2"/>
        <v>75.999999999999986</v>
      </c>
      <c r="AN16" s="18">
        <f t="shared" si="3"/>
        <v>0</v>
      </c>
    </row>
    <row r="17" spans="2:40" x14ac:dyDescent="0.25">
      <c r="B17" s="20" t="s">
        <v>37</v>
      </c>
      <c r="C17" s="19">
        <v>45828</v>
      </c>
      <c r="D17" s="11">
        <v>0.41666666666666669</v>
      </c>
      <c r="E17" s="11">
        <v>0.5</v>
      </c>
      <c r="F17" s="12">
        <f t="shared" si="4"/>
        <v>1.9999999999999996</v>
      </c>
      <c r="G17" s="12"/>
      <c r="H17" s="20" t="s">
        <v>26</v>
      </c>
      <c r="I17" s="9" t="s">
        <v>27</v>
      </c>
      <c r="J17" s="9" t="s">
        <v>28</v>
      </c>
      <c r="K17" s="9" t="str">
        <f>VLOOKUP($B17,[1]Kundenübersicht!$E$4:$AC$1003,MATCH(K$3,[1]Kundenübersicht!$E$3:$BA$3,FALSE),FALSE)</f>
        <v>IKK Classic</v>
      </c>
      <c r="L17" s="13" t="str">
        <f>VLOOKUP(B17,[1]Kundenübersicht!$E$4:$AC$1003,MATCH(L$3,[1]Kundenübersicht!$E$3:$BA$3,FALSE),FALSE)</f>
        <v>187202793</v>
      </c>
      <c r="M17" s="13" t="str">
        <f>VLOOKUP(B17,[1]Kundenübersicht!$E$4:$AC$1003,MATCH(M$3,[1]Kundenübersicht!$E$3:$BA$3,FALSE),FALSE)</f>
        <v>E434900220</v>
      </c>
      <c r="N17" s="13" t="str">
        <f>VLOOKUP(B17,[1]Kundenübersicht!$E$4:$AC$1003,MATCH(N$3,[1]Kundenübersicht!$E$3:$BA$3,FALSE),FALSE)</f>
        <v>PG 1</v>
      </c>
      <c r="P17" s="20" t="s">
        <v>29</v>
      </c>
      <c r="R17" s="9" t="s">
        <v>30</v>
      </c>
      <c r="S17" s="14" t="s">
        <v>31</v>
      </c>
      <c r="U17" s="15">
        <f>IF(YEAR(C17)&lt;=2025,IFERROR(IF(I17="Hauswirtschaft",VLOOKUP($B17,[1]Kundenübersicht!$E$4:$BA$1003,MATCH("Hauswirtschaft [€/Stunde]",[1]Kundenübersicht!$E$3:$BA$3,FALSE),FALSE),VLOOKUP($B17,[1]Kundenübersicht!$E$4:$BA$1003,MATCH("Alltagsbegleitung [€/Stunde]",[1]Kundenübersicht!$E$3:$BA$3,FALSE),FALSE)),0),IFERROR(IF(I17="Hauswirtschaft",VLOOKUP($B17,[1]Kundenübersicht!$E$4:$BA$1003,MATCH("HW ab 2026 [€/Stunde]",[1]Kundenübersicht!$E$3:$BA$3,FALSE),FALSE),VLOOKUP($B17,[1]Kundenübersicht!$E$4:$BA$1003,MATCH("Alltagsbegleitung [€/Stunde]",[1]Kundenübersicht!$E$3:$BA$3,FALSE),FALSE)),0))</f>
        <v>32.75</v>
      </c>
      <c r="V17" s="16">
        <f t="shared" si="5"/>
        <v>65.499999999999986</v>
      </c>
      <c r="W17" s="16">
        <f t="shared" si="0"/>
        <v>0</v>
      </c>
      <c r="X17" s="16" t="str">
        <f>VLOOKUP(B17,[1]Kundenübersicht!E:AG,MATCH($X$3,[1]Kundenübersicht!$E$3:$AY$3,0),FALSE)</f>
        <v>Alt</v>
      </c>
      <c r="Z17" s="9" t="s">
        <v>29</v>
      </c>
      <c r="AA17" s="10">
        <v>45979</v>
      </c>
      <c r="AC17" s="10">
        <v>45995</v>
      </c>
      <c r="AE17" s="9">
        <f t="shared" si="6"/>
        <v>2025</v>
      </c>
      <c r="AF17" s="17" t="str">
        <f t="shared" si="7"/>
        <v>06.2025</v>
      </c>
      <c r="AG17" s="17" t="str">
        <f t="shared" si="8"/>
        <v>Celina Panther</v>
      </c>
      <c r="AH17" s="17" t="str">
        <f>IFERROR(VLOOKUP(B17,[1]Kundenübersicht!$E$4:$F$85,2,FALSE),"")</f>
        <v>Lothar Haufe</v>
      </c>
      <c r="AI17" s="17" t="str">
        <f t="shared" si="9"/>
        <v>Hauswirtschaft</v>
      </c>
      <c r="AJ17" s="17" t="str">
        <f t="shared" si="9"/>
        <v>Entlastungsleistung</v>
      </c>
      <c r="AL17" s="18">
        <f t="shared" si="1"/>
        <v>38</v>
      </c>
      <c r="AM17" s="18">
        <f t="shared" si="2"/>
        <v>75.999999999999986</v>
      </c>
      <c r="AN17" s="18">
        <f t="shared" si="3"/>
        <v>0</v>
      </c>
    </row>
    <row r="18" spans="2:40" x14ac:dyDescent="0.25">
      <c r="B18" s="20" t="s">
        <v>34</v>
      </c>
      <c r="C18" s="19">
        <v>45831</v>
      </c>
      <c r="D18" s="11">
        <v>0.54166666666666663</v>
      </c>
      <c r="E18" s="11">
        <v>0.58333333333333337</v>
      </c>
      <c r="F18" s="12">
        <f t="shared" si="4"/>
        <v>1.0000000000000018</v>
      </c>
      <c r="G18" s="12"/>
      <c r="H18" s="20" t="s">
        <v>33</v>
      </c>
      <c r="I18" s="9" t="s">
        <v>27</v>
      </c>
      <c r="J18" s="9" t="s">
        <v>28</v>
      </c>
      <c r="K18" s="9" t="str">
        <f>VLOOKUP($B18,[1]Kundenübersicht!$E$4:$AC$1003,MATCH(K$3,[1]Kundenübersicht!$E$3:$BA$3,FALSE),FALSE)</f>
        <v>AOK PLUS</v>
      </c>
      <c r="L18" s="13">
        <f>VLOOKUP(B18,[1]Kundenübersicht!$E$4:$AC$1003,MATCH(L$3,[1]Kundenübersicht!$E$3:$BA$3,FALSE),FALSE)</f>
        <v>107299005</v>
      </c>
      <c r="M18" s="13" t="str">
        <f>VLOOKUP(B18,[1]Kundenübersicht!$E$4:$AC$1003,MATCH(M$3,[1]Kundenübersicht!$E$3:$BA$3,FALSE),FALSE)</f>
        <v>R234942678</v>
      </c>
      <c r="N18" s="13" t="str">
        <f>VLOOKUP(B18,[1]Kundenübersicht!$E$4:$AC$1003,MATCH(N$3,[1]Kundenübersicht!$E$3:$BA$3,FALSE),FALSE)</f>
        <v>PG 2</v>
      </c>
      <c r="P18" s="20" t="s">
        <v>29</v>
      </c>
      <c r="R18" s="9" t="s">
        <v>30</v>
      </c>
      <c r="S18" s="14" t="s">
        <v>31</v>
      </c>
      <c r="U18" s="15">
        <f>IF(YEAR(C18)&lt;=2025,IFERROR(IF(I18="Hauswirtschaft",VLOOKUP($B18,[1]Kundenübersicht!$E$4:$BA$1003,MATCH("Hauswirtschaft [€/Stunde]",[1]Kundenübersicht!$E$3:$BA$3,FALSE),FALSE),VLOOKUP($B18,[1]Kundenübersicht!$E$4:$BA$1003,MATCH("Alltagsbegleitung [€/Stunde]",[1]Kundenübersicht!$E$3:$BA$3,FALSE),FALSE)),0),IFERROR(IF(I18="Hauswirtschaft",VLOOKUP($B18,[1]Kundenübersicht!$E$4:$BA$1003,MATCH("HW ab 2026 [€/Stunde]",[1]Kundenübersicht!$E$3:$BA$3,FALSE),FALSE),VLOOKUP($B18,[1]Kundenübersicht!$E$4:$BA$1003,MATCH("Alltagsbegleitung [€/Stunde]",[1]Kundenübersicht!$E$3:$BA$3,FALSE),FALSE)),0))</f>
        <v>32.75</v>
      </c>
      <c r="V18" s="16">
        <f t="shared" si="5"/>
        <v>32.750000000000057</v>
      </c>
      <c r="W18" s="16">
        <f t="shared" si="0"/>
        <v>0</v>
      </c>
      <c r="X18" s="16" t="str">
        <f>VLOOKUP(B18,[1]Kundenübersicht!E:AG,MATCH($X$3,[1]Kundenübersicht!$E$3:$AY$3,0),FALSE)</f>
        <v>Alt</v>
      </c>
      <c r="Z18" s="20" t="s">
        <v>29</v>
      </c>
      <c r="AA18" s="19"/>
      <c r="AC18" s="19">
        <v>45917</v>
      </c>
      <c r="AE18" s="9">
        <f t="shared" si="6"/>
        <v>2025</v>
      </c>
      <c r="AF18" s="17" t="str">
        <f t="shared" si="7"/>
        <v>06.2025</v>
      </c>
      <c r="AG18" s="17" t="str">
        <f t="shared" si="8"/>
        <v>Christiane Fiebag</v>
      </c>
      <c r="AH18" s="17" t="str">
        <f>IFERROR(VLOOKUP(B18,[1]Kundenübersicht!$E$4:$F$85,2,FALSE),"")</f>
        <v>Dieter Berghold</v>
      </c>
      <c r="AI18" s="17" t="str">
        <f t="shared" si="9"/>
        <v>Hauswirtschaft</v>
      </c>
      <c r="AJ18" s="17" t="str">
        <f t="shared" si="9"/>
        <v>Entlastungsleistung</v>
      </c>
      <c r="AL18" s="18">
        <f t="shared" si="1"/>
        <v>38</v>
      </c>
      <c r="AM18" s="18">
        <f t="shared" si="2"/>
        <v>38.000000000000071</v>
      </c>
      <c r="AN18" s="18">
        <f t="shared" si="3"/>
        <v>0</v>
      </c>
    </row>
    <row r="19" spans="2:40" x14ac:dyDescent="0.25">
      <c r="B19" s="20" t="s">
        <v>35</v>
      </c>
      <c r="C19" s="19">
        <v>45831</v>
      </c>
      <c r="D19" s="11">
        <v>0.5</v>
      </c>
      <c r="E19" s="11">
        <v>0.54166666666666663</v>
      </c>
      <c r="F19" s="12">
        <f t="shared" si="4"/>
        <v>0.99999999999999911</v>
      </c>
      <c r="G19" s="12"/>
      <c r="H19" s="20" t="s">
        <v>33</v>
      </c>
      <c r="I19" s="9" t="s">
        <v>27</v>
      </c>
      <c r="J19" s="9" t="s">
        <v>28</v>
      </c>
      <c r="K19" s="9" t="str">
        <f>VLOOKUP($B19,[1]Kundenübersicht!$E$4:$AC$1003,MATCH(K$3,[1]Kundenübersicht!$E$3:$BA$3,FALSE),FALSE)</f>
        <v>AOK PLUS</v>
      </c>
      <c r="L19" s="13">
        <f>VLOOKUP(B19,[1]Kundenübersicht!$E$4:$AC$1003,MATCH(L$3,[1]Kundenübersicht!$E$3:$BA$3,FALSE),FALSE)</f>
        <v>107299005</v>
      </c>
      <c r="M19" s="13" t="str">
        <f>VLOOKUP(B19,[1]Kundenübersicht!$E$4:$AC$1003,MATCH(M$3,[1]Kundenübersicht!$E$3:$BA$3,FALSE),FALSE)</f>
        <v>P722909118</v>
      </c>
      <c r="N19" s="13" t="str">
        <f>VLOOKUP(B19,[1]Kundenübersicht!$E$4:$AC$1003,MATCH(N$3,[1]Kundenübersicht!$E$3:$BA$3,FALSE),FALSE)</f>
        <v>PG 3</v>
      </c>
      <c r="P19" s="20" t="s">
        <v>29</v>
      </c>
      <c r="R19" s="9" t="s">
        <v>30</v>
      </c>
      <c r="S19" s="14" t="s">
        <v>31</v>
      </c>
      <c r="U19" s="15">
        <f>IF(YEAR(C19)&lt;=2025,IFERROR(IF(I19="Hauswirtschaft",VLOOKUP($B19,[1]Kundenübersicht!$E$4:$BA$1003,MATCH("Hauswirtschaft [€/Stunde]",[1]Kundenübersicht!$E$3:$BA$3,FALSE),FALSE),VLOOKUP($B19,[1]Kundenübersicht!$E$4:$BA$1003,MATCH("Alltagsbegleitung [€/Stunde]",[1]Kundenübersicht!$E$3:$BA$3,FALSE),FALSE)),0),IFERROR(IF(I19="Hauswirtschaft",VLOOKUP($B19,[1]Kundenübersicht!$E$4:$BA$1003,MATCH("HW ab 2026 [€/Stunde]",[1]Kundenübersicht!$E$3:$BA$3,FALSE),FALSE),VLOOKUP($B19,[1]Kundenübersicht!$E$4:$BA$1003,MATCH("Alltagsbegleitung [€/Stunde]",[1]Kundenübersicht!$E$3:$BA$3,FALSE),FALSE)),0))</f>
        <v>32.75</v>
      </c>
      <c r="V19" s="16">
        <f t="shared" si="5"/>
        <v>32.749999999999972</v>
      </c>
      <c r="W19" s="16">
        <f t="shared" si="0"/>
        <v>0</v>
      </c>
      <c r="X19" s="16" t="str">
        <f>VLOOKUP(B19,[1]Kundenübersicht!E:AG,MATCH($X$3,[1]Kundenübersicht!$E$3:$AY$3,0),FALSE)</f>
        <v>Alt</v>
      </c>
      <c r="Z19" s="20" t="s">
        <v>29</v>
      </c>
      <c r="AA19" s="19"/>
      <c r="AC19" s="19">
        <v>45917</v>
      </c>
      <c r="AE19" s="9">
        <f t="shared" si="6"/>
        <v>2025</v>
      </c>
      <c r="AF19" s="17" t="str">
        <f t="shared" si="7"/>
        <v>06.2025</v>
      </c>
      <c r="AG19" s="17" t="str">
        <f t="shared" si="8"/>
        <v>Christiane Fiebag</v>
      </c>
      <c r="AH19" s="17" t="str">
        <f>IFERROR(VLOOKUP(B19,[1]Kundenübersicht!$E$4:$F$85,2,FALSE),"")</f>
        <v>Elke Berghold</v>
      </c>
      <c r="AI19" s="17" t="str">
        <f t="shared" si="9"/>
        <v>Hauswirtschaft</v>
      </c>
      <c r="AJ19" s="17" t="str">
        <f t="shared" si="9"/>
        <v>Entlastungsleistung</v>
      </c>
      <c r="AL19" s="18">
        <f t="shared" si="1"/>
        <v>38</v>
      </c>
      <c r="AM19" s="18">
        <f t="shared" si="2"/>
        <v>37.999999999999964</v>
      </c>
      <c r="AN19" s="18">
        <f t="shared" si="3"/>
        <v>0</v>
      </c>
    </row>
    <row r="20" spans="2:40" x14ac:dyDescent="0.25">
      <c r="B20" s="21" t="s">
        <v>39</v>
      </c>
      <c r="C20" s="22">
        <v>45833</v>
      </c>
      <c r="D20" s="23">
        <v>0.63541666666666663</v>
      </c>
      <c r="E20" s="23">
        <v>0.67708333333333337</v>
      </c>
      <c r="F20" s="24">
        <f t="shared" si="4"/>
        <v>1.0000000000000018</v>
      </c>
      <c r="G20" s="24"/>
      <c r="H20" s="21" t="s">
        <v>40</v>
      </c>
      <c r="I20" s="21" t="s">
        <v>41</v>
      </c>
      <c r="J20" s="21" t="s">
        <v>28</v>
      </c>
      <c r="K20" s="9" t="str">
        <f>VLOOKUP($B20,[1]Kundenübersicht!$E$4:$AC$1003,MATCH(K$3,[1]Kundenübersicht!$E$3:$BA$3,FALSE),FALSE)</f>
        <v>AOK PLUS</v>
      </c>
      <c r="L20" s="13">
        <f>VLOOKUP(B20,[1]Kundenübersicht!$E$4:$AC$1003,MATCH(L$3,[1]Kundenübersicht!$E$3:$BA$3,FALSE),FALSE)</f>
        <v>107299005</v>
      </c>
      <c r="M20" s="13" t="str">
        <f>VLOOKUP(B20,[1]Kundenübersicht!$E$4:$AC$1003,MATCH(M$3,[1]Kundenübersicht!$E$3:$BA$3,FALSE),FALSE)</f>
        <v>Q445657677</v>
      </c>
      <c r="N20" s="13" t="str">
        <f>VLOOKUP(B20,[1]Kundenübersicht!$E$4:$AC$1003,MATCH(N$3,[1]Kundenübersicht!$E$3:$BA$3,FALSE),FALSE)</f>
        <v>PG 2</v>
      </c>
      <c r="O20" s="25"/>
      <c r="P20" s="21" t="s">
        <v>29</v>
      </c>
      <c r="R20" s="9" t="s">
        <v>30</v>
      </c>
      <c r="S20" s="14" t="s">
        <v>31</v>
      </c>
      <c r="U20" s="15">
        <f>IF(YEAR(C20)&lt;=2025,IFERROR(IF(I20="Hauswirtschaft",VLOOKUP($B20,[1]Kundenübersicht!$E$4:$BA$1003,MATCH("Hauswirtschaft [€/Stunde]",[1]Kundenübersicht!$E$3:$BA$3,FALSE),FALSE),VLOOKUP($B20,[1]Kundenübersicht!$E$4:$BA$1003,MATCH("Alltagsbegleitung [€/Stunde]",[1]Kundenübersicht!$E$3:$BA$3,FALSE),FALSE)),0),IFERROR(IF(I20="Hauswirtschaft",VLOOKUP($B20,[1]Kundenübersicht!$E$4:$BA$1003,MATCH("HW ab 2026 [€/Stunde]",[1]Kundenübersicht!$E$3:$BA$3,FALSE),FALSE),VLOOKUP($B20,[1]Kundenübersicht!$E$4:$BA$1003,MATCH("Alltagsbegleitung [€/Stunde]",[1]Kundenübersicht!$E$3:$BA$3,FALSE),FALSE)),0))</f>
        <v>42</v>
      </c>
      <c r="V20" s="16">
        <f t="shared" si="5"/>
        <v>42.000000000000071</v>
      </c>
      <c r="W20" s="16">
        <f t="shared" si="0"/>
        <v>0</v>
      </c>
      <c r="X20" s="16" t="str">
        <f>VLOOKUP(B20,[1]Kundenübersicht!E:AG,MATCH($X$3,[1]Kundenübersicht!$E$3:$AY$3,0),FALSE)</f>
        <v>Alt</v>
      </c>
      <c r="Z20" s="20" t="s">
        <v>29</v>
      </c>
      <c r="AA20" s="19"/>
      <c r="AC20" s="19">
        <v>45917</v>
      </c>
      <c r="AE20" s="9">
        <f t="shared" si="6"/>
        <v>2025</v>
      </c>
      <c r="AF20" s="17" t="str">
        <f t="shared" si="7"/>
        <v>06.2025</v>
      </c>
      <c r="AG20" s="17" t="str">
        <f t="shared" si="8"/>
        <v>Franziska Wächtler</v>
      </c>
      <c r="AH20" s="17" t="str">
        <f>IFERROR(VLOOKUP(B20,[1]Kundenübersicht!$E$4:$F$85,2,FALSE),"")</f>
        <v>Helga Dienelt</v>
      </c>
      <c r="AI20" s="17" t="str">
        <f t="shared" si="9"/>
        <v>Alltagsbegleitung</v>
      </c>
      <c r="AJ20" s="17" t="str">
        <f t="shared" si="9"/>
        <v>Entlastungsleistung</v>
      </c>
      <c r="AL20" s="18">
        <f t="shared" si="1"/>
        <v>42</v>
      </c>
      <c r="AM20" s="18">
        <f t="shared" si="2"/>
        <v>42.000000000000071</v>
      </c>
      <c r="AN20" s="18">
        <f t="shared" si="3"/>
        <v>0</v>
      </c>
    </row>
    <row r="21" spans="2:40" x14ac:dyDescent="0.25">
      <c r="B21" s="20" t="s">
        <v>42</v>
      </c>
      <c r="C21" s="19">
        <v>45838</v>
      </c>
      <c r="D21" s="11">
        <v>0.59375</v>
      </c>
      <c r="E21" s="11">
        <v>0.63541666666666663</v>
      </c>
      <c r="F21" s="12">
        <f t="shared" si="4"/>
        <v>0.99999999999999911</v>
      </c>
      <c r="G21" s="12"/>
      <c r="H21" s="20" t="s">
        <v>33</v>
      </c>
      <c r="I21" s="9" t="s">
        <v>27</v>
      </c>
      <c r="J21" s="9" t="s">
        <v>28</v>
      </c>
      <c r="K21" s="9" t="str">
        <f>VLOOKUP($B21,[1]Kundenübersicht!$E$4:$AC$1003,MATCH(K$3,[1]Kundenübersicht!$E$3:$BA$3,FALSE),FALSE)</f>
        <v>Techniker Krankenkasse</v>
      </c>
      <c r="L21" s="13">
        <f>VLOOKUP(B21,[1]Kundenübersicht!$E$4:$AC$1003,MATCH(L$3,[1]Kundenübersicht!$E$3:$BA$3,FALSE),FALSE)</f>
        <v>101575519</v>
      </c>
      <c r="M21" s="13" t="str">
        <f>VLOOKUP(B21,[1]Kundenübersicht!$E$4:$AC$1003,MATCH(M$3,[1]Kundenübersicht!$E$3:$BA$3,FALSE),FALSE)</f>
        <v>E759973784</v>
      </c>
      <c r="N21" s="13" t="str">
        <f>VLOOKUP(B21,[1]Kundenübersicht!$E$4:$AC$1003,MATCH(N$3,[1]Kundenübersicht!$E$3:$BA$3,FALSE),FALSE)</f>
        <v>PG 2</v>
      </c>
      <c r="P21" s="20" t="s">
        <v>29</v>
      </c>
      <c r="R21" s="9" t="s">
        <v>30</v>
      </c>
      <c r="S21" s="14" t="s">
        <v>31</v>
      </c>
      <c r="U21" s="15">
        <f>IF(YEAR(C21)&lt;=2025,IFERROR(IF(I21="Hauswirtschaft",VLOOKUP($B21,[1]Kundenübersicht!$E$4:$BA$1003,MATCH("Hauswirtschaft [€/Stunde]",[1]Kundenübersicht!$E$3:$BA$3,FALSE),FALSE),VLOOKUP($B21,[1]Kundenübersicht!$E$4:$BA$1003,MATCH("Alltagsbegleitung [€/Stunde]",[1]Kundenübersicht!$E$3:$BA$3,FALSE),FALSE)),0),IFERROR(IF(I21="Hauswirtschaft",VLOOKUP($B21,[1]Kundenübersicht!$E$4:$BA$1003,MATCH("HW ab 2026 [€/Stunde]",[1]Kundenübersicht!$E$3:$BA$3,FALSE),FALSE),VLOOKUP($B21,[1]Kundenübersicht!$E$4:$BA$1003,MATCH("Alltagsbegleitung [€/Stunde]",[1]Kundenübersicht!$E$3:$BA$3,FALSE),FALSE)),0))</f>
        <v>32.75</v>
      </c>
      <c r="V21" s="16">
        <f t="shared" si="5"/>
        <v>32.749999999999972</v>
      </c>
      <c r="W21" s="16">
        <f t="shared" si="0"/>
        <v>0</v>
      </c>
      <c r="X21" s="16" t="str">
        <f>VLOOKUP(B21,[1]Kundenübersicht!E:AG,MATCH($X$3,[1]Kundenübersicht!$E$3:$AY$3,0),FALSE)</f>
        <v>Alt</v>
      </c>
      <c r="Z21" s="20" t="s">
        <v>29</v>
      </c>
      <c r="AA21" s="19">
        <v>45950</v>
      </c>
      <c r="AC21" s="19">
        <v>45972</v>
      </c>
      <c r="AE21" s="9">
        <f t="shared" si="6"/>
        <v>2025</v>
      </c>
      <c r="AF21" s="17" t="str">
        <f t="shared" si="7"/>
        <v>06.2025</v>
      </c>
      <c r="AG21" s="17" t="str">
        <f t="shared" si="8"/>
        <v>Christiane Fiebag</v>
      </c>
      <c r="AH21" s="17" t="str">
        <f>IFERROR(VLOOKUP(B21,[1]Kundenübersicht!$E$4:$F$85,2,FALSE),"")</f>
        <v>Martin Schmidt</v>
      </c>
      <c r="AI21" s="17" t="str">
        <f t="shared" si="9"/>
        <v>Hauswirtschaft</v>
      </c>
      <c r="AJ21" s="17" t="str">
        <f t="shared" si="9"/>
        <v>Entlastungsleistung</v>
      </c>
      <c r="AL21" s="18">
        <f t="shared" si="1"/>
        <v>38</v>
      </c>
      <c r="AM21" s="18">
        <f t="shared" si="2"/>
        <v>37.999999999999964</v>
      </c>
      <c r="AN21" s="18">
        <f t="shared" si="3"/>
        <v>0</v>
      </c>
    </row>
    <row r="22" spans="2:40" x14ac:dyDescent="0.25">
      <c r="B22" s="21" t="s">
        <v>39</v>
      </c>
      <c r="C22" s="10">
        <v>45840</v>
      </c>
      <c r="D22" s="11">
        <v>0.63541666666666663</v>
      </c>
      <c r="E22" s="11">
        <v>0.67708333333333337</v>
      </c>
      <c r="F22" s="12">
        <f t="shared" si="4"/>
        <v>1.0000000000000018</v>
      </c>
      <c r="G22" s="12"/>
      <c r="H22" s="9" t="s">
        <v>40</v>
      </c>
      <c r="I22" s="9" t="s">
        <v>41</v>
      </c>
      <c r="J22" s="9" t="s">
        <v>28</v>
      </c>
      <c r="K22" s="9" t="str">
        <f>VLOOKUP($B22,[1]Kundenübersicht!$E$4:$AC$1003,MATCH(K$3,[1]Kundenübersicht!$E$3:$BA$3,FALSE),FALSE)</f>
        <v>AOK PLUS</v>
      </c>
      <c r="L22" s="13">
        <f>VLOOKUP(B22,[1]Kundenübersicht!$E$4:$AC$1003,MATCH(L$3,[1]Kundenübersicht!$E$3:$BA$3,FALSE),FALSE)</f>
        <v>107299005</v>
      </c>
      <c r="M22" s="13" t="str">
        <f>VLOOKUP(B22,[1]Kundenübersicht!$E$4:$AC$1003,MATCH(M$3,[1]Kundenübersicht!$E$3:$BA$3,FALSE),FALSE)</f>
        <v>Q445657677</v>
      </c>
      <c r="N22" s="13" t="str">
        <f>VLOOKUP(B22,[1]Kundenübersicht!$E$4:$AC$1003,MATCH(N$3,[1]Kundenübersicht!$E$3:$BA$3,FALSE),FALSE)</f>
        <v>PG 2</v>
      </c>
      <c r="P22" s="9" t="s">
        <v>29</v>
      </c>
      <c r="R22" s="9" t="s">
        <v>30</v>
      </c>
      <c r="S22" s="14" t="s">
        <v>31</v>
      </c>
      <c r="U22" s="15">
        <f>IF(YEAR(C22)&lt;=2025,IFERROR(IF(I22="Hauswirtschaft",VLOOKUP($B22,[1]Kundenübersicht!$E$4:$BA$1003,MATCH("Hauswirtschaft [€/Stunde]",[1]Kundenübersicht!$E$3:$BA$3,FALSE),FALSE),VLOOKUP($B22,[1]Kundenübersicht!$E$4:$BA$1003,MATCH("Alltagsbegleitung [€/Stunde]",[1]Kundenübersicht!$E$3:$BA$3,FALSE),FALSE)),0),IFERROR(IF(I22="Hauswirtschaft",VLOOKUP($B22,[1]Kundenübersicht!$E$4:$BA$1003,MATCH("HW ab 2026 [€/Stunde]",[1]Kundenübersicht!$E$3:$BA$3,FALSE),FALSE),VLOOKUP($B22,[1]Kundenübersicht!$E$4:$BA$1003,MATCH("Alltagsbegleitung [€/Stunde]",[1]Kundenübersicht!$E$3:$BA$3,FALSE),FALSE)),0))</f>
        <v>42</v>
      </c>
      <c r="V22" s="16">
        <f t="shared" si="5"/>
        <v>42.000000000000071</v>
      </c>
      <c r="W22" s="16">
        <f t="shared" si="0"/>
        <v>0</v>
      </c>
      <c r="X22" s="16" t="str">
        <f>VLOOKUP(B22,[1]Kundenübersicht!E:AG,MATCH($X$3,[1]Kundenübersicht!$E$3:$AY$3,0),FALSE)</f>
        <v>Alt</v>
      </c>
      <c r="Z22" s="9" t="s">
        <v>29</v>
      </c>
      <c r="AA22" s="10"/>
      <c r="AC22" s="10">
        <v>45917</v>
      </c>
      <c r="AE22" s="9">
        <f t="shared" si="6"/>
        <v>2025</v>
      </c>
      <c r="AF22" s="17" t="str">
        <f t="shared" si="7"/>
        <v>07.2025</v>
      </c>
      <c r="AG22" s="17" t="str">
        <f t="shared" si="8"/>
        <v>Franziska Wächtler</v>
      </c>
      <c r="AH22" s="17" t="str">
        <f>IFERROR(VLOOKUP(B22,[1]Kundenübersicht!$E$4:$F$85,2,FALSE),"")</f>
        <v>Helga Dienelt</v>
      </c>
      <c r="AI22" s="17" t="str">
        <f t="shared" ref="AI22:AJ57" si="10">IF(I22="","",I22)</f>
        <v>Alltagsbegleitung</v>
      </c>
      <c r="AJ22" s="17" t="str">
        <f t="shared" si="10"/>
        <v>Entlastungsleistung</v>
      </c>
      <c r="AL22" s="18">
        <f t="shared" si="1"/>
        <v>42</v>
      </c>
      <c r="AM22" s="18">
        <f t="shared" si="2"/>
        <v>42.000000000000071</v>
      </c>
      <c r="AN22" s="18">
        <f t="shared" si="3"/>
        <v>0</v>
      </c>
    </row>
    <row r="23" spans="2:40" x14ac:dyDescent="0.25">
      <c r="B23" s="26" t="s">
        <v>34</v>
      </c>
      <c r="C23" s="10">
        <v>45842</v>
      </c>
      <c r="D23" s="11">
        <v>0.45833333333333331</v>
      </c>
      <c r="E23" s="11">
        <v>0.5</v>
      </c>
      <c r="F23" s="12">
        <f t="shared" si="4"/>
        <v>1.0000000000000004</v>
      </c>
      <c r="G23" s="12"/>
      <c r="H23" s="20" t="s">
        <v>33</v>
      </c>
      <c r="I23" s="9" t="s">
        <v>27</v>
      </c>
      <c r="J23" s="9" t="s">
        <v>28</v>
      </c>
      <c r="K23" s="9" t="str">
        <f>VLOOKUP($B23,[1]Kundenübersicht!$E$4:$AC$1003,MATCH(K$3,[1]Kundenübersicht!$E$3:$BA$3,FALSE),FALSE)</f>
        <v>AOK PLUS</v>
      </c>
      <c r="L23" s="13">
        <f>VLOOKUP(B23,[1]Kundenübersicht!$E$4:$AC$1003,MATCH(L$3,[1]Kundenübersicht!$E$3:$BA$3,FALSE),FALSE)</f>
        <v>107299005</v>
      </c>
      <c r="M23" s="13" t="str">
        <f>VLOOKUP(B23,[1]Kundenübersicht!$E$4:$AC$1003,MATCH(M$3,[1]Kundenübersicht!$E$3:$BA$3,FALSE),FALSE)</f>
        <v>R234942678</v>
      </c>
      <c r="N23" s="13" t="str">
        <f>VLOOKUP(B23,[1]Kundenübersicht!$E$4:$AC$1003,MATCH(N$3,[1]Kundenübersicht!$E$3:$BA$3,FALSE),FALSE)</f>
        <v>PG 2</v>
      </c>
      <c r="P23" s="20" t="s">
        <v>29</v>
      </c>
      <c r="R23" s="9" t="s">
        <v>30</v>
      </c>
      <c r="S23" s="14" t="s">
        <v>31</v>
      </c>
      <c r="U23" s="15">
        <f>IF(YEAR(C23)&lt;=2025,IFERROR(IF(I23="Hauswirtschaft",VLOOKUP($B23,[1]Kundenübersicht!$E$4:$BA$1003,MATCH("Hauswirtschaft [€/Stunde]",[1]Kundenübersicht!$E$3:$BA$3,FALSE),FALSE),VLOOKUP($B23,[1]Kundenübersicht!$E$4:$BA$1003,MATCH("Alltagsbegleitung [€/Stunde]",[1]Kundenübersicht!$E$3:$BA$3,FALSE),FALSE)),0),IFERROR(IF(I23="Hauswirtschaft",VLOOKUP($B23,[1]Kundenübersicht!$E$4:$BA$1003,MATCH("HW ab 2026 [€/Stunde]",[1]Kundenübersicht!$E$3:$BA$3,FALSE),FALSE),VLOOKUP($B23,[1]Kundenübersicht!$E$4:$BA$1003,MATCH("Alltagsbegleitung [€/Stunde]",[1]Kundenübersicht!$E$3:$BA$3,FALSE),FALSE)),0))</f>
        <v>32.75</v>
      </c>
      <c r="V23" s="16">
        <f t="shared" si="5"/>
        <v>32.750000000000014</v>
      </c>
      <c r="W23" s="16">
        <f t="shared" si="0"/>
        <v>0</v>
      </c>
      <c r="X23" s="16" t="str">
        <f>VLOOKUP(B23,[1]Kundenübersicht!E:AG,MATCH($X$3,[1]Kundenübersicht!$E$3:$AY$3,0),FALSE)</f>
        <v>Alt</v>
      </c>
      <c r="Z23" s="9" t="s">
        <v>29</v>
      </c>
      <c r="AA23" s="19">
        <v>45950</v>
      </c>
      <c r="AC23" s="19">
        <v>45975</v>
      </c>
      <c r="AE23" s="9">
        <f t="shared" si="6"/>
        <v>2025</v>
      </c>
      <c r="AF23" s="17" t="str">
        <f t="shared" si="7"/>
        <v>07.2025</v>
      </c>
      <c r="AG23" s="17" t="str">
        <f t="shared" si="8"/>
        <v>Christiane Fiebag</v>
      </c>
      <c r="AH23" s="17" t="str">
        <f>IFERROR(VLOOKUP(B23,[1]Kundenübersicht!$E$4:$F$85,2,FALSE),"")</f>
        <v>Dieter Berghold</v>
      </c>
      <c r="AI23" s="17" t="str">
        <f t="shared" si="10"/>
        <v>Hauswirtschaft</v>
      </c>
      <c r="AJ23" s="17" t="str">
        <f t="shared" si="10"/>
        <v>Entlastungsleistung</v>
      </c>
      <c r="AL23" s="18">
        <f t="shared" si="1"/>
        <v>38</v>
      </c>
      <c r="AM23" s="18">
        <f t="shared" si="2"/>
        <v>38.000000000000014</v>
      </c>
      <c r="AN23" s="18">
        <f t="shared" si="3"/>
        <v>0</v>
      </c>
    </row>
    <row r="24" spans="2:40" x14ac:dyDescent="0.25">
      <c r="B24" s="26" t="s">
        <v>35</v>
      </c>
      <c r="C24" s="10">
        <v>45842</v>
      </c>
      <c r="D24" s="11">
        <v>0.5</v>
      </c>
      <c r="E24" s="11">
        <v>0.54166666666666663</v>
      </c>
      <c r="F24" s="12">
        <f t="shared" si="4"/>
        <v>0.99999999999999911</v>
      </c>
      <c r="G24" s="12"/>
      <c r="H24" s="20" t="s">
        <v>33</v>
      </c>
      <c r="I24" s="9" t="s">
        <v>27</v>
      </c>
      <c r="J24" s="9" t="s">
        <v>28</v>
      </c>
      <c r="K24" s="9" t="str">
        <f>VLOOKUP($B24,[1]Kundenübersicht!$E$4:$AC$1003,MATCH(K$3,[1]Kundenübersicht!$E$3:$BA$3,FALSE),FALSE)</f>
        <v>AOK PLUS</v>
      </c>
      <c r="L24" s="13">
        <f>VLOOKUP(B24,[1]Kundenübersicht!$E$4:$AC$1003,MATCH(L$3,[1]Kundenübersicht!$E$3:$BA$3,FALSE),FALSE)</f>
        <v>107299005</v>
      </c>
      <c r="M24" s="13" t="str">
        <f>VLOOKUP(B24,[1]Kundenübersicht!$E$4:$AC$1003,MATCH(M$3,[1]Kundenübersicht!$E$3:$BA$3,FALSE),FALSE)</f>
        <v>P722909118</v>
      </c>
      <c r="N24" s="13" t="str">
        <f>VLOOKUP(B24,[1]Kundenübersicht!$E$4:$AC$1003,MATCH(N$3,[1]Kundenübersicht!$E$3:$BA$3,FALSE),FALSE)</f>
        <v>PG 3</v>
      </c>
      <c r="P24" s="20" t="s">
        <v>29</v>
      </c>
      <c r="R24" s="9" t="s">
        <v>30</v>
      </c>
      <c r="S24" s="14" t="s">
        <v>31</v>
      </c>
      <c r="U24" s="15">
        <f>IF(YEAR(C24)&lt;=2025,IFERROR(IF(I24="Hauswirtschaft",VLOOKUP($B24,[1]Kundenübersicht!$E$4:$BA$1003,MATCH("Hauswirtschaft [€/Stunde]",[1]Kundenübersicht!$E$3:$BA$3,FALSE),FALSE),VLOOKUP($B24,[1]Kundenübersicht!$E$4:$BA$1003,MATCH("Alltagsbegleitung [€/Stunde]",[1]Kundenübersicht!$E$3:$BA$3,FALSE),FALSE)),0),IFERROR(IF(I24="Hauswirtschaft",VLOOKUP($B24,[1]Kundenübersicht!$E$4:$BA$1003,MATCH("HW ab 2026 [€/Stunde]",[1]Kundenübersicht!$E$3:$BA$3,FALSE),FALSE),VLOOKUP($B24,[1]Kundenübersicht!$E$4:$BA$1003,MATCH("Alltagsbegleitung [€/Stunde]",[1]Kundenübersicht!$E$3:$BA$3,FALSE),FALSE)),0))</f>
        <v>32.75</v>
      </c>
      <c r="V24" s="16">
        <f t="shared" si="5"/>
        <v>32.749999999999972</v>
      </c>
      <c r="W24" s="16">
        <f t="shared" si="0"/>
        <v>0</v>
      </c>
      <c r="X24" s="16" t="str">
        <f>VLOOKUP(B24,[1]Kundenübersicht!E:AG,MATCH($X$3,[1]Kundenübersicht!$E$3:$AY$3,0),FALSE)</f>
        <v>Alt</v>
      </c>
      <c r="Z24" s="9" t="s">
        <v>29</v>
      </c>
      <c r="AA24" s="19">
        <v>45950</v>
      </c>
      <c r="AC24" s="19">
        <v>45975</v>
      </c>
      <c r="AE24" s="9">
        <f t="shared" si="6"/>
        <v>2025</v>
      </c>
      <c r="AF24" s="17" t="str">
        <f t="shared" si="7"/>
        <v>07.2025</v>
      </c>
      <c r="AG24" s="17" t="str">
        <f t="shared" si="8"/>
        <v>Christiane Fiebag</v>
      </c>
      <c r="AH24" s="17" t="str">
        <f>IFERROR(VLOOKUP(B24,[1]Kundenübersicht!$E$4:$F$85,2,FALSE),"")</f>
        <v>Elke Berghold</v>
      </c>
      <c r="AI24" s="17" t="str">
        <f t="shared" si="10"/>
        <v>Hauswirtschaft</v>
      </c>
      <c r="AJ24" s="17" t="str">
        <f t="shared" si="10"/>
        <v>Entlastungsleistung</v>
      </c>
      <c r="AL24" s="18">
        <f t="shared" si="1"/>
        <v>38</v>
      </c>
      <c r="AM24" s="18">
        <f t="shared" si="2"/>
        <v>37.999999999999964</v>
      </c>
      <c r="AN24" s="18">
        <f t="shared" si="3"/>
        <v>0</v>
      </c>
    </row>
    <row r="25" spans="2:40" x14ac:dyDescent="0.25">
      <c r="B25" s="9" t="s">
        <v>43</v>
      </c>
      <c r="C25" s="10">
        <v>45845</v>
      </c>
      <c r="D25" s="11">
        <v>0.46875</v>
      </c>
      <c r="E25" s="11">
        <v>0.51041666666666663</v>
      </c>
      <c r="F25" s="12">
        <f t="shared" si="4"/>
        <v>0.99999999999999911</v>
      </c>
      <c r="G25" s="12"/>
      <c r="H25" s="27" t="s">
        <v>33</v>
      </c>
      <c r="I25" s="9" t="s">
        <v>27</v>
      </c>
      <c r="J25" s="9" t="s">
        <v>28</v>
      </c>
      <c r="K25" s="9" t="str">
        <f>VLOOKUP($B25,[1]Kundenübersicht!$E$4:$AC$1003,MATCH(K$3,[1]Kundenübersicht!$E$3:$BA$3,FALSE),FALSE)</f>
        <v>AOK PLUS</v>
      </c>
      <c r="L25" s="13">
        <f>VLOOKUP(B25,[1]Kundenübersicht!$E$4:$AC$1003,MATCH(L$3,[1]Kundenübersicht!$E$3:$BA$3,FALSE),FALSE)</f>
        <v>107299005</v>
      </c>
      <c r="M25" s="13" t="str">
        <f>VLOOKUP(B25,[1]Kundenübersicht!$E$4:$AC$1003,MATCH(M$3,[1]Kundenübersicht!$E$3:$BA$3,FALSE),FALSE)</f>
        <v>I323820679</v>
      </c>
      <c r="N25" s="13" t="str">
        <f>VLOOKUP(B25,[1]Kundenübersicht!$E$4:$AC$1003,MATCH(N$3,[1]Kundenübersicht!$E$3:$BA$3,FALSE),FALSE)</f>
        <v>PG 1</v>
      </c>
      <c r="P25" s="9" t="s">
        <v>29</v>
      </c>
      <c r="R25" s="9" t="s">
        <v>30</v>
      </c>
      <c r="S25" s="14" t="s">
        <v>31</v>
      </c>
      <c r="U25" s="15">
        <f>IF(YEAR(C25)&lt;=2025,IFERROR(IF(I25="Hauswirtschaft",VLOOKUP($B25,[1]Kundenübersicht!$E$4:$BA$1003,MATCH("Hauswirtschaft [€/Stunde]",[1]Kundenübersicht!$E$3:$BA$3,FALSE),FALSE),VLOOKUP($B25,[1]Kundenübersicht!$E$4:$BA$1003,MATCH("Alltagsbegleitung [€/Stunde]",[1]Kundenübersicht!$E$3:$BA$3,FALSE),FALSE)),0),IFERROR(IF(I25="Hauswirtschaft",VLOOKUP($B25,[1]Kundenübersicht!$E$4:$BA$1003,MATCH("HW ab 2026 [€/Stunde]",[1]Kundenübersicht!$E$3:$BA$3,FALSE),FALSE),VLOOKUP($B25,[1]Kundenübersicht!$E$4:$BA$1003,MATCH("Alltagsbegleitung [€/Stunde]",[1]Kundenübersicht!$E$3:$BA$3,FALSE),FALSE)),0))</f>
        <v>32.75</v>
      </c>
      <c r="V25" s="16">
        <f t="shared" si="5"/>
        <v>32.749999999999972</v>
      </c>
      <c r="W25" s="16">
        <f t="shared" si="0"/>
        <v>0</v>
      </c>
      <c r="X25" s="16" t="str">
        <f>VLOOKUP(B25,[1]Kundenübersicht!E:AG,MATCH($X$3,[1]Kundenübersicht!$E$3:$AY$3,0),FALSE)</f>
        <v>Alt</v>
      </c>
      <c r="Z25" s="9" t="s">
        <v>29</v>
      </c>
      <c r="AA25" s="19"/>
      <c r="AC25" s="19">
        <v>45917</v>
      </c>
      <c r="AE25" s="9">
        <f t="shared" si="6"/>
        <v>2025</v>
      </c>
      <c r="AF25" s="17" t="str">
        <f t="shared" si="7"/>
        <v>07.2025</v>
      </c>
      <c r="AG25" s="17" t="str">
        <f t="shared" si="8"/>
        <v>Christiane Fiebag</v>
      </c>
      <c r="AH25" s="17" t="str">
        <f>IFERROR(VLOOKUP(B25,[1]Kundenübersicht!$E$4:$F$85,2,FALSE),"")</f>
        <v>Inge Leupold</v>
      </c>
      <c r="AI25" s="17" t="str">
        <f t="shared" si="10"/>
        <v>Hauswirtschaft</v>
      </c>
      <c r="AJ25" s="17" t="str">
        <f t="shared" si="10"/>
        <v>Entlastungsleistung</v>
      </c>
      <c r="AL25" s="18">
        <f t="shared" si="1"/>
        <v>38</v>
      </c>
      <c r="AM25" s="18">
        <f t="shared" si="2"/>
        <v>37.999999999999964</v>
      </c>
      <c r="AN25" s="18">
        <f t="shared" si="3"/>
        <v>0</v>
      </c>
    </row>
    <row r="26" spans="2:40" x14ac:dyDescent="0.25">
      <c r="B26" s="9" t="s">
        <v>44</v>
      </c>
      <c r="C26" s="10">
        <v>45845</v>
      </c>
      <c r="D26" s="11">
        <v>0.53125</v>
      </c>
      <c r="E26" s="11">
        <v>0.63541666666666663</v>
      </c>
      <c r="F26" s="12">
        <f t="shared" si="4"/>
        <v>2.4999999999999991</v>
      </c>
      <c r="G26" s="12"/>
      <c r="H26" s="9" t="s">
        <v>33</v>
      </c>
      <c r="I26" s="9" t="s">
        <v>27</v>
      </c>
      <c r="J26" s="9" t="s">
        <v>28</v>
      </c>
      <c r="K26" s="9" t="str">
        <f>VLOOKUP($B26,[1]Kundenübersicht!$E$4:$AC$1003,MATCH(K$3,[1]Kundenübersicht!$E$3:$BA$3,FALSE),FALSE)</f>
        <v>Barmer Pflegekasse</v>
      </c>
      <c r="L26" s="13">
        <f>VLOOKUP(B26,[1]Kundenübersicht!$E$4:$AC$1003,MATCH(L$3,[1]Kundenübersicht!$E$3:$BA$3,FALSE),FALSE)</f>
        <v>184940005</v>
      </c>
      <c r="M26" s="13" t="str">
        <f>VLOOKUP(B26,[1]Kundenübersicht!$E$4:$AC$1003,MATCH(M$3,[1]Kundenübersicht!$E$3:$BA$3,FALSE),FALSE)</f>
        <v>Y800652371</v>
      </c>
      <c r="N26" s="13" t="str">
        <f>VLOOKUP(B26,[1]Kundenübersicht!$E$4:$AC$1003,MATCH(N$3,[1]Kundenübersicht!$E$3:$BA$3,FALSE),FALSE)</f>
        <v>PG 1</v>
      </c>
      <c r="P26" s="9" t="s">
        <v>29</v>
      </c>
      <c r="R26" s="9" t="s">
        <v>30</v>
      </c>
      <c r="S26" s="14" t="s">
        <v>31</v>
      </c>
      <c r="U26" s="15">
        <f>IF(YEAR(C26)&lt;=2025,IFERROR(IF(I26="Hauswirtschaft",VLOOKUP($B26,[1]Kundenübersicht!$E$4:$BA$1003,MATCH("Hauswirtschaft [€/Stunde]",[1]Kundenübersicht!$E$3:$BA$3,FALSE),FALSE),VLOOKUP($B26,[1]Kundenübersicht!$E$4:$BA$1003,MATCH("Alltagsbegleitung [€/Stunde]",[1]Kundenübersicht!$E$3:$BA$3,FALSE),FALSE)),0),IFERROR(IF(I26="Hauswirtschaft",VLOOKUP($B26,[1]Kundenübersicht!$E$4:$BA$1003,MATCH("HW ab 2026 [€/Stunde]",[1]Kundenübersicht!$E$3:$BA$3,FALSE),FALSE),VLOOKUP($B26,[1]Kundenübersicht!$E$4:$BA$1003,MATCH("Alltagsbegleitung [€/Stunde]",[1]Kundenübersicht!$E$3:$BA$3,FALSE),FALSE)),0))</f>
        <v>32.75</v>
      </c>
      <c r="V26" s="16">
        <f t="shared" si="5"/>
        <v>81.874999999999972</v>
      </c>
      <c r="W26" s="16">
        <f t="shared" si="0"/>
        <v>0</v>
      </c>
      <c r="X26" s="16" t="str">
        <f>VLOOKUP(B26,[1]Kundenübersicht!E:AG,MATCH($X$3,[1]Kundenübersicht!$E$3:$AY$3,0),FALSE)</f>
        <v>Alt</v>
      </c>
      <c r="Z26" s="20" t="s">
        <v>29</v>
      </c>
      <c r="AA26" s="19"/>
      <c r="AC26" s="19"/>
      <c r="AE26" s="9">
        <f t="shared" si="6"/>
        <v>2025</v>
      </c>
      <c r="AF26" s="17" t="str">
        <f t="shared" si="7"/>
        <v>07.2025</v>
      </c>
      <c r="AG26" s="17" t="str">
        <f t="shared" si="8"/>
        <v>Christiane Fiebag</v>
      </c>
      <c r="AH26" s="17" t="str">
        <f>IFERROR(VLOOKUP(B26,[1]Kundenübersicht!$E$4:$F$85,2,FALSE),"")</f>
        <v>Dieter Kraft</v>
      </c>
      <c r="AI26" s="17" t="str">
        <f t="shared" si="10"/>
        <v>Hauswirtschaft</v>
      </c>
      <c r="AJ26" s="17" t="str">
        <f t="shared" si="10"/>
        <v>Entlastungsleistung</v>
      </c>
      <c r="AL26" s="18">
        <f t="shared" si="1"/>
        <v>38</v>
      </c>
      <c r="AM26" s="18">
        <f t="shared" si="2"/>
        <v>94.999999999999972</v>
      </c>
      <c r="AN26" s="18">
        <f t="shared" si="3"/>
        <v>0</v>
      </c>
    </row>
    <row r="27" spans="2:40" x14ac:dyDescent="0.25">
      <c r="B27" s="21" t="s">
        <v>39</v>
      </c>
      <c r="C27" s="10">
        <v>45846</v>
      </c>
      <c r="D27" s="11">
        <v>0.64583333333333337</v>
      </c>
      <c r="E27" s="11">
        <v>0.6875</v>
      </c>
      <c r="F27" s="12">
        <f t="shared" si="4"/>
        <v>0.99999999999999911</v>
      </c>
      <c r="G27" s="12"/>
      <c r="H27" s="9" t="s">
        <v>40</v>
      </c>
      <c r="I27" s="9" t="s">
        <v>41</v>
      </c>
      <c r="J27" s="9" t="s">
        <v>28</v>
      </c>
      <c r="K27" s="9" t="str">
        <f>VLOOKUP($B27,[1]Kundenübersicht!$E$4:$AC$1003,MATCH(K$3,[1]Kundenübersicht!$E$3:$BA$3,FALSE),FALSE)</f>
        <v>AOK PLUS</v>
      </c>
      <c r="L27" s="13">
        <f>VLOOKUP(B27,[1]Kundenübersicht!$E$4:$AC$1003,MATCH(L$3,[1]Kundenübersicht!$E$3:$BA$3,FALSE),FALSE)</f>
        <v>107299005</v>
      </c>
      <c r="M27" s="13" t="str">
        <f>VLOOKUP(B27,[1]Kundenübersicht!$E$4:$AC$1003,MATCH(M$3,[1]Kundenübersicht!$E$3:$BA$3,FALSE),FALSE)</f>
        <v>Q445657677</v>
      </c>
      <c r="N27" s="13" t="str">
        <f>VLOOKUP(B27,[1]Kundenübersicht!$E$4:$AC$1003,MATCH(N$3,[1]Kundenübersicht!$E$3:$BA$3,FALSE),FALSE)</f>
        <v>PG 2</v>
      </c>
      <c r="P27" s="9" t="s">
        <v>29</v>
      </c>
      <c r="R27" s="9" t="s">
        <v>30</v>
      </c>
      <c r="S27" s="14" t="s">
        <v>31</v>
      </c>
      <c r="U27" s="15">
        <f>IF(YEAR(C27)&lt;=2025,IFERROR(IF(I27="Hauswirtschaft",VLOOKUP($B27,[1]Kundenübersicht!$E$4:$BA$1003,MATCH("Hauswirtschaft [€/Stunde]",[1]Kundenübersicht!$E$3:$BA$3,FALSE),FALSE),VLOOKUP($B27,[1]Kundenübersicht!$E$4:$BA$1003,MATCH("Alltagsbegleitung [€/Stunde]",[1]Kundenübersicht!$E$3:$BA$3,FALSE),FALSE)),0),IFERROR(IF(I27="Hauswirtschaft",VLOOKUP($B27,[1]Kundenübersicht!$E$4:$BA$1003,MATCH("HW ab 2026 [€/Stunde]",[1]Kundenübersicht!$E$3:$BA$3,FALSE),FALSE),VLOOKUP($B27,[1]Kundenübersicht!$E$4:$BA$1003,MATCH("Alltagsbegleitung [€/Stunde]",[1]Kundenübersicht!$E$3:$BA$3,FALSE),FALSE)),0))</f>
        <v>42</v>
      </c>
      <c r="V27" s="16">
        <f t="shared" si="5"/>
        <v>41.999999999999964</v>
      </c>
      <c r="W27" s="16">
        <f t="shared" si="0"/>
        <v>0</v>
      </c>
      <c r="X27" s="16" t="str">
        <f>VLOOKUP(B27,[1]Kundenübersicht!E:AG,MATCH($X$3,[1]Kundenübersicht!$E$3:$AY$3,0),FALSE)</f>
        <v>Alt</v>
      </c>
      <c r="Z27" s="9" t="s">
        <v>29</v>
      </c>
      <c r="AA27" s="19"/>
      <c r="AC27" s="19">
        <v>45917</v>
      </c>
      <c r="AE27" s="9">
        <f t="shared" si="6"/>
        <v>2025</v>
      </c>
      <c r="AF27" s="17" t="str">
        <f t="shared" si="7"/>
        <v>07.2025</v>
      </c>
      <c r="AG27" s="17" t="str">
        <f t="shared" si="8"/>
        <v>Franziska Wächtler</v>
      </c>
      <c r="AH27" s="17" t="str">
        <f>IFERROR(VLOOKUP(B27,[1]Kundenübersicht!$E$4:$F$85,2,FALSE),"")</f>
        <v>Helga Dienelt</v>
      </c>
      <c r="AI27" s="17" t="str">
        <f t="shared" si="10"/>
        <v>Alltagsbegleitung</v>
      </c>
      <c r="AJ27" s="17" t="str">
        <f t="shared" si="10"/>
        <v>Entlastungsleistung</v>
      </c>
      <c r="AL27" s="18">
        <f t="shared" si="1"/>
        <v>42</v>
      </c>
      <c r="AM27" s="18">
        <f t="shared" si="2"/>
        <v>41.999999999999964</v>
      </c>
      <c r="AN27" s="18">
        <f t="shared" si="3"/>
        <v>0</v>
      </c>
    </row>
    <row r="28" spans="2:40" x14ac:dyDescent="0.25">
      <c r="B28" s="9" t="s">
        <v>45</v>
      </c>
      <c r="C28" s="10">
        <v>45848</v>
      </c>
      <c r="D28" s="11">
        <v>0.66666666666666663</v>
      </c>
      <c r="E28" s="11">
        <v>0.70833333333333337</v>
      </c>
      <c r="F28" s="12">
        <f t="shared" si="4"/>
        <v>1.0000000000000018</v>
      </c>
      <c r="G28" s="12"/>
      <c r="H28" s="9" t="s">
        <v>46</v>
      </c>
      <c r="I28" s="9" t="s">
        <v>27</v>
      </c>
      <c r="J28" s="9" t="s">
        <v>28</v>
      </c>
      <c r="K28" s="28" t="s">
        <v>47</v>
      </c>
      <c r="L28" s="29">
        <v>109990508</v>
      </c>
      <c r="M28" s="29" t="s">
        <v>48</v>
      </c>
      <c r="N28" s="13" t="str">
        <f>VLOOKUP(B28,[1]Kundenübersicht!$E$4:$AC$1003,MATCH(N$3,[1]Kundenübersicht!$E$3:$BA$3,FALSE),FALSE)</f>
        <v>PG 1</v>
      </c>
      <c r="P28" s="9" t="s">
        <v>29</v>
      </c>
      <c r="R28" s="9" t="s">
        <v>30</v>
      </c>
      <c r="S28" s="14" t="s">
        <v>31</v>
      </c>
      <c r="U28" s="15">
        <f>IF(YEAR(C28)&lt;=2025,IFERROR(IF(I28="Hauswirtschaft",VLOOKUP($B28,[1]Kundenübersicht!$E$4:$BA$1003,MATCH("Hauswirtschaft [€/Stunde]",[1]Kundenübersicht!$E$3:$BA$3,FALSE),FALSE),VLOOKUP($B28,[1]Kundenübersicht!$E$4:$BA$1003,MATCH("Alltagsbegleitung [€/Stunde]",[1]Kundenübersicht!$E$3:$BA$3,FALSE),FALSE)),0),IFERROR(IF(I28="Hauswirtschaft",VLOOKUP($B28,[1]Kundenübersicht!$E$4:$BA$1003,MATCH("HW ab 2026 [€/Stunde]",[1]Kundenübersicht!$E$3:$BA$3,FALSE),FALSE),VLOOKUP($B28,[1]Kundenübersicht!$E$4:$BA$1003,MATCH("Alltagsbegleitung [€/Stunde]",[1]Kundenübersicht!$E$3:$BA$3,FALSE),FALSE)),0))</f>
        <v>32.75</v>
      </c>
      <c r="V28" s="16">
        <f t="shared" si="5"/>
        <v>32.750000000000057</v>
      </c>
      <c r="W28" s="16">
        <f t="shared" si="0"/>
        <v>0</v>
      </c>
      <c r="X28" s="16" t="str">
        <f>VLOOKUP(B28,[1]Kundenübersicht!E:AG,MATCH($X$3,[1]Kundenübersicht!$E$3:$AY$3,0),FALSE)</f>
        <v>Alt</v>
      </c>
      <c r="Z28" s="20" t="s">
        <v>29</v>
      </c>
      <c r="AA28" s="19"/>
      <c r="AC28" s="19">
        <v>45924</v>
      </c>
      <c r="AE28" s="9">
        <f t="shared" si="6"/>
        <v>2025</v>
      </c>
      <c r="AF28" s="17" t="str">
        <f t="shared" si="7"/>
        <v>07.2025</v>
      </c>
      <c r="AG28" s="17" t="str">
        <f t="shared" si="8"/>
        <v>Manuela Richter</v>
      </c>
      <c r="AH28" s="17" t="str">
        <f>IFERROR(VLOOKUP(B28,[1]Kundenübersicht!$E$4:$F$85,2,FALSE),"")</f>
        <v>Hella Reißig</v>
      </c>
      <c r="AI28" s="17" t="str">
        <f t="shared" si="10"/>
        <v>Hauswirtschaft</v>
      </c>
      <c r="AJ28" s="17" t="str">
        <f t="shared" si="10"/>
        <v>Entlastungsleistung</v>
      </c>
      <c r="AL28" s="18">
        <f t="shared" si="1"/>
        <v>38</v>
      </c>
      <c r="AM28" s="18">
        <f t="shared" si="2"/>
        <v>38.000000000000071</v>
      </c>
      <c r="AN28" s="18">
        <f t="shared" si="3"/>
        <v>0</v>
      </c>
    </row>
    <row r="29" spans="2:40" x14ac:dyDescent="0.25">
      <c r="B29" s="9" t="s">
        <v>49</v>
      </c>
      <c r="C29" s="10">
        <v>45848</v>
      </c>
      <c r="D29" s="11">
        <v>0.60416666666666663</v>
      </c>
      <c r="E29" s="11">
        <v>0.64583333333333337</v>
      </c>
      <c r="F29" s="12">
        <f t="shared" si="4"/>
        <v>1.0000000000000018</v>
      </c>
      <c r="G29" s="12"/>
      <c r="H29" s="9" t="s">
        <v>46</v>
      </c>
      <c r="I29" s="9" t="s">
        <v>27</v>
      </c>
      <c r="J29" s="9" t="s">
        <v>28</v>
      </c>
      <c r="K29" s="9" t="str">
        <f>VLOOKUP($B29,[1]Kundenübersicht!$E$4:$AC$1003,MATCH(K$3,[1]Kundenübersicht!$E$3:$BA$3,FALSE),FALSE)</f>
        <v>AOK PLUS</v>
      </c>
      <c r="L29" s="13">
        <f>VLOOKUP(B29,[1]Kundenübersicht!$E$4:$AC$1003,MATCH(L$3,[1]Kundenübersicht!$E$3:$BA$3,FALSE),FALSE)</f>
        <v>107299005</v>
      </c>
      <c r="M29" s="13" t="str">
        <f>VLOOKUP(B29,[1]Kundenübersicht!$E$4:$AC$1003,MATCH(M$3,[1]Kundenübersicht!$E$3:$BA$3,FALSE),FALSE)</f>
        <v>T309560658</v>
      </c>
      <c r="N29" s="13" t="str">
        <f>VLOOKUP(B29,[1]Kundenübersicht!$E$4:$AC$1003,MATCH(N$3,[1]Kundenübersicht!$E$3:$BA$3,FALSE),FALSE)</f>
        <v>PG 2</v>
      </c>
      <c r="P29" s="9" t="s">
        <v>29</v>
      </c>
      <c r="R29" s="9" t="s">
        <v>30</v>
      </c>
      <c r="S29" s="14" t="s">
        <v>31</v>
      </c>
      <c r="U29" s="15">
        <f>IF(YEAR(C29)&lt;=2025,IFERROR(IF(I29="Hauswirtschaft",VLOOKUP($B29,[1]Kundenübersicht!$E$4:$BA$1003,MATCH("Hauswirtschaft [€/Stunde]",[1]Kundenübersicht!$E$3:$BA$3,FALSE),FALSE),VLOOKUP($B29,[1]Kundenübersicht!$E$4:$BA$1003,MATCH("Alltagsbegleitung [€/Stunde]",[1]Kundenübersicht!$E$3:$BA$3,FALSE),FALSE)),0),IFERROR(IF(I29="Hauswirtschaft",VLOOKUP($B29,[1]Kundenübersicht!$E$4:$BA$1003,MATCH("HW ab 2026 [€/Stunde]",[1]Kundenübersicht!$E$3:$BA$3,FALSE),FALSE),VLOOKUP($B29,[1]Kundenübersicht!$E$4:$BA$1003,MATCH("Alltagsbegleitung [€/Stunde]",[1]Kundenübersicht!$E$3:$BA$3,FALSE),FALSE)),0))</f>
        <v>32.75</v>
      </c>
      <c r="V29" s="16">
        <f t="shared" si="5"/>
        <v>32.750000000000057</v>
      </c>
      <c r="W29" s="16">
        <f t="shared" si="0"/>
        <v>0</v>
      </c>
      <c r="X29" s="16" t="str">
        <f>VLOOKUP(B29,[1]Kundenübersicht!E:AG,MATCH($X$3,[1]Kundenübersicht!$E$3:$AY$3,0),FALSE)</f>
        <v>Alt</v>
      </c>
      <c r="Z29" s="20" t="s">
        <v>29</v>
      </c>
      <c r="AA29" s="19"/>
      <c r="AC29" s="19">
        <v>45917</v>
      </c>
      <c r="AE29" s="9">
        <f t="shared" si="6"/>
        <v>2025</v>
      </c>
      <c r="AF29" s="17" t="str">
        <f t="shared" si="7"/>
        <v>07.2025</v>
      </c>
      <c r="AG29" s="17" t="str">
        <f t="shared" si="8"/>
        <v>Manuela Richter</v>
      </c>
      <c r="AH29" s="17" t="str">
        <f>IFERROR(VLOOKUP(B29,[1]Kundenübersicht!$E$4:$F$85,2,FALSE),"")</f>
        <v>Rita Neubert</v>
      </c>
      <c r="AI29" s="17" t="str">
        <f t="shared" si="10"/>
        <v>Hauswirtschaft</v>
      </c>
      <c r="AJ29" s="17" t="str">
        <f t="shared" si="10"/>
        <v>Entlastungsleistung</v>
      </c>
      <c r="AL29" s="18">
        <f t="shared" si="1"/>
        <v>38</v>
      </c>
      <c r="AM29" s="18">
        <f t="shared" si="2"/>
        <v>38.000000000000071</v>
      </c>
      <c r="AN29" s="18">
        <f t="shared" si="3"/>
        <v>0</v>
      </c>
    </row>
    <row r="30" spans="2:40" x14ac:dyDescent="0.25">
      <c r="B30" s="9" t="s">
        <v>50</v>
      </c>
      <c r="C30" s="10">
        <v>45849</v>
      </c>
      <c r="D30" s="11">
        <v>0.58333333333333337</v>
      </c>
      <c r="E30" s="11">
        <v>0.66666666666666663</v>
      </c>
      <c r="F30" s="12">
        <f t="shared" si="4"/>
        <v>1.9999999999999982</v>
      </c>
      <c r="G30" s="12"/>
      <c r="H30" s="9" t="s">
        <v>46</v>
      </c>
      <c r="I30" s="9" t="s">
        <v>27</v>
      </c>
      <c r="J30" s="9" t="s">
        <v>28</v>
      </c>
      <c r="K30" s="9" t="str">
        <f>VLOOKUP($B30,[1]Kundenübersicht!$E$4:$AC$1003,MATCH(K$3,[1]Kundenübersicht!$E$3:$BA$3,FALSE),FALSE)</f>
        <v>AOK PLUS</v>
      </c>
      <c r="L30" s="13">
        <f>VLOOKUP(B30,[1]Kundenübersicht!$E$4:$AC$1003,MATCH(L$3,[1]Kundenübersicht!$E$3:$BA$3,FALSE),FALSE)</f>
        <v>107299005</v>
      </c>
      <c r="M30" s="13" t="str">
        <f>VLOOKUP(B30,[1]Kundenübersicht!$E$4:$AC$1003,MATCH(M$3,[1]Kundenübersicht!$E$3:$BA$3,FALSE),FALSE)</f>
        <v>L212281967</v>
      </c>
      <c r="N30" s="13" t="str">
        <f>VLOOKUP(B30,[1]Kundenübersicht!$E$4:$AC$1003,MATCH(N$3,[1]Kundenübersicht!$E$3:$BA$3,FALSE),FALSE)</f>
        <v>PG 1</v>
      </c>
      <c r="P30" s="9" t="s">
        <v>29</v>
      </c>
      <c r="R30" s="9" t="s">
        <v>30</v>
      </c>
      <c r="S30" s="14" t="s">
        <v>31</v>
      </c>
      <c r="U30" s="15">
        <f>IF(YEAR(C30)&lt;=2025,IFERROR(IF(I30="Hauswirtschaft",VLOOKUP($B30,[1]Kundenübersicht!$E$4:$BA$1003,MATCH("Hauswirtschaft [€/Stunde]",[1]Kundenübersicht!$E$3:$BA$3,FALSE),FALSE),VLOOKUP($B30,[1]Kundenübersicht!$E$4:$BA$1003,MATCH("Alltagsbegleitung [€/Stunde]",[1]Kundenübersicht!$E$3:$BA$3,FALSE),FALSE)),0),IFERROR(IF(I30="Hauswirtschaft",VLOOKUP($B30,[1]Kundenübersicht!$E$4:$BA$1003,MATCH("HW ab 2026 [€/Stunde]",[1]Kundenübersicht!$E$3:$BA$3,FALSE),FALSE),VLOOKUP($B30,[1]Kundenübersicht!$E$4:$BA$1003,MATCH("Alltagsbegleitung [€/Stunde]",[1]Kundenübersicht!$E$3:$BA$3,FALSE),FALSE)),0))</f>
        <v>32.75</v>
      </c>
      <c r="V30" s="16">
        <f t="shared" si="5"/>
        <v>65.499999999999943</v>
      </c>
      <c r="W30" s="16">
        <f t="shared" si="0"/>
        <v>0</v>
      </c>
      <c r="X30" s="16" t="str">
        <f>VLOOKUP(B30,[1]Kundenübersicht!E:AG,MATCH($X$3,[1]Kundenübersicht!$E$3:$AY$3,0),FALSE)</f>
        <v>Alt</v>
      </c>
      <c r="Z30" s="20" t="s">
        <v>29</v>
      </c>
      <c r="AA30" s="19"/>
      <c r="AC30" s="19">
        <v>45917</v>
      </c>
      <c r="AE30" s="9">
        <f t="shared" si="6"/>
        <v>2025</v>
      </c>
      <c r="AF30" s="17" t="str">
        <f t="shared" si="7"/>
        <v>07.2025</v>
      </c>
      <c r="AG30" s="17" t="str">
        <f t="shared" si="8"/>
        <v>Manuela Richter</v>
      </c>
      <c r="AH30" s="17" t="str">
        <f>IFERROR(VLOOKUP(B30,[1]Kundenübersicht!$E$4:$F$85,2,FALSE),"")</f>
        <v>Lothar Krawalski</v>
      </c>
      <c r="AI30" s="17" t="str">
        <f t="shared" si="10"/>
        <v>Hauswirtschaft</v>
      </c>
      <c r="AJ30" s="17" t="str">
        <f t="shared" si="10"/>
        <v>Entlastungsleistung</v>
      </c>
      <c r="AL30" s="18">
        <f t="shared" si="1"/>
        <v>38</v>
      </c>
      <c r="AM30" s="18">
        <f t="shared" si="2"/>
        <v>75.999999999999929</v>
      </c>
      <c r="AN30" s="18">
        <f t="shared" si="3"/>
        <v>0</v>
      </c>
    </row>
    <row r="31" spans="2:40" x14ac:dyDescent="0.25">
      <c r="B31" s="9" t="s">
        <v>51</v>
      </c>
      <c r="C31" s="10">
        <v>45852</v>
      </c>
      <c r="D31" s="11">
        <v>0.35416666666666669</v>
      </c>
      <c r="E31" s="11">
        <v>0.4375</v>
      </c>
      <c r="F31" s="12">
        <f t="shared" si="4"/>
        <v>1.9999999999999996</v>
      </c>
      <c r="G31" s="12"/>
      <c r="H31" s="9" t="s">
        <v>33</v>
      </c>
      <c r="I31" s="9" t="s">
        <v>27</v>
      </c>
      <c r="J31" s="9" t="s">
        <v>28</v>
      </c>
      <c r="K31" s="9" t="str">
        <f>VLOOKUP($B31,[1]Kundenübersicht!$E$4:$AC$1003,MATCH(K$3,[1]Kundenübersicht!$E$3:$BA$3,FALSE),FALSE)</f>
        <v>Siemens Betriebskrankenkasse</v>
      </c>
      <c r="L31" s="13" t="str">
        <f>VLOOKUP(B31,[1]Kundenübersicht!$E$4:$AC$1003,MATCH(L$3,[1]Kundenübersicht!$E$3:$BA$3,FALSE),FALSE)</f>
        <v>108833505</v>
      </c>
      <c r="M31" s="13" t="str">
        <f>VLOOKUP(B31,[1]Kundenübersicht!$E$4:$AC$1003,MATCH(M$3,[1]Kundenübersicht!$E$3:$BA$3,FALSE),FALSE)</f>
        <v>U297967139</v>
      </c>
      <c r="N31" s="13" t="str">
        <f>VLOOKUP(B31,[1]Kundenübersicht!$E$4:$AC$1003,MATCH(N$3,[1]Kundenübersicht!$E$3:$BA$3,FALSE),FALSE)</f>
        <v>PG 2</v>
      </c>
      <c r="P31" s="9" t="s">
        <v>29</v>
      </c>
      <c r="R31" s="9" t="s">
        <v>30</v>
      </c>
      <c r="S31" s="14" t="s">
        <v>31</v>
      </c>
      <c r="U31" s="15">
        <f>IF(YEAR(C31)&lt;=2025,IFERROR(IF(I31="Hauswirtschaft",VLOOKUP($B31,[1]Kundenübersicht!$E$4:$BA$1003,MATCH("Hauswirtschaft [€/Stunde]",[1]Kundenübersicht!$E$3:$BA$3,FALSE),FALSE),VLOOKUP($B31,[1]Kundenübersicht!$E$4:$BA$1003,MATCH("Alltagsbegleitung [€/Stunde]",[1]Kundenübersicht!$E$3:$BA$3,FALSE),FALSE)),0),IFERROR(IF(I31="Hauswirtschaft",VLOOKUP($B31,[1]Kundenübersicht!$E$4:$BA$1003,MATCH("HW ab 2026 [€/Stunde]",[1]Kundenübersicht!$E$3:$BA$3,FALSE),FALSE),VLOOKUP($B31,[1]Kundenübersicht!$E$4:$BA$1003,MATCH("Alltagsbegleitung [€/Stunde]",[1]Kundenübersicht!$E$3:$BA$3,FALSE),FALSE)),0))</f>
        <v>32.75</v>
      </c>
      <c r="V31" s="16">
        <f t="shared" si="5"/>
        <v>65.499999999999986</v>
      </c>
      <c r="W31" s="16">
        <f t="shared" si="0"/>
        <v>0</v>
      </c>
      <c r="X31" s="16" t="str">
        <f>VLOOKUP(B31,[1]Kundenübersicht!E:AG,MATCH($X$3,[1]Kundenübersicht!$E$3:$AY$3,0),FALSE)</f>
        <v>Alt</v>
      </c>
      <c r="Z31" s="20" t="s">
        <v>29</v>
      </c>
      <c r="AA31" s="19"/>
      <c r="AC31" s="19">
        <v>45959</v>
      </c>
      <c r="AE31" s="9">
        <f t="shared" si="6"/>
        <v>2025</v>
      </c>
      <c r="AF31" s="17" t="str">
        <f t="shared" si="7"/>
        <v>07.2025</v>
      </c>
      <c r="AG31" s="17" t="str">
        <f t="shared" si="8"/>
        <v>Christiane Fiebag</v>
      </c>
      <c r="AH31" s="17" t="str">
        <f>IFERROR(VLOOKUP(B31,[1]Kundenübersicht!$E$4:$F$85,2,FALSE),"")</f>
        <v>Günter Marx</v>
      </c>
      <c r="AI31" s="17" t="str">
        <f t="shared" si="10"/>
        <v>Hauswirtschaft</v>
      </c>
      <c r="AJ31" s="17" t="str">
        <f t="shared" si="10"/>
        <v>Entlastungsleistung</v>
      </c>
      <c r="AL31" s="18">
        <f t="shared" si="1"/>
        <v>38</v>
      </c>
      <c r="AM31" s="18">
        <f t="shared" si="2"/>
        <v>75.999999999999986</v>
      </c>
      <c r="AN31" s="18">
        <f t="shared" si="3"/>
        <v>0</v>
      </c>
    </row>
    <row r="32" spans="2:40" x14ac:dyDescent="0.25">
      <c r="B32" s="9" t="s">
        <v>51</v>
      </c>
      <c r="C32" s="10">
        <v>45852</v>
      </c>
      <c r="D32" s="11">
        <v>0.625</v>
      </c>
      <c r="E32" s="11">
        <v>0.66666666666666663</v>
      </c>
      <c r="F32" s="12">
        <f t="shared" si="4"/>
        <v>0.99999999999999911</v>
      </c>
      <c r="G32" s="12"/>
      <c r="H32" s="9" t="s">
        <v>33</v>
      </c>
      <c r="I32" s="9" t="s">
        <v>27</v>
      </c>
      <c r="J32" s="9" t="s">
        <v>28</v>
      </c>
      <c r="K32" s="9" t="str">
        <f>VLOOKUP($B32,[1]Kundenübersicht!$E$4:$AC$1003,MATCH(K$3,[1]Kundenübersicht!$E$3:$BA$3,FALSE),FALSE)</f>
        <v>Siemens Betriebskrankenkasse</v>
      </c>
      <c r="L32" s="13" t="str">
        <f>VLOOKUP(B32,[1]Kundenübersicht!$E$4:$AC$1003,MATCH(L$3,[1]Kundenübersicht!$E$3:$BA$3,FALSE),FALSE)</f>
        <v>108833505</v>
      </c>
      <c r="M32" s="13" t="str">
        <f>VLOOKUP(B32,[1]Kundenübersicht!$E$4:$AC$1003,MATCH(M$3,[1]Kundenübersicht!$E$3:$BA$3,FALSE),FALSE)</f>
        <v>U297967139</v>
      </c>
      <c r="N32" s="13" t="str">
        <f>VLOOKUP(B32,[1]Kundenübersicht!$E$4:$AC$1003,MATCH(N$3,[1]Kundenübersicht!$E$3:$BA$3,FALSE),FALSE)</f>
        <v>PG 2</v>
      </c>
      <c r="P32" s="9" t="s">
        <v>29</v>
      </c>
      <c r="R32" s="9" t="s">
        <v>30</v>
      </c>
      <c r="S32" s="14" t="s">
        <v>31</v>
      </c>
      <c r="U32" s="15">
        <f>IF(YEAR(C32)&lt;=2025,IFERROR(IF(I32="Hauswirtschaft",VLOOKUP($B32,[1]Kundenübersicht!$E$4:$BA$1003,MATCH("Hauswirtschaft [€/Stunde]",[1]Kundenübersicht!$E$3:$BA$3,FALSE),FALSE),VLOOKUP($B32,[1]Kundenübersicht!$E$4:$BA$1003,MATCH("Alltagsbegleitung [€/Stunde]",[1]Kundenübersicht!$E$3:$BA$3,FALSE),FALSE)),0),IFERROR(IF(I32="Hauswirtschaft",VLOOKUP($B32,[1]Kundenübersicht!$E$4:$BA$1003,MATCH("HW ab 2026 [€/Stunde]",[1]Kundenübersicht!$E$3:$BA$3,FALSE),FALSE),VLOOKUP($B32,[1]Kundenübersicht!$E$4:$BA$1003,MATCH("Alltagsbegleitung [€/Stunde]",[1]Kundenübersicht!$E$3:$BA$3,FALSE),FALSE)),0))</f>
        <v>32.75</v>
      </c>
      <c r="V32" s="16">
        <f t="shared" si="5"/>
        <v>32.749999999999972</v>
      </c>
      <c r="W32" s="16">
        <f t="shared" si="0"/>
        <v>0</v>
      </c>
      <c r="X32" s="16" t="str">
        <f>VLOOKUP(B32,[1]Kundenübersicht!E:AG,MATCH($X$3,[1]Kundenübersicht!$E$3:$AY$3,0),FALSE)</f>
        <v>Alt</v>
      </c>
      <c r="Z32" s="9" t="s">
        <v>29</v>
      </c>
      <c r="AA32" s="19"/>
      <c r="AC32" s="19">
        <v>45959</v>
      </c>
      <c r="AE32" s="9">
        <f t="shared" si="6"/>
        <v>2025</v>
      </c>
      <c r="AF32" s="17" t="str">
        <f t="shared" si="7"/>
        <v>07.2025</v>
      </c>
      <c r="AG32" s="17" t="str">
        <f t="shared" si="8"/>
        <v>Christiane Fiebag</v>
      </c>
      <c r="AH32" s="17" t="str">
        <f>IFERROR(VLOOKUP(B32,[1]Kundenübersicht!$E$4:$F$85,2,FALSE),"")</f>
        <v>Günter Marx</v>
      </c>
      <c r="AI32" s="17" t="str">
        <f t="shared" si="10"/>
        <v>Hauswirtschaft</v>
      </c>
      <c r="AJ32" s="17" t="str">
        <f t="shared" si="10"/>
        <v>Entlastungsleistung</v>
      </c>
      <c r="AL32" s="18">
        <f t="shared" si="1"/>
        <v>38</v>
      </c>
      <c r="AM32" s="18">
        <f t="shared" si="2"/>
        <v>37.999999999999964</v>
      </c>
      <c r="AN32" s="18">
        <f t="shared" si="3"/>
        <v>0</v>
      </c>
    </row>
    <row r="33" spans="2:40" x14ac:dyDescent="0.25">
      <c r="B33" s="20" t="s">
        <v>34</v>
      </c>
      <c r="C33" s="10">
        <v>45852</v>
      </c>
      <c r="D33" s="11">
        <v>0.45833333333333331</v>
      </c>
      <c r="E33" s="11">
        <v>0.5</v>
      </c>
      <c r="F33" s="12">
        <f t="shared" si="4"/>
        <v>1.0000000000000004</v>
      </c>
      <c r="G33" s="12"/>
      <c r="H33" s="20" t="s">
        <v>33</v>
      </c>
      <c r="I33" s="9" t="s">
        <v>27</v>
      </c>
      <c r="J33" s="9" t="s">
        <v>28</v>
      </c>
      <c r="K33" s="9" t="str">
        <f>VLOOKUP($B33,[1]Kundenübersicht!$E$4:$AC$1003,MATCH(K$3,[1]Kundenübersicht!$E$3:$BA$3,FALSE),FALSE)</f>
        <v>AOK PLUS</v>
      </c>
      <c r="L33" s="13">
        <f>VLOOKUP(B33,[1]Kundenübersicht!$E$4:$AC$1003,MATCH(L$3,[1]Kundenübersicht!$E$3:$BA$3,FALSE),FALSE)</f>
        <v>107299005</v>
      </c>
      <c r="M33" s="13" t="str">
        <f>VLOOKUP(B33,[1]Kundenübersicht!$E$4:$AC$1003,MATCH(M$3,[1]Kundenübersicht!$E$3:$BA$3,FALSE),FALSE)</f>
        <v>R234942678</v>
      </c>
      <c r="N33" s="13" t="str">
        <f>VLOOKUP(B33,[1]Kundenübersicht!$E$4:$AC$1003,MATCH(N$3,[1]Kundenübersicht!$E$3:$BA$3,FALSE),FALSE)</f>
        <v>PG 2</v>
      </c>
      <c r="P33" s="20" t="s">
        <v>29</v>
      </c>
      <c r="R33" s="9" t="s">
        <v>30</v>
      </c>
      <c r="S33" s="14" t="s">
        <v>31</v>
      </c>
      <c r="U33" s="15">
        <f>IF(YEAR(C33)&lt;=2025,IFERROR(IF(I33="Hauswirtschaft",VLOOKUP($B33,[1]Kundenübersicht!$E$4:$BA$1003,MATCH("Hauswirtschaft [€/Stunde]",[1]Kundenübersicht!$E$3:$BA$3,FALSE),FALSE),VLOOKUP($B33,[1]Kundenübersicht!$E$4:$BA$1003,MATCH("Alltagsbegleitung [€/Stunde]",[1]Kundenübersicht!$E$3:$BA$3,FALSE),FALSE)),0),IFERROR(IF(I33="Hauswirtschaft",VLOOKUP($B33,[1]Kundenübersicht!$E$4:$BA$1003,MATCH("HW ab 2026 [€/Stunde]",[1]Kundenübersicht!$E$3:$BA$3,FALSE),FALSE),VLOOKUP($B33,[1]Kundenübersicht!$E$4:$BA$1003,MATCH("Alltagsbegleitung [€/Stunde]",[1]Kundenübersicht!$E$3:$BA$3,FALSE),FALSE)),0))</f>
        <v>32.75</v>
      </c>
      <c r="V33" s="16">
        <f t="shared" si="5"/>
        <v>32.750000000000014</v>
      </c>
      <c r="W33" s="16">
        <f t="shared" si="0"/>
        <v>0</v>
      </c>
      <c r="X33" s="16" t="str">
        <f>VLOOKUP(B33,[1]Kundenübersicht!E:AG,MATCH($X$3,[1]Kundenübersicht!$E$3:$AY$3,0),FALSE)</f>
        <v>Alt</v>
      </c>
      <c r="Z33" s="9" t="s">
        <v>29</v>
      </c>
      <c r="AA33" s="19">
        <v>45950</v>
      </c>
      <c r="AC33" s="19">
        <v>45975</v>
      </c>
      <c r="AE33" s="9">
        <f t="shared" si="6"/>
        <v>2025</v>
      </c>
      <c r="AF33" s="17" t="str">
        <f t="shared" si="7"/>
        <v>07.2025</v>
      </c>
      <c r="AG33" s="17" t="str">
        <f t="shared" si="8"/>
        <v>Christiane Fiebag</v>
      </c>
      <c r="AH33" s="17" t="str">
        <f>IFERROR(VLOOKUP(B33,[1]Kundenübersicht!$E$4:$F$85,2,FALSE),"")</f>
        <v>Dieter Berghold</v>
      </c>
      <c r="AI33" s="17" t="str">
        <f t="shared" si="10"/>
        <v>Hauswirtschaft</v>
      </c>
      <c r="AJ33" s="17" t="str">
        <f t="shared" si="10"/>
        <v>Entlastungsleistung</v>
      </c>
      <c r="AL33" s="18">
        <f t="shared" si="1"/>
        <v>38</v>
      </c>
      <c r="AM33" s="18">
        <f t="shared" si="2"/>
        <v>38.000000000000014</v>
      </c>
      <c r="AN33" s="18">
        <f t="shared" si="3"/>
        <v>0</v>
      </c>
    </row>
    <row r="34" spans="2:40" x14ac:dyDescent="0.25">
      <c r="B34" s="20" t="s">
        <v>35</v>
      </c>
      <c r="C34" s="10">
        <v>45852</v>
      </c>
      <c r="D34" s="11">
        <v>0.5</v>
      </c>
      <c r="E34" s="11">
        <v>0.54166666666666663</v>
      </c>
      <c r="F34" s="12">
        <f t="shared" si="4"/>
        <v>0.99999999999999911</v>
      </c>
      <c r="G34" s="12"/>
      <c r="H34" s="20" t="s">
        <v>33</v>
      </c>
      <c r="I34" s="9" t="s">
        <v>27</v>
      </c>
      <c r="J34" s="9" t="s">
        <v>28</v>
      </c>
      <c r="K34" s="9" t="str">
        <f>VLOOKUP($B34,[1]Kundenübersicht!$E$4:$AC$1003,MATCH(K$3,[1]Kundenübersicht!$E$3:$BA$3,FALSE),FALSE)</f>
        <v>AOK PLUS</v>
      </c>
      <c r="L34" s="13">
        <f>VLOOKUP(B34,[1]Kundenübersicht!$E$4:$AC$1003,MATCH(L$3,[1]Kundenübersicht!$E$3:$BA$3,FALSE),FALSE)</f>
        <v>107299005</v>
      </c>
      <c r="M34" s="13" t="str">
        <f>VLOOKUP(B34,[1]Kundenübersicht!$E$4:$AC$1003,MATCH(M$3,[1]Kundenübersicht!$E$3:$BA$3,FALSE),FALSE)</f>
        <v>P722909118</v>
      </c>
      <c r="N34" s="13" t="str">
        <f>VLOOKUP(B34,[1]Kundenübersicht!$E$4:$AC$1003,MATCH(N$3,[1]Kundenübersicht!$E$3:$BA$3,FALSE),FALSE)</f>
        <v>PG 3</v>
      </c>
      <c r="P34" s="20" t="s">
        <v>29</v>
      </c>
      <c r="R34" s="9" t="s">
        <v>30</v>
      </c>
      <c r="S34" s="14" t="s">
        <v>31</v>
      </c>
      <c r="U34" s="15">
        <f>IF(YEAR(C34)&lt;=2025,IFERROR(IF(I34="Hauswirtschaft",VLOOKUP($B34,[1]Kundenübersicht!$E$4:$BA$1003,MATCH("Hauswirtschaft [€/Stunde]",[1]Kundenübersicht!$E$3:$BA$3,FALSE),FALSE),VLOOKUP($B34,[1]Kundenübersicht!$E$4:$BA$1003,MATCH("Alltagsbegleitung [€/Stunde]",[1]Kundenübersicht!$E$3:$BA$3,FALSE),FALSE)),0),IFERROR(IF(I34="Hauswirtschaft",VLOOKUP($B34,[1]Kundenübersicht!$E$4:$BA$1003,MATCH("HW ab 2026 [€/Stunde]",[1]Kundenübersicht!$E$3:$BA$3,FALSE),FALSE),VLOOKUP($B34,[1]Kundenübersicht!$E$4:$BA$1003,MATCH("Alltagsbegleitung [€/Stunde]",[1]Kundenübersicht!$E$3:$BA$3,FALSE),FALSE)),0))</f>
        <v>32.75</v>
      </c>
      <c r="V34" s="16">
        <f t="shared" si="5"/>
        <v>32.749999999999972</v>
      </c>
      <c r="W34" s="16">
        <f t="shared" si="0"/>
        <v>0</v>
      </c>
      <c r="X34" s="16" t="str">
        <f>VLOOKUP(B34,[1]Kundenübersicht!E:AG,MATCH($X$3,[1]Kundenübersicht!$E$3:$AY$3,0),FALSE)</f>
        <v>Alt</v>
      </c>
      <c r="Z34" s="9" t="s">
        <v>29</v>
      </c>
      <c r="AA34" s="19">
        <v>45950</v>
      </c>
      <c r="AC34" s="19">
        <v>45975</v>
      </c>
      <c r="AE34" s="9">
        <f t="shared" si="6"/>
        <v>2025</v>
      </c>
      <c r="AF34" s="17" t="str">
        <f t="shared" si="7"/>
        <v>07.2025</v>
      </c>
      <c r="AG34" s="17" t="str">
        <f t="shared" si="8"/>
        <v>Christiane Fiebag</v>
      </c>
      <c r="AH34" s="17" t="str">
        <f>IFERROR(VLOOKUP(B34,[1]Kundenübersicht!$E$4:$F$85,2,FALSE),"")</f>
        <v>Elke Berghold</v>
      </c>
      <c r="AI34" s="17" t="str">
        <f t="shared" si="10"/>
        <v>Hauswirtschaft</v>
      </c>
      <c r="AJ34" s="17" t="str">
        <f t="shared" si="10"/>
        <v>Entlastungsleistung</v>
      </c>
      <c r="AL34" s="18">
        <f t="shared" si="1"/>
        <v>38</v>
      </c>
      <c r="AM34" s="18">
        <f t="shared" si="2"/>
        <v>37.999999999999964</v>
      </c>
      <c r="AN34" s="18">
        <f t="shared" si="3"/>
        <v>0</v>
      </c>
    </row>
    <row r="35" spans="2:40" x14ac:dyDescent="0.25">
      <c r="B35" s="9" t="s">
        <v>52</v>
      </c>
      <c r="C35" s="10">
        <v>45853</v>
      </c>
      <c r="D35" s="11">
        <v>0.375</v>
      </c>
      <c r="E35" s="11">
        <v>0.45833333333333331</v>
      </c>
      <c r="F35" s="12">
        <f t="shared" si="4"/>
        <v>1.9999999999999996</v>
      </c>
      <c r="G35" s="12"/>
      <c r="H35" s="20" t="s">
        <v>33</v>
      </c>
      <c r="I35" s="9" t="s">
        <v>27</v>
      </c>
      <c r="J35" s="9" t="s">
        <v>28</v>
      </c>
      <c r="K35" s="9" t="str">
        <f>VLOOKUP($B35,[1]Kundenübersicht!$E$4:$AC$1003,MATCH(K$3,[1]Kundenübersicht!$E$3:$BA$3,FALSE),FALSE)</f>
        <v>AOK PLUS</v>
      </c>
      <c r="L35" s="13">
        <f>VLOOKUP(B35,[1]Kundenübersicht!$E$4:$AC$1003,MATCH(L$3,[1]Kundenübersicht!$E$3:$BA$3,FALSE),FALSE)</f>
        <v>107299005</v>
      </c>
      <c r="M35" s="13" t="str">
        <f>VLOOKUP(B35,[1]Kundenübersicht!$E$4:$AC$1003,MATCH(M$3,[1]Kundenübersicht!$E$3:$BA$3,FALSE),FALSE)</f>
        <v>G562042888</v>
      </c>
      <c r="N35" s="13" t="str">
        <f>VLOOKUP(B35,[1]Kundenübersicht!$E$4:$AC$1003,MATCH(N$3,[1]Kundenübersicht!$E$3:$BA$3,FALSE),FALSE)</f>
        <v>PG 2</v>
      </c>
      <c r="P35" s="9" t="s">
        <v>29</v>
      </c>
      <c r="R35" s="9" t="s">
        <v>30</v>
      </c>
      <c r="S35" s="14" t="s">
        <v>31</v>
      </c>
      <c r="U35" s="15">
        <f>IF(YEAR(C35)&lt;=2025,IFERROR(IF(I35="Hauswirtschaft",VLOOKUP($B35,[1]Kundenübersicht!$E$4:$BA$1003,MATCH("Hauswirtschaft [€/Stunde]",[1]Kundenübersicht!$E$3:$BA$3,FALSE),FALSE),VLOOKUP($B35,[1]Kundenübersicht!$E$4:$BA$1003,MATCH("Alltagsbegleitung [€/Stunde]",[1]Kundenübersicht!$E$3:$BA$3,FALSE),FALSE)),0),IFERROR(IF(I35="Hauswirtschaft",VLOOKUP($B35,[1]Kundenübersicht!$E$4:$BA$1003,MATCH("HW ab 2026 [€/Stunde]",[1]Kundenübersicht!$E$3:$BA$3,FALSE),FALSE),VLOOKUP($B35,[1]Kundenübersicht!$E$4:$BA$1003,MATCH("Alltagsbegleitung [€/Stunde]",[1]Kundenübersicht!$E$3:$BA$3,FALSE),FALSE)),0))</f>
        <v>32.75</v>
      </c>
      <c r="V35" s="16">
        <f t="shared" si="5"/>
        <v>65.499999999999986</v>
      </c>
      <c r="W35" s="16">
        <f t="shared" si="0"/>
        <v>0</v>
      </c>
      <c r="X35" s="16" t="str">
        <f>VLOOKUP(B35,[1]Kundenübersicht!E:AG,MATCH($X$3,[1]Kundenübersicht!$E$3:$AY$3,0),FALSE)</f>
        <v>Alt</v>
      </c>
      <c r="Z35" s="20" t="s">
        <v>29</v>
      </c>
      <c r="AA35" s="19"/>
      <c r="AC35" s="19">
        <v>45917</v>
      </c>
      <c r="AE35" s="9">
        <f t="shared" si="6"/>
        <v>2025</v>
      </c>
      <c r="AF35" s="17" t="str">
        <f t="shared" si="7"/>
        <v>07.2025</v>
      </c>
      <c r="AG35" s="17" t="str">
        <f t="shared" si="8"/>
        <v>Christiane Fiebag</v>
      </c>
      <c r="AH35" s="17" t="str">
        <f>IFERROR(VLOOKUP(B35,[1]Kundenübersicht!$E$4:$F$85,2,FALSE),"")</f>
        <v>Matthias Roß</v>
      </c>
      <c r="AI35" s="17" t="str">
        <f t="shared" si="10"/>
        <v>Hauswirtschaft</v>
      </c>
      <c r="AJ35" s="17" t="str">
        <f t="shared" si="10"/>
        <v>Entlastungsleistung</v>
      </c>
      <c r="AL35" s="18">
        <f t="shared" si="1"/>
        <v>38</v>
      </c>
      <c r="AM35" s="18">
        <f t="shared" si="2"/>
        <v>75.999999999999986</v>
      </c>
      <c r="AN35" s="18">
        <f t="shared" si="3"/>
        <v>0</v>
      </c>
    </row>
    <row r="36" spans="2:40" x14ac:dyDescent="0.25">
      <c r="B36" s="9" t="s">
        <v>25</v>
      </c>
      <c r="C36" s="10">
        <v>45853</v>
      </c>
      <c r="D36" s="11">
        <v>0.41666666666666669</v>
      </c>
      <c r="E36" s="11">
        <v>0.5</v>
      </c>
      <c r="F36" s="12">
        <f t="shared" si="4"/>
        <v>1.9999999999999996</v>
      </c>
      <c r="G36" s="12"/>
      <c r="H36" s="9" t="s">
        <v>26</v>
      </c>
      <c r="I36" s="9" t="s">
        <v>27</v>
      </c>
      <c r="J36" s="9" t="s">
        <v>28</v>
      </c>
      <c r="K36" s="9" t="str">
        <f>VLOOKUP($B36,[1]Kundenübersicht!$E$4:$AC$1003,MATCH(K$3,[1]Kundenübersicht!$E$3:$BA$3,FALSE),FALSE)</f>
        <v>Barmer Pflegekasse</v>
      </c>
      <c r="L36" s="13">
        <f>VLOOKUP(B36,[1]Kundenübersicht!$E$4:$AC$1003,MATCH(L$3,[1]Kundenübersicht!$E$3:$BA$3,FALSE),FALSE)</f>
        <v>184940005</v>
      </c>
      <c r="M36" s="13" t="str">
        <f>VLOOKUP(B36,[1]Kundenübersicht!$E$4:$AC$1003,MATCH(M$3,[1]Kundenübersicht!$E$3:$BA$3,FALSE),FALSE)</f>
        <v>Z817157321</v>
      </c>
      <c r="N36" s="13" t="str">
        <f>VLOOKUP(B36,[1]Kundenübersicht!$E$4:$AC$1003,MATCH(N$3,[1]Kundenübersicht!$E$3:$BA$3,FALSE),FALSE)</f>
        <v>PG 1</v>
      </c>
      <c r="P36" s="20" t="s">
        <v>29</v>
      </c>
      <c r="R36" s="9" t="s">
        <v>30</v>
      </c>
      <c r="S36" s="14" t="s">
        <v>31</v>
      </c>
      <c r="U36" s="15">
        <f>IF(YEAR(C36)&lt;=2025,IFERROR(IF(I36="Hauswirtschaft",VLOOKUP($B36,[1]Kundenübersicht!$E$4:$BA$1003,MATCH("Hauswirtschaft [€/Stunde]",[1]Kundenübersicht!$E$3:$BA$3,FALSE),FALSE),VLOOKUP($B36,[1]Kundenübersicht!$E$4:$BA$1003,MATCH("Alltagsbegleitung [€/Stunde]",[1]Kundenübersicht!$E$3:$BA$3,FALSE),FALSE)),0),IFERROR(IF(I36="Hauswirtschaft",VLOOKUP($B36,[1]Kundenübersicht!$E$4:$BA$1003,MATCH("HW ab 2026 [€/Stunde]",[1]Kundenübersicht!$E$3:$BA$3,FALSE),FALSE),VLOOKUP($B36,[1]Kundenübersicht!$E$4:$BA$1003,MATCH("Alltagsbegleitung [€/Stunde]",[1]Kundenübersicht!$E$3:$BA$3,FALSE),FALSE)),0))</f>
        <v>32.75</v>
      </c>
      <c r="V36" s="16">
        <f t="shared" si="5"/>
        <v>65.499999999999986</v>
      </c>
      <c r="W36" s="16">
        <f t="shared" si="0"/>
        <v>0</v>
      </c>
      <c r="X36" s="16" t="str">
        <f>VLOOKUP(B36,[1]Kundenübersicht!E:AG,MATCH($X$3,[1]Kundenübersicht!$E$3:$AY$3,0),FALSE)</f>
        <v>Alt</v>
      </c>
      <c r="Z36" s="9" t="s">
        <v>29</v>
      </c>
      <c r="AA36" s="10">
        <v>45959</v>
      </c>
      <c r="AC36" s="19"/>
      <c r="AE36" s="9">
        <f t="shared" si="6"/>
        <v>2025</v>
      </c>
      <c r="AF36" s="17" t="str">
        <f t="shared" si="7"/>
        <v>07.2025</v>
      </c>
      <c r="AG36" s="17" t="str">
        <f t="shared" si="8"/>
        <v>Celina Panther</v>
      </c>
      <c r="AH36" s="17" t="str">
        <f>IFERROR(VLOOKUP(B36,[1]Kundenübersicht!$E$4:$F$85,2,FALSE),"")</f>
        <v>Rosemarie Schröder</v>
      </c>
      <c r="AI36" s="17" t="str">
        <f t="shared" si="10"/>
        <v>Hauswirtschaft</v>
      </c>
      <c r="AJ36" s="17" t="str">
        <f t="shared" si="10"/>
        <v>Entlastungsleistung</v>
      </c>
      <c r="AL36" s="18">
        <f t="shared" si="1"/>
        <v>38</v>
      </c>
      <c r="AM36" s="18">
        <f t="shared" si="2"/>
        <v>75.999999999999986</v>
      </c>
      <c r="AN36" s="18">
        <f t="shared" si="3"/>
        <v>0</v>
      </c>
    </row>
    <row r="37" spans="2:40" x14ac:dyDescent="0.25">
      <c r="B37" s="21" t="s">
        <v>39</v>
      </c>
      <c r="C37" s="10">
        <v>45855</v>
      </c>
      <c r="D37" s="11">
        <v>0.63541666666666663</v>
      </c>
      <c r="E37" s="11">
        <v>0.67708333333333337</v>
      </c>
      <c r="F37" s="12">
        <f t="shared" si="4"/>
        <v>1.0000000000000018</v>
      </c>
      <c r="G37" s="12"/>
      <c r="H37" s="20" t="s">
        <v>40</v>
      </c>
      <c r="I37" s="9" t="s">
        <v>41</v>
      </c>
      <c r="J37" s="9" t="s">
        <v>28</v>
      </c>
      <c r="K37" s="9" t="str">
        <f>VLOOKUP($B37,[1]Kundenübersicht!$E$4:$AC$1003,MATCH(K$3,[1]Kundenübersicht!$E$3:$BA$3,FALSE),FALSE)</f>
        <v>AOK PLUS</v>
      </c>
      <c r="L37" s="13">
        <f>VLOOKUP(B37,[1]Kundenübersicht!$E$4:$AC$1003,MATCH(L$3,[1]Kundenübersicht!$E$3:$BA$3,FALSE),FALSE)</f>
        <v>107299005</v>
      </c>
      <c r="M37" s="13" t="str">
        <f>VLOOKUP(B37,[1]Kundenübersicht!$E$4:$AC$1003,MATCH(M$3,[1]Kundenübersicht!$E$3:$BA$3,FALSE),FALSE)</f>
        <v>Q445657677</v>
      </c>
      <c r="N37" s="13" t="str">
        <f>VLOOKUP(B37,[1]Kundenübersicht!$E$4:$AC$1003,MATCH(N$3,[1]Kundenübersicht!$E$3:$BA$3,FALSE),FALSE)</f>
        <v>PG 2</v>
      </c>
      <c r="P37" s="9" t="s">
        <v>29</v>
      </c>
      <c r="R37" s="9" t="s">
        <v>30</v>
      </c>
      <c r="S37" s="14" t="s">
        <v>31</v>
      </c>
      <c r="U37" s="15">
        <f>IF(YEAR(C37)&lt;=2025,IFERROR(IF(I37="Hauswirtschaft",VLOOKUP($B37,[1]Kundenübersicht!$E$4:$BA$1003,MATCH("Hauswirtschaft [€/Stunde]",[1]Kundenübersicht!$E$3:$BA$3,FALSE),FALSE),VLOOKUP($B37,[1]Kundenübersicht!$E$4:$BA$1003,MATCH("Alltagsbegleitung [€/Stunde]",[1]Kundenübersicht!$E$3:$BA$3,FALSE),FALSE)),0),IFERROR(IF(I37="Hauswirtschaft",VLOOKUP($B37,[1]Kundenübersicht!$E$4:$BA$1003,MATCH("HW ab 2026 [€/Stunde]",[1]Kundenübersicht!$E$3:$BA$3,FALSE),FALSE),VLOOKUP($B37,[1]Kundenübersicht!$E$4:$BA$1003,MATCH("Alltagsbegleitung [€/Stunde]",[1]Kundenübersicht!$E$3:$BA$3,FALSE),FALSE)),0))</f>
        <v>42</v>
      </c>
      <c r="V37" s="16">
        <f t="shared" si="5"/>
        <v>42.000000000000071</v>
      </c>
      <c r="W37" s="16">
        <f t="shared" si="0"/>
        <v>0</v>
      </c>
      <c r="X37" s="16" t="str">
        <f>VLOOKUP(B37,[1]Kundenübersicht!E:AG,MATCH($X$3,[1]Kundenübersicht!$E$3:$AY$3,0),FALSE)</f>
        <v>Alt</v>
      </c>
      <c r="Z37" s="9" t="s">
        <v>29</v>
      </c>
      <c r="AA37" s="19"/>
      <c r="AC37" s="19">
        <v>45917</v>
      </c>
      <c r="AE37" s="9">
        <f t="shared" si="6"/>
        <v>2025</v>
      </c>
      <c r="AF37" s="17" t="str">
        <f t="shared" si="7"/>
        <v>07.2025</v>
      </c>
      <c r="AG37" s="17" t="str">
        <f t="shared" si="8"/>
        <v>Franziska Wächtler</v>
      </c>
      <c r="AH37" s="17" t="str">
        <f>IFERROR(VLOOKUP(B37,[1]Kundenübersicht!$E$4:$F$85,2,FALSE),"")</f>
        <v>Helga Dienelt</v>
      </c>
      <c r="AI37" s="17" t="str">
        <f t="shared" si="10"/>
        <v>Alltagsbegleitung</v>
      </c>
      <c r="AJ37" s="17" t="str">
        <f t="shared" si="10"/>
        <v>Entlastungsleistung</v>
      </c>
      <c r="AL37" s="18">
        <f t="shared" si="1"/>
        <v>42</v>
      </c>
      <c r="AM37" s="18">
        <f t="shared" si="2"/>
        <v>42.000000000000071</v>
      </c>
      <c r="AN37" s="18">
        <f t="shared" si="3"/>
        <v>0</v>
      </c>
    </row>
    <row r="38" spans="2:40" x14ac:dyDescent="0.25">
      <c r="B38" s="9" t="s">
        <v>38</v>
      </c>
      <c r="C38" s="10">
        <v>45855</v>
      </c>
      <c r="D38" s="11">
        <v>0.54166666666666663</v>
      </c>
      <c r="E38" s="11">
        <v>0.60416666666666663</v>
      </c>
      <c r="F38" s="12">
        <f t="shared" si="4"/>
        <v>1.5</v>
      </c>
      <c r="G38" s="12"/>
      <c r="H38" s="20" t="s">
        <v>33</v>
      </c>
      <c r="I38" s="9" t="s">
        <v>27</v>
      </c>
      <c r="J38" s="9" t="s">
        <v>28</v>
      </c>
      <c r="K38" s="9" t="str">
        <f>VLOOKUP($B38,[1]Kundenübersicht!$E$4:$AC$1003,MATCH(K$3,[1]Kundenübersicht!$E$3:$BA$3,FALSE),FALSE)</f>
        <v>AOK PLUS</v>
      </c>
      <c r="L38" s="13">
        <f>VLOOKUP(B38,[1]Kundenübersicht!$E$4:$AC$1003,MATCH(L$3,[1]Kundenübersicht!$E$3:$BA$3,FALSE),FALSE)</f>
        <v>107299005</v>
      </c>
      <c r="M38" s="13" t="str">
        <f>VLOOKUP(B38,[1]Kundenübersicht!$E$4:$AC$1003,MATCH(M$3,[1]Kundenübersicht!$E$3:$BA$3,FALSE),FALSE)</f>
        <v>R782602114</v>
      </c>
      <c r="N38" s="13" t="str">
        <f>VLOOKUP(B38,[1]Kundenübersicht!$E$4:$AC$1003,MATCH(N$3,[1]Kundenübersicht!$E$3:$BA$3,FALSE),FALSE)</f>
        <v>PG 1</v>
      </c>
      <c r="P38" s="9" t="s">
        <v>53</v>
      </c>
      <c r="R38" s="9" t="s">
        <v>30</v>
      </c>
      <c r="S38" s="14" t="s">
        <v>31</v>
      </c>
      <c r="U38" s="15">
        <f>IF(YEAR(C38)&lt;=2025,IFERROR(IF(I38="Hauswirtschaft",VLOOKUP($B38,[1]Kundenübersicht!$E$4:$BA$1003,MATCH("Hauswirtschaft [€/Stunde]",[1]Kundenübersicht!$E$3:$BA$3,FALSE),FALSE),VLOOKUP($B38,[1]Kundenübersicht!$E$4:$BA$1003,MATCH("Alltagsbegleitung [€/Stunde]",[1]Kundenübersicht!$E$3:$BA$3,FALSE),FALSE)),0),IFERROR(IF(I38="Hauswirtschaft",VLOOKUP($B38,[1]Kundenübersicht!$E$4:$BA$1003,MATCH("HW ab 2026 [€/Stunde]",[1]Kundenübersicht!$E$3:$BA$3,FALSE),FALSE),VLOOKUP($B38,[1]Kundenübersicht!$E$4:$BA$1003,MATCH("Alltagsbegleitung [€/Stunde]",[1]Kundenübersicht!$E$3:$BA$3,FALSE),FALSE)),0))</f>
        <v>32.75</v>
      </c>
      <c r="V38" s="16">
        <f t="shared" si="5"/>
        <v>49.125</v>
      </c>
      <c r="W38" s="16">
        <f t="shared" si="0"/>
        <v>0</v>
      </c>
      <c r="X38" s="16" t="str">
        <f>VLOOKUP(B38,[1]Kundenübersicht!E:AG,MATCH($X$3,[1]Kundenübersicht!$E$3:$AY$3,0),FALSE)</f>
        <v>Alt</v>
      </c>
      <c r="Z38" s="20" t="s">
        <v>29</v>
      </c>
      <c r="AA38" s="19"/>
      <c r="AC38" s="19">
        <v>45917</v>
      </c>
      <c r="AD38" s="18"/>
      <c r="AE38" s="9">
        <f t="shared" si="6"/>
        <v>2025</v>
      </c>
      <c r="AF38" s="17" t="str">
        <f t="shared" si="7"/>
        <v>07.2025</v>
      </c>
      <c r="AG38" s="17" t="str">
        <f t="shared" si="8"/>
        <v>Christiane Fiebag</v>
      </c>
      <c r="AH38" s="17" t="str">
        <f>IFERROR(VLOOKUP(B38,[1]Kundenübersicht!$E$4:$F$85,2,FALSE),"")</f>
        <v>Christian Jungnickel</v>
      </c>
      <c r="AI38" s="17" t="str">
        <f t="shared" si="10"/>
        <v>Hauswirtschaft</v>
      </c>
      <c r="AJ38" s="17" t="str">
        <f t="shared" si="10"/>
        <v>Entlastungsleistung</v>
      </c>
      <c r="AL38" s="18">
        <f t="shared" si="1"/>
        <v>38</v>
      </c>
      <c r="AM38" s="18">
        <f t="shared" si="2"/>
        <v>57</v>
      </c>
      <c r="AN38" s="18">
        <f t="shared" si="3"/>
        <v>0</v>
      </c>
    </row>
    <row r="39" spans="2:40" x14ac:dyDescent="0.25">
      <c r="B39" s="9" t="s">
        <v>45</v>
      </c>
      <c r="C39" s="10">
        <v>45855</v>
      </c>
      <c r="D39" s="11">
        <v>0.66666666666666663</v>
      </c>
      <c r="E39" s="11">
        <v>0.70833333333333337</v>
      </c>
      <c r="F39" s="12">
        <f t="shared" si="4"/>
        <v>1.0000000000000018</v>
      </c>
      <c r="G39" s="12"/>
      <c r="H39" s="20" t="s">
        <v>46</v>
      </c>
      <c r="I39" s="9" t="s">
        <v>27</v>
      </c>
      <c r="J39" s="9" t="s">
        <v>28</v>
      </c>
      <c r="K39" s="28" t="s">
        <v>47</v>
      </c>
      <c r="L39" s="29">
        <v>109990508</v>
      </c>
      <c r="M39" s="29" t="s">
        <v>48</v>
      </c>
      <c r="N39" s="13" t="str">
        <f>VLOOKUP(B39,[1]Kundenübersicht!$E$4:$AC$1003,MATCH(N$3,[1]Kundenübersicht!$E$3:$BA$3,FALSE),FALSE)</f>
        <v>PG 1</v>
      </c>
      <c r="P39" s="9" t="s">
        <v>29</v>
      </c>
      <c r="R39" s="9" t="s">
        <v>30</v>
      </c>
      <c r="S39" s="14" t="s">
        <v>31</v>
      </c>
      <c r="U39" s="15">
        <f>IF(YEAR(C39)&lt;=2025,IFERROR(IF(I39="Hauswirtschaft",VLOOKUP($B39,[1]Kundenübersicht!$E$4:$BA$1003,MATCH("Hauswirtschaft [€/Stunde]",[1]Kundenübersicht!$E$3:$BA$3,FALSE),FALSE),VLOOKUP($B39,[1]Kundenübersicht!$E$4:$BA$1003,MATCH("Alltagsbegleitung [€/Stunde]",[1]Kundenübersicht!$E$3:$BA$3,FALSE),FALSE)),0),IFERROR(IF(I39="Hauswirtschaft",VLOOKUP($B39,[1]Kundenübersicht!$E$4:$BA$1003,MATCH("HW ab 2026 [€/Stunde]",[1]Kundenübersicht!$E$3:$BA$3,FALSE),FALSE),VLOOKUP($B39,[1]Kundenübersicht!$E$4:$BA$1003,MATCH("Alltagsbegleitung [€/Stunde]",[1]Kundenübersicht!$E$3:$BA$3,FALSE),FALSE)),0))</f>
        <v>32.75</v>
      </c>
      <c r="V39" s="16">
        <f t="shared" si="5"/>
        <v>32.750000000000057</v>
      </c>
      <c r="W39" s="16">
        <f t="shared" si="0"/>
        <v>0</v>
      </c>
      <c r="X39" s="16" t="str">
        <f>VLOOKUP(B39,[1]Kundenübersicht!E:AG,MATCH($X$3,[1]Kundenübersicht!$E$3:$AY$3,0),FALSE)</f>
        <v>Alt</v>
      </c>
      <c r="Z39" s="20" t="s">
        <v>29</v>
      </c>
      <c r="AA39" s="19"/>
      <c r="AC39" s="19">
        <v>45924</v>
      </c>
      <c r="AE39" s="9">
        <f t="shared" si="6"/>
        <v>2025</v>
      </c>
      <c r="AF39" s="17" t="str">
        <f t="shared" si="7"/>
        <v>07.2025</v>
      </c>
      <c r="AG39" s="17" t="str">
        <f t="shared" si="8"/>
        <v>Manuela Richter</v>
      </c>
      <c r="AH39" s="17" t="str">
        <f>IFERROR(VLOOKUP(B39,[1]Kundenübersicht!$E$4:$F$85,2,FALSE),"")</f>
        <v>Hella Reißig</v>
      </c>
      <c r="AI39" s="17" t="str">
        <f t="shared" si="10"/>
        <v>Hauswirtschaft</v>
      </c>
      <c r="AJ39" s="17" t="str">
        <f t="shared" si="10"/>
        <v>Entlastungsleistung</v>
      </c>
      <c r="AL39" s="18">
        <f t="shared" si="1"/>
        <v>38</v>
      </c>
      <c r="AM39" s="18">
        <f t="shared" si="2"/>
        <v>38.000000000000071</v>
      </c>
      <c r="AN39" s="18">
        <f t="shared" si="3"/>
        <v>0</v>
      </c>
    </row>
    <row r="40" spans="2:40" x14ac:dyDescent="0.25">
      <c r="B40" s="9" t="s">
        <v>50</v>
      </c>
      <c r="C40" s="10">
        <v>45856</v>
      </c>
      <c r="D40" s="11">
        <v>0.64583333333333337</v>
      </c>
      <c r="E40" s="11">
        <v>0.6875</v>
      </c>
      <c r="F40" s="12">
        <f t="shared" si="4"/>
        <v>0.99999999999999911</v>
      </c>
      <c r="G40" s="12"/>
      <c r="H40" s="9" t="s">
        <v>46</v>
      </c>
      <c r="I40" s="9" t="s">
        <v>27</v>
      </c>
      <c r="J40" s="9" t="s">
        <v>28</v>
      </c>
      <c r="K40" s="9" t="str">
        <f>VLOOKUP($B40,[1]Kundenübersicht!$E$4:$AC$1003,MATCH(K$3,[1]Kundenübersicht!$E$3:$BA$3,FALSE),FALSE)</f>
        <v>AOK PLUS</v>
      </c>
      <c r="L40" s="13">
        <f>VLOOKUP(B40,[1]Kundenübersicht!$E$4:$AC$1003,MATCH(L$3,[1]Kundenübersicht!$E$3:$BA$3,FALSE),FALSE)</f>
        <v>107299005</v>
      </c>
      <c r="M40" s="13" t="str">
        <f>VLOOKUP(B40,[1]Kundenübersicht!$E$4:$AC$1003,MATCH(M$3,[1]Kundenübersicht!$E$3:$BA$3,FALSE),FALSE)</f>
        <v>L212281967</v>
      </c>
      <c r="N40" s="13" t="str">
        <f>VLOOKUP(B40,[1]Kundenübersicht!$E$4:$AC$1003,MATCH(N$3,[1]Kundenübersicht!$E$3:$BA$3,FALSE),FALSE)</f>
        <v>PG 1</v>
      </c>
      <c r="P40" s="9" t="s">
        <v>29</v>
      </c>
      <c r="R40" s="9" t="s">
        <v>30</v>
      </c>
      <c r="S40" s="14" t="s">
        <v>31</v>
      </c>
      <c r="U40" s="15">
        <f>IF(YEAR(C40)&lt;=2025,IFERROR(IF(I40="Hauswirtschaft",VLOOKUP($B40,[1]Kundenübersicht!$E$4:$BA$1003,MATCH("Hauswirtschaft [€/Stunde]",[1]Kundenübersicht!$E$3:$BA$3,FALSE),FALSE),VLOOKUP($B40,[1]Kundenübersicht!$E$4:$BA$1003,MATCH("Alltagsbegleitung [€/Stunde]",[1]Kundenübersicht!$E$3:$BA$3,FALSE),FALSE)),0),IFERROR(IF(I40="Hauswirtschaft",VLOOKUP($B40,[1]Kundenübersicht!$E$4:$BA$1003,MATCH("HW ab 2026 [€/Stunde]",[1]Kundenübersicht!$E$3:$BA$3,FALSE),FALSE),VLOOKUP($B40,[1]Kundenübersicht!$E$4:$BA$1003,MATCH("Alltagsbegleitung [€/Stunde]",[1]Kundenübersicht!$E$3:$BA$3,FALSE),FALSE)),0))</f>
        <v>32.75</v>
      </c>
      <c r="V40" s="16">
        <f t="shared" si="5"/>
        <v>32.749999999999972</v>
      </c>
      <c r="W40" s="16">
        <f t="shared" si="0"/>
        <v>0</v>
      </c>
      <c r="X40" s="16" t="str">
        <f>VLOOKUP(B40,[1]Kundenübersicht!E:AG,MATCH($X$3,[1]Kundenübersicht!$E$3:$AY$3,0),FALSE)</f>
        <v>Alt</v>
      </c>
      <c r="Z40" s="20" t="s">
        <v>29</v>
      </c>
      <c r="AA40" s="19"/>
      <c r="AC40" s="19">
        <v>45917</v>
      </c>
      <c r="AE40" s="9">
        <f t="shared" si="6"/>
        <v>2025</v>
      </c>
      <c r="AF40" s="17" t="str">
        <f t="shared" si="7"/>
        <v>07.2025</v>
      </c>
      <c r="AG40" s="17" t="str">
        <f t="shared" si="8"/>
        <v>Manuela Richter</v>
      </c>
      <c r="AH40" s="17" t="str">
        <f>IFERROR(VLOOKUP(B40,[1]Kundenübersicht!$E$4:$F$85,2,FALSE),"")</f>
        <v>Lothar Krawalski</v>
      </c>
      <c r="AI40" s="17" t="str">
        <f t="shared" si="10"/>
        <v>Hauswirtschaft</v>
      </c>
      <c r="AJ40" s="17" t="str">
        <f t="shared" si="10"/>
        <v>Entlastungsleistung</v>
      </c>
      <c r="AL40" s="18">
        <f t="shared" si="1"/>
        <v>38</v>
      </c>
      <c r="AM40" s="18">
        <f t="shared" si="2"/>
        <v>37.999999999999964</v>
      </c>
      <c r="AN40" s="18">
        <f t="shared" si="3"/>
        <v>0</v>
      </c>
    </row>
    <row r="41" spans="2:40" x14ac:dyDescent="0.25">
      <c r="B41" s="20" t="s">
        <v>42</v>
      </c>
      <c r="C41" s="10">
        <v>45856</v>
      </c>
      <c r="D41" s="11">
        <v>0.60416666666666663</v>
      </c>
      <c r="E41" s="11">
        <v>0.625</v>
      </c>
      <c r="F41" s="12">
        <f t="shared" si="4"/>
        <v>0.50000000000000089</v>
      </c>
      <c r="G41" s="12"/>
      <c r="H41" s="20" t="s">
        <v>33</v>
      </c>
      <c r="I41" s="9" t="s">
        <v>27</v>
      </c>
      <c r="J41" s="9" t="s">
        <v>28</v>
      </c>
      <c r="K41" s="9" t="str">
        <f>VLOOKUP($B41,[1]Kundenübersicht!$E$4:$AC$1003,MATCH(K$3,[1]Kundenübersicht!$E$3:$BA$3,FALSE),FALSE)</f>
        <v>Techniker Krankenkasse</v>
      </c>
      <c r="L41" s="13">
        <f>VLOOKUP(B41,[1]Kundenübersicht!$E$4:$AC$1003,MATCH(L$3,[1]Kundenübersicht!$E$3:$BA$3,FALSE),FALSE)</f>
        <v>101575519</v>
      </c>
      <c r="M41" s="13" t="str">
        <f>VLOOKUP(B41,[1]Kundenübersicht!$E$4:$AC$1003,MATCH(M$3,[1]Kundenübersicht!$E$3:$BA$3,FALSE),FALSE)</f>
        <v>E759973784</v>
      </c>
      <c r="N41" s="13" t="str">
        <f>VLOOKUP(B41,[1]Kundenübersicht!$E$4:$AC$1003,MATCH(N$3,[1]Kundenübersicht!$E$3:$BA$3,FALSE),FALSE)</f>
        <v>PG 2</v>
      </c>
      <c r="P41" s="9" t="s">
        <v>29</v>
      </c>
      <c r="R41" s="9" t="s">
        <v>30</v>
      </c>
      <c r="S41" s="14" t="s">
        <v>31</v>
      </c>
      <c r="U41" s="15">
        <f>IF(YEAR(C41)&lt;=2025,IFERROR(IF(I41="Hauswirtschaft",VLOOKUP($B41,[1]Kundenübersicht!$E$4:$BA$1003,MATCH("Hauswirtschaft [€/Stunde]",[1]Kundenübersicht!$E$3:$BA$3,FALSE),FALSE),VLOOKUP($B41,[1]Kundenübersicht!$E$4:$BA$1003,MATCH("Alltagsbegleitung [€/Stunde]",[1]Kundenübersicht!$E$3:$BA$3,FALSE),FALSE)),0),IFERROR(IF(I41="Hauswirtschaft",VLOOKUP($B41,[1]Kundenübersicht!$E$4:$BA$1003,MATCH("HW ab 2026 [€/Stunde]",[1]Kundenübersicht!$E$3:$BA$3,FALSE),FALSE),VLOOKUP($B41,[1]Kundenübersicht!$E$4:$BA$1003,MATCH("Alltagsbegleitung [€/Stunde]",[1]Kundenübersicht!$E$3:$BA$3,FALSE),FALSE)),0))</f>
        <v>32.75</v>
      </c>
      <c r="V41" s="16">
        <f t="shared" si="5"/>
        <v>16.375000000000028</v>
      </c>
      <c r="W41" s="16">
        <f t="shared" si="0"/>
        <v>0</v>
      </c>
      <c r="X41" s="16" t="str">
        <f>VLOOKUP(B41,[1]Kundenübersicht!E:AG,MATCH($X$3,[1]Kundenübersicht!$E$3:$AY$3,0),FALSE)</f>
        <v>Alt</v>
      </c>
      <c r="Z41" s="20" t="s">
        <v>29</v>
      </c>
      <c r="AA41" s="19">
        <v>45950</v>
      </c>
      <c r="AC41" s="19">
        <v>45968</v>
      </c>
      <c r="AE41" s="9">
        <f t="shared" si="6"/>
        <v>2025</v>
      </c>
      <c r="AF41" s="17" t="str">
        <f t="shared" si="7"/>
        <v>07.2025</v>
      </c>
      <c r="AG41" s="17" t="str">
        <f t="shared" si="8"/>
        <v>Christiane Fiebag</v>
      </c>
      <c r="AH41" s="17" t="str">
        <f>IFERROR(VLOOKUP(B41,[1]Kundenübersicht!$E$4:$F$85,2,FALSE),"")</f>
        <v>Martin Schmidt</v>
      </c>
      <c r="AI41" s="17" t="str">
        <f t="shared" si="10"/>
        <v>Hauswirtschaft</v>
      </c>
      <c r="AJ41" s="17" t="str">
        <f t="shared" si="10"/>
        <v>Entlastungsleistung</v>
      </c>
      <c r="AL41" s="18">
        <f t="shared" si="1"/>
        <v>38</v>
      </c>
      <c r="AM41" s="18">
        <f t="shared" si="2"/>
        <v>19.000000000000036</v>
      </c>
      <c r="AN41" s="18">
        <f t="shared" si="3"/>
        <v>0</v>
      </c>
    </row>
    <row r="42" spans="2:40" x14ac:dyDescent="0.25">
      <c r="B42" s="9" t="s">
        <v>43</v>
      </c>
      <c r="C42" s="10">
        <v>45856</v>
      </c>
      <c r="D42" s="11">
        <v>0.58333333333333337</v>
      </c>
      <c r="E42" s="11">
        <v>0.625</v>
      </c>
      <c r="F42" s="12">
        <f t="shared" si="4"/>
        <v>0.99999999999999911</v>
      </c>
      <c r="G42" s="12"/>
      <c r="H42" s="9" t="s">
        <v>46</v>
      </c>
      <c r="I42" s="9" t="s">
        <v>27</v>
      </c>
      <c r="J42" s="9" t="s">
        <v>28</v>
      </c>
      <c r="K42" s="9" t="str">
        <f>VLOOKUP($B42,[1]Kundenübersicht!$E$4:$AC$1003,MATCH(K$3,[1]Kundenübersicht!$E$3:$BA$3,FALSE),FALSE)</f>
        <v>AOK PLUS</v>
      </c>
      <c r="L42" s="13">
        <f>VLOOKUP(B42,[1]Kundenübersicht!$E$4:$AC$1003,MATCH(L$3,[1]Kundenübersicht!$E$3:$BA$3,FALSE),FALSE)</f>
        <v>107299005</v>
      </c>
      <c r="M42" s="13" t="str">
        <f>VLOOKUP(B42,[1]Kundenübersicht!$E$4:$AC$1003,MATCH(M$3,[1]Kundenübersicht!$E$3:$BA$3,FALSE),FALSE)</f>
        <v>I323820679</v>
      </c>
      <c r="N42" s="13" t="str">
        <f>VLOOKUP(B42,[1]Kundenübersicht!$E$4:$AC$1003,MATCH(N$3,[1]Kundenübersicht!$E$3:$BA$3,FALSE),FALSE)</f>
        <v>PG 1</v>
      </c>
      <c r="P42" s="9" t="s">
        <v>29</v>
      </c>
      <c r="R42" s="9" t="s">
        <v>30</v>
      </c>
      <c r="S42" s="14" t="s">
        <v>31</v>
      </c>
      <c r="U42" s="15">
        <f>IF(YEAR(C42)&lt;=2025,IFERROR(IF(I42="Hauswirtschaft",VLOOKUP($B42,[1]Kundenübersicht!$E$4:$BA$1003,MATCH("Hauswirtschaft [€/Stunde]",[1]Kundenübersicht!$E$3:$BA$3,FALSE),FALSE),VLOOKUP($B42,[1]Kundenübersicht!$E$4:$BA$1003,MATCH("Alltagsbegleitung [€/Stunde]",[1]Kundenübersicht!$E$3:$BA$3,FALSE),FALSE)),0),IFERROR(IF(I42="Hauswirtschaft",VLOOKUP($B42,[1]Kundenübersicht!$E$4:$BA$1003,MATCH("HW ab 2026 [€/Stunde]",[1]Kundenübersicht!$E$3:$BA$3,FALSE),FALSE),VLOOKUP($B42,[1]Kundenübersicht!$E$4:$BA$1003,MATCH("Alltagsbegleitung [€/Stunde]",[1]Kundenübersicht!$E$3:$BA$3,FALSE),FALSE)),0))</f>
        <v>32.75</v>
      </c>
      <c r="V42" s="16">
        <f t="shared" si="5"/>
        <v>32.749999999999972</v>
      </c>
      <c r="W42" s="16">
        <f t="shared" si="0"/>
        <v>0</v>
      </c>
      <c r="X42" s="16" t="str">
        <f>VLOOKUP(B42,[1]Kundenübersicht!E:AG,MATCH($X$3,[1]Kundenübersicht!$E$3:$AY$3,0),FALSE)</f>
        <v>Alt</v>
      </c>
      <c r="Z42" s="9" t="s">
        <v>29</v>
      </c>
      <c r="AA42" s="19"/>
      <c r="AC42" s="19">
        <v>45917</v>
      </c>
      <c r="AE42" s="9">
        <f t="shared" si="6"/>
        <v>2025</v>
      </c>
      <c r="AF42" s="17" t="str">
        <f t="shared" si="7"/>
        <v>07.2025</v>
      </c>
      <c r="AG42" s="17" t="str">
        <f t="shared" si="8"/>
        <v>Manuela Richter</v>
      </c>
      <c r="AH42" s="17" t="str">
        <f>IFERROR(VLOOKUP(B42,[1]Kundenübersicht!$E$4:$F$85,2,FALSE),"")</f>
        <v>Inge Leupold</v>
      </c>
      <c r="AI42" s="17" t="str">
        <f t="shared" si="10"/>
        <v>Hauswirtschaft</v>
      </c>
      <c r="AJ42" s="17" t="str">
        <f t="shared" si="10"/>
        <v>Entlastungsleistung</v>
      </c>
      <c r="AL42" s="18">
        <f t="shared" si="1"/>
        <v>38</v>
      </c>
      <c r="AM42" s="18">
        <f t="shared" si="2"/>
        <v>37.999999999999964</v>
      </c>
      <c r="AN42" s="18">
        <f t="shared" si="3"/>
        <v>0</v>
      </c>
    </row>
    <row r="43" spans="2:40" x14ac:dyDescent="0.25">
      <c r="B43" s="9" t="s">
        <v>44</v>
      </c>
      <c r="C43" s="10">
        <v>45859</v>
      </c>
      <c r="D43" s="11">
        <v>0.39583333333333331</v>
      </c>
      <c r="E43" s="11">
        <v>0.4375</v>
      </c>
      <c r="F43" s="12">
        <f t="shared" si="4"/>
        <v>1.0000000000000004</v>
      </c>
      <c r="G43" s="12"/>
      <c r="H43" s="20" t="s">
        <v>33</v>
      </c>
      <c r="I43" s="9" t="s">
        <v>27</v>
      </c>
      <c r="J43" s="9" t="s">
        <v>28</v>
      </c>
      <c r="K43" s="9" t="str">
        <f>VLOOKUP($B43,[1]Kundenübersicht!$E$4:$AC$1003,MATCH(K$3,[1]Kundenübersicht!$E$3:$BA$3,FALSE),FALSE)</f>
        <v>Barmer Pflegekasse</v>
      </c>
      <c r="L43" s="13">
        <f>VLOOKUP(B43,[1]Kundenübersicht!$E$4:$AC$1003,MATCH(L$3,[1]Kundenübersicht!$E$3:$BA$3,FALSE),FALSE)</f>
        <v>184940005</v>
      </c>
      <c r="M43" s="13" t="str">
        <f>VLOOKUP(B43,[1]Kundenübersicht!$E$4:$AC$1003,MATCH(M$3,[1]Kundenübersicht!$E$3:$BA$3,FALSE),FALSE)</f>
        <v>Y800652371</v>
      </c>
      <c r="N43" s="13" t="str">
        <f>VLOOKUP(B43,[1]Kundenübersicht!$E$4:$AC$1003,MATCH(N$3,[1]Kundenübersicht!$E$3:$BA$3,FALSE),FALSE)</f>
        <v>PG 1</v>
      </c>
      <c r="P43" s="9" t="s">
        <v>29</v>
      </c>
      <c r="R43" s="9" t="s">
        <v>30</v>
      </c>
      <c r="S43" s="14" t="s">
        <v>31</v>
      </c>
      <c r="U43" s="15">
        <f>IF(YEAR(C43)&lt;=2025,IFERROR(IF(I43="Hauswirtschaft",VLOOKUP($B43,[1]Kundenübersicht!$E$4:$BA$1003,MATCH("Hauswirtschaft [€/Stunde]",[1]Kundenübersicht!$E$3:$BA$3,FALSE),FALSE),VLOOKUP($B43,[1]Kundenübersicht!$E$4:$BA$1003,MATCH("Alltagsbegleitung [€/Stunde]",[1]Kundenübersicht!$E$3:$BA$3,FALSE),FALSE)),0),IFERROR(IF(I43="Hauswirtschaft",VLOOKUP($B43,[1]Kundenübersicht!$E$4:$BA$1003,MATCH("HW ab 2026 [€/Stunde]",[1]Kundenübersicht!$E$3:$BA$3,FALSE),FALSE),VLOOKUP($B43,[1]Kundenübersicht!$E$4:$BA$1003,MATCH("Alltagsbegleitung [€/Stunde]",[1]Kundenübersicht!$E$3:$BA$3,FALSE),FALSE)),0))</f>
        <v>32.75</v>
      </c>
      <c r="V43" s="16">
        <f t="shared" si="5"/>
        <v>32.750000000000014</v>
      </c>
      <c r="W43" s="16">
        <f t="shared" si="0"/>
        <v>0</v>
      </c>
      <c r="X43" s="16" t="str">
        <f>VLOOKUP(B43,[1]Kundenübersicht!E:AG,MATCH($X$3,[1]Kundenübersicht!$E$3:$AY$3,0),FALSE)</f>
        <v>Alt</v>
      </c>
      <c r="Z43" s="20" t="s">
        <v>29</v>
      </c>
      <c r="AA43" s="19"/>
      <c r="AC43" s="19"/>
      <c r="AE43" s="9">
        <f t="shared" si="6"/>
        <v>2025</v>
      </c>
      <c r="AF43" s="17" t="str">
        <f t="shared" si="7"/>
        <v>07.2025</v>
      </c>
      <c r="AG43" s="17" t="str">
        <f t="shared" si="8"/>
        <v>Christiane Fiebag</v>
      </c>
      <c r="AH43" s="17" t="str">
        <f>IFERROR(VLOOKUP(B43,[1]Kundenübersicht!$E$4:$F$85,2,FALSE),"")</f>
        <v>Dieter Kraft</v>
      </c>
      <c r="AI43" s="17" t="str">
        <f t="shared" si="10"/>
        <v>Hauswirtschaft</v>
      </c>
      <c r="AJ43" s="17" t="str">
        <f t="shared" si="10"/>
        <v>Entlastungsleistung</v>
      </c>
      <c r="AL43" s="18">
        <f t="shared" si="1"/>
        <v>38</v>
      </c>
      <c r="AM43" s="18">
        <f t="shared" si="2"/>
        <v>38.000000000000014</v>
      </c>
      <c r="AN43" s="18">
        <f t="shared" si="3"/>
        <v>0</v>
      </c>
    </row>
    <row r="44" spans="2:40" x14ac:dyDescent="0.25">
      <c r="B44" s="20" t="s">
        <v>34</v>
      </c>
      <c r="C44" s="10">
        <v>45859</v>
      </c>
      <c r="D44" s="11">
        <v>0.45833333333333331</v>
      </c>
      <c r="E44" s="11">
        <v>0.5</v>
      </c>
      <c r="F44" s="12">
        <f t="shared" si="4"/>
        <v>1.0000000000000004</v>
      </c>
      <c r="G44" s="12"/>
      <c r="H44" s="20" t="s">
        <v>33</v>
      </c>
      <c r="I44" s="9" t="s">
        <v>27</v>
      </c>
      <c r="J44" s="9" t="s">
        <v>28</v>
      </c>
      <c r="K44" s="9" t="str">
        <f>VLOOKUP($B44,[1]Kundenübersicht!$E$4:$AC$1003,MATCH(K$3,[1]Kundenübersicht!$E$3:$BA$3,FALSE),FALSE)</f>
        <v>AOK PLUS</v>
      </c>
      <c r="L44" s="13">
        <f>VLOOKUP(B44,[1]Kundenübersicht!$E$4:$AC$1003,MATCH(L$3,[1]Kundenübersicht!$E$3:$BA$3,FALSE),FALSE)</f>
        <v>107299005</v>
      </c>
      <c r="M44" s="13" t="str">
        <f>VLOOKUP(B44,[1]Kundenübersicht!$E$4:$AC$1003,MATCH(M$3,[1]Kundenübersicht!$E$3:$BA$3,FALSE),FALSE)</f>
        <v>R234942678</v>
      </c>
      <c r="N44" s="13" t="str">
        <f>VLOOKUP(B44,[1]Kundenübersicht!$E$4:$AC$1003,MATCH(N$3,[1]Kundenübersicht!$E$3:$BA$3,FALSE),FALSE)</f>
        <v>PG 2</v>
      </c>
      <c r="P44" s="20" t="s">
        <v>29</v>
      </c>
      <c r="R44" s="9" t="s">
        <v>30</v>
      </c>
      <c r="S44" s="14" t="s">
        <v>31</v>
      </c>
      <c r="U44" s="15">
        <f>IF(YEAR(C44)&lt;=2025,IFERROR(IF(I44="Hauswirtschaft",VLOOKUP($B44,[1]Kundenübersicht!$E$4:$BA$1003,MATCH("Hauswirtschaft [€/Stunde]",[1]Kundenübersicht!$E$3:$BA$3,FALSE),FALSE),VLOOKUP($B44,[1]Kundenübersicht!$E$4:$BA$1003,MATCH("Alltagsbegleitung [€/Stunde]",[1]Kundenübersicht!$E$3:$BA$3,FALSE),FALSE)),0),IFERROR(IF(I44="Hauswirtschaft",VLOOKUP($B44,[1]Kundenübersicht!$E$4:$BA$1003,MATCH("HW ab 2026 [€/Stunde]",[1]Kundenübersicht!$E$3:$BA$3,FALSE),FALSE),VLOOKUP($B44,[1]Kundenübersicht!$E$4:$BA$1003,MATCH("Alltagsbegleitung [€/Stunde]",[1]Kundenübersicht!$E$3:$BA$3,FALSE),FALSE)),0))</f>
        <v>32.75</v>
      </c>
      <c r="V44" s="16">
        <f t="shared" si="5"/>
        <v>32.750000000000014</v>
      </c>
      <c r="W44" s="16">
        <f t="shared" si="0"/>
        <v>0</v>
      </c>
      <c r="X44" s="16" t="str">
        <f>VLOOKUP(B44,[1]Kundenübersicht!E:AG,MATCH($X$3,[1]Kundenübersicht!$E$3:$AY$3,0),FALSE)</f>
        <v>Alt</v>
      </c>
      <c r="Z44" s="9" t="s">
        <v>29</v>
      </c>
      <c r="AA44" s="19">
        <v>45950</v>
      </c>
      <c r="AC44" s="19">
        <v>45975</v>
      </c>
      <c r="AE44" s="9">
        <f t="shared" si="6"/>
        <v>2025</v>
      </c>
      <c r="AF44" s="17" t="str">
        <f t="shared" si="7"/>
        <v>07.2025</v>
      </c>
      <c r="AG44" s="17" t="str">
        <f t="shared" si="8"/>
        <v>Christiane Fiebag</v>
      </c>
      <c r="AH44" s="17" t="str">
        <f>IFERROR(VLOOKUP(B44,[1]Kundenübersicht!$E$4:$F$85,2,FALSE),"")</f>
        <v>Dieter Berghold</v>
      </c>
      <c r="AI44" s="17" t="str">
        <f t="shared" si="10"/>
        <v>Hauswirtschaft</v>
      </c>
      <c r="AJ44" s="17" t="str">
        <f t="shared" si="10"/>
        <v>Entlastungsleistung</v>
      </c>
      <c r="AL44" s="18">
        <f t="shared" si="1"/>
        <v>38</v>
      </c>
      <c r="AM44" s="18">
        <f t="shared" si="2"/>
        <v>38.000000000000014</v>
      </c>
      <c r="AN44" s="18">
        <f t="shared" si="3"/>
        <v>0</v>
      </c>
    </row>
    <row r="45" spans="2:40" x14ac:dyDescent="0.25">
      <c r="B45" s="20" t="s">
        <v>35</v>
      </c>
      <c r="C45" s="10">
        <v>45859</v>
      </c>
      <c r="D45" s="11">
        <v>0.5</v>
      </c>
      <c r="E45" s="11">
        <v>0.54166666666666663</v>
      </c>
      <c r="F45" s="12">
        <f t="shared" si="4"/>
        <v>0.99999999999999911</v>
      </c>
      <c r="G45" s="12"/>
      <c r="H45" s="20" t="s">
        <v>33</v>
      </c>
      <c r="I45" s="9" t="s">
        <v>27</v>
      </c>
      <c r="J45" s="9" t="s">
        <v>28</v>
      </c>
      <c r="K45" s="9" t="str">
        <f>VLOOKUP($B45,[1]Kundenübersicht!$E$4:$AC$1003,MATCH(K$3,[1]Kundenübersicht!$E$3:$BA$3,FALSE),FALSE)</f>
        <v>AOK PLUS</v>
      </c>
      <c r="L45" s="13">
        <f>VLOOKUP(B45,[1]Kundenübersicht!$E$4:$AC$1003,MATCH(L$3,[1]Kundenübersicht!$E$3:$BA$3,FALSE),FALSE)</f>
        <v>107299005</v>
      </c>
      <c r="M45" s="13" t="str">
        <f>VLOOKUP(B45,[1]Kundenübersicht!$E$4:$AC$1003,MATCH(M$3,[1]Kundenübersicht!$E$3:$BA$3,FALSE),FALSE)</f>
        <v>P722909118</v>
      </c>
      <c r="N45" s="13" t="str">
        <f>VLOOKUP(B45,[1]Kundenübersicht!$E$4:$AC$1003,MATCH(N$3,[1]Kundenübersicht!$E$3:$BA$3,FALSE),FALSE)</f>
        <v>PG 3</v>
      </c>
      <c r="P45" s="20" t="s">
        <v>29</v>
      </c>
      <c r="R45" s="9" t="s">
        <v>30</v>
      </c>
      <c r="S45" s="14" t="s">
        <v>31</v>
      </c>
      <c r="U45" s="15">
        <f>IF(YEAR(C45)&lt;=2025,IFERROR(IF(I45="Hauswirtschaft",VLOOKUP($B45,[1]Kundenübersicht!$E$4:$BA$1003,MATCH("Hauswirtschaft [€/Stunde]",[1]Kundenübersicht!$E$3:$BA$3,FALSE),FALSE),VLOOKUP($B45,[1]Kundenübersicht!$E$4:$BA$1003,MATCH("Alltagsbegleitung [€/Stunde]",[1]Kundenübersicht!$E$3:$BA$3,FALSE),FALSE)),0),IFERROR(IF(I45="Hauswirtschaft",VLOOKUP($B45,[1]Kundenübersicht!$E$4:$BA$1003,MATCH("HW ab 2026 [€/Stunde]",[1]Kundenübersicht!$E$3:$BA$3,FALSE),FALSE),VLOOKUP($B45,[1]Kundenübersicht!$E$4:$BA$1003,MATCH("Alltagsbegleitung [€/Stunde]",[1]Kundenübersicht!$E$3:$BA$3,FALSE),FALSE)),0))</f>
        <v>32.75</v>
      </c>
      <c r="V45" s="16">
        <f t="shared" si="5"/>
        <v>32.749999999999972</v>
      </c>
      <c r="W45" s="16">
        <f t="shared" si="0"/>
        <v>0</v>
      </c>
      <c r="X45" s="16" t="str">
        <f>VLOOKUP(B45,[1]Kundenübersicht!E:AG,MATCH($X$3,[1]Kundenübersicht!$E$3:$AY$3,0),FALSE)</f>
        <v>Alt</v>
      </c>
      <c r="Z45" s="9" t="s">
        <v>29</v>
      </c>
      <c r="AA45" s="19">
        <v>45950</v>
      </c>
      <c r="AC45" s="19">
        <v>45975</v>
      </c>
      <c r="AE45" s="9">
        <f t="shared" si="6"/>
        <v>2025</v>
      </c>
      <c r="AF45" s="17" t="str">
        <f t="shared" si="7"/>
        <v>07.2025</v>
      </c>
      <c r="AG45" s="17" t="str">
        <f t="shared" si="8"/>
        <v>Christiane Fiebag</v>
      </c>
      <c r="AH45" s="17" t="str">
        <f>IFERROR(VLOOKUP(B45,[1]Kundenübersicht!$E$4:$F$85,2,FALSE),"")</f>
        <v>Elke Berghold</v>
      </c>
      <c r="AI45" s="17" t="str">
        <f t="shared" si="10"/>
        <v>Hauswirtschaft</v>
      </c>
      <c r="AJ45" s="17" t="str">
        <f t="shared" si="10"/>
        <v>Entlastungsleistung</v>
      </c>
      <c r="AL45" s="18">
        <f t="shared" si="1"/>
        <v>38</v>
      </c>
      <c r="AM45" s="18">
        <f t="shared" si="2"/>
        <v>37.999999999999964</v>
      </c>
      <c r="AN45" s="18">
        <f t="shared" si="3"/>
        <v>0</v>
      </c>
    </row>
    <row r="46" spans="2:40" x14ac:dyDescent="0.25">
      <c r="B46" s="20" t="s">
        <v>54</v>
      </c>
      <c r="C46" s="10">
        <v>45859</v>
      </c>
      <c r="D46" s="11">
        <v>0.54166666666666663</v>
      </c>
      <c r="E46" s="11">
        <v>0.60416666666666663</v>
      </c>
      <c r="F46" s="12">
        <f t="shared" si="4"/>
        <v>1.5</v>
      </c>
      <c r="G46" s="12"/>
      <c r="H46" s="20" t="s">
        <v>33</v>
      </c>
      <c r="I46" s="9" t="s">
        <v>27</v>
      </c>
      <c r="J46" s="9" t="s">
        <v>28</v>
      </c>
      <c r="K46" s="9" t="str">
        <f>VLOOKUP($B46,[1]Kundenübersicht!$E$4:$AC$1003,MATCH(K$3,[1]Kundenübersicht!$E$3:$BA$3,FALSE),FALSE)</f>
        <v>Barmer Pflegekasse</v>
      </c>
      <c r="L46" s="13">
        <f>VLOOKUP(B46,[1]Kundenübersicht!$E$4:$AC$1003,MATCH(L$3,[1]Kundenübersicht!$E$3:$BA$3,FALSE),FALSE)</f>
        <v>184940005</v>
      </c>
      <c r="M46" s="13" t="str">
        <f>VLOOKUP(B46,[1]Kundenübersicht!$E$4:$AC$1003,MATCH(M$3,[1]Kundenübersicht!$E$3:$BA$3,FALSE),FALSE)</f>
        <v>J775476677</v>
      </c>
      <c r="N46" s="13" t="str">
        <f>VLOOKUP(B46,[1]Kundenübersicht!$E$4:$AC$1003,MATCH(N$3,[1]Kundenübersicht!$E$3:$BA$3,FALSE),FALSE)</f>
        <v>PG 1</v>
      </c>
      <c r="P46" s="9" t="s">
        <v>29</v>
      </c>
      <c r="R46" s="9" t="s">
        <v>30</v>
      </c>
      <c r="S46" s="14" t="s">
        <v>31</v>
      </c>
      <c r="U46" s="15">
        <f>IF(YEAR(C46)&lt;=2025,IFERROR(IF(I46="Hauswirtschaft",VLOOKUP($B46,[1]Kundenübersicht!$E$4:$BA$1003,MATCH("Hauswirtschaft [€/Stunde]",[1]Kundenübersicht!$E$3:$BA$3,FALSE),FALSE),VLOOKUP($B46,[1]Kundenübersicht!$E$4:$BA$1003,MATCH("Alltagsbegleitung [€/Stunde]",[1]Kundenübersicht!$E$3:$BA$3,FALSE),FALSE)),0),IFERROR(IF(I46="Hauswirtschaft",VLOOKUP($B46,[1]Kundenübersicht!$E$4:$BA$1003,MATCH("HW ab 2026 [€/Stunde]",[1]Kundenübersicht!$E$3:$BA$3,FALSE),FALSE),VLOOKUP($B46,[1]Kundenübersicht!$E$4:$BA$1003,MATCH("Alltagsbegleitung [€/Stunde]",[1]Kundenübersicht!$E$3:$BA$3,FALSE),FALSE)),0))</f>
        <v>32.75</v>
      </c>
      <c r="V46" s="16">
        <f t="shared" si="5"/>
        <v>49.125</v>
      </c>
      <c r="W46" s="16">
        <f t="shared" si="0"/>
        <v>0</v>
      </c>
      <c r="X46" s="16" t="str">
        <f>VLOOKUP(B46,[1]Kundenübersicht!E:AG,MATCH($X$3,[1]Kundenübersicht!$E$3:$AY$3,0),FALSE)</f>
        <v>Alt</v>
      </c>
      <c r="Z46" s="20" t="s">
        <v>29</v>
      </c>
      <c r="AA46" s="19"/>
      <c r="AC46" s="19"/>
      <c r="AE46" s="9">
        <f t="shared" si="6"/>
        <v>2025</v>
      </c>
      <c r="AF46" s="17" t="str">
        <f t="shared" si="7"/>
        <v>07.2025</v>
      </c>
      <c r="AG46" s="17" t="str">
        <f t="shared" si="8"/>
        <v>Christiane Fiebag</v>
      </c>
      <c r="AH46" s="17" t="str">
        <f>IFERROR(VLOOKUP(B46,[1]Kundenübersicht!$E$4:$F$85,2,FALSE),"")</f>
        <v>Rita Nitschke</v>
      </c>
      <c r="AI46" s="17" t="str">
        <f t="shared" si="10"/>
        <v>Hauswirtschaft</v>
      </c>
      <c r="AJ46" s="17" t="str">
        <f t="shared" si="10"/>
        <v>Entlastungsleistung</v>
      </c>
      <c r="AL46" s="18">
        <f t="shared" si="1"/>
        <v>38</v>
      </c>
      <c r="AM46" s="18">
        <f t="shared" si="2"/>
        <v>57</v>
      </c>
      <c r="AN46" s="18">
        <f t="shared" si="3"/>
        <v>0</v>
      </c>
    </row>
    <row r="47" spans="2:40" x14ac:dyDescent="0.25">
      <c r="B47" s="20" t="s">
        <v>36</v>
      </c>
      <c r="C47" s="10">
        <v>45859</v>
      </c>
      <c r="D47" s="11">
        <v>0.39583333333333331</v>
      </c>
      <c r="E47" s="11">
        <v>0.47916666666666669</v>
      </c>
      <c r="F47" s="12">
        <f t="shared" si="4"/>
        <v>2.0000000000000009</v>
      </c>
      <c r="G47" s="12"/>
      <c r="H47" s="20" t="s">
        <v>26</v>
      </c>
      <c r="I47" s="9" t="s">
        <v>27</v>
      </c>
      <c r="J47" s="9" t="s">
        <v>28</v>
      </c>
      <c r="K47" s="9" t="str">
        <f>VLOOKUP($B47,[1]Kundenübersicht!$E$4:$AC$1003,MATCH(K$3,[1]Kundenübersicht!$E$3:$BA$3,FALSE),FALSE)</f>
        <v>IKK Classic</v>
      </c>
      <c r="L47" s="13" t="str">
        <f>VLOOKUP(B47,[1]Kundenübersicht!$E$4:$AC$1003,MATCH(L$3,[1]Kundenübersicht!$E$3:$BA$3,FALSE),FALSE)</f>
        <v>187202793</v>
      </c>
      <c r="M47" s="13" t="str">
        <f>VLOOKUP(B47,[1]Kundenübersicht!$E$4:$AC$1003,MATCH(M$3,[1]Kundenübersicht!$E$3:$BA$3,FALSE),FALSE)</f>
        <v>X365499146</v>
      </c>
      <c r="N47" s="13" t="str">
        <f>VLOOKUP(B47,[1]Kundenübersicht!$E$4:$AC$1003,MATCH(N$3,[1]Kundenübersicht!$E$3:$BA$3,FALSE),FALSE)</f>
        <v>PG 1</v>
      </c>
      <c r="P47" s="20" t="s">
        <v>29</v>
      </c>
      <c r="R47" s="9" t="s">
        <v>30</v>
      </c>
      <c r="S47" s="14" t="s">
        <v>31</v>
      </c>
      <c r="U47" s="15">
        <f>IF(YEAR(C47)&lt;=2025,IFERROR(IF(I47="Hauswirtschaft",VLOOKUP($B47,[1]Kundenübersicht!$E$4:$BA$1003,MATCH("Hauswirtschaft [€/Stunde]",[1]Kundenübersicht!$E$3:$BA$3,FALSE),FALSE),VLOOKUP($B47,[1]Kundenübersicht!$E$4:$BA$1003,MATCH("Alltagsbegleitung [€/Stunde]",[1]Kundenübersicht!$E$3:$BA$3,FALSE),FALSE)),0),IFERROR(IF(I47="Hauswirtschaft",VLOOKUP($B47,[1]Kundenübersicht!$E$4:$BA$1003,MATCH("HW ab 2026 [€/Stunde]",[1]Kundenübersicht!$E$3:$BA$3,FALSE),FALSE),VLOOKUP($B47,[1]Kundenübersicht!$E$4:$BA$1003,MATCH("Alltagsbegleitung [€/Stunde]",[1]Kundenübersicht!$E$3:$BA$3,FALSE),FALSE)),0))</f>
        <v>32.75</v>
      </c>
      <c r="V47" s="16">
        <f t="shared" si="5"/>
        <v>65.500000000000028</v>
      </c>
      <c r="W47" s="16">
        <f t="shared" si="0"/>
        <v>0</v>
      </c>
      <c r="X47" s="16" t="str">
        <f>VLOOKUP(B47,[1]Kundenübersicht!E:AG,MATCH($X$3,[1]Kundenübersicht!$E$3:$AY$3,0),FALSE)</f>
        <v>Alt</v>
      </c>
      <c r="Z47" s="20" t="s">
        <v>29</v>
      </c>
      <c r="AA47" s="19">
        <v>45979</v>
      </c>
      <c r="AC47" s="10">
        <v>45995</v>
      </c>
      <c r="AE47" s="9">
        <f t="shared" si="6"/>
        <v>2025</v>
      </c>
      <c r="AF47" s="17" t="str">
        <f t="shared" si="7"/>
        <v>07.2025</v>
      </c>
      <c r="AG47" s="17" t="str">
        <f t="shared" si="8"/>
        <v>Celina Panther</v>
      </c>
      <c r="AH47" s="17" t="str">
        <f>IFERROR(VLOOKUP(B47,[1]Kundenübersicht!$E$4:$F$85,2,FALSE),"")</f>
        <v>Ingrid Haufe</v>
      </c>
      <c r="AI47" s="17" t="str">
        <f t="shared" si="10"/>
        <v>Hauswirtschaft</v>
      </c>
      <c r="AJ47" s="17" t="str">
        <f t="shared" si="10"/>
        <v>Entlastungsleistung</v>
      </c>
      <c r="AL47" s="18">
        <f t="shared" si="1"/>
        <v>38</v>
      </c>
      <c r="AM47" s="18">
        <f t="shared" si="2"/>
        <v>76.000000000000028</v>
      </c>
      <c r="AN47" s="18">
        <f t="shared" si="3"/>
        <v>0</v>
      </c>
    </row>
    <row r="48" spans="2:40" x14ac:dyDescent="0.25">
      <c r="B48" s="20" t="s">
        <v>37</v>
      </c>
      <c r="C48" s="10">
        <v>45859</v>
      </c>
      <c r="D48" s="11">
        <v>0.47916666666666669</v>
      </c>
      <c r="E48" s="11">
        <v>0.5625</v>
      </c>
      <c r="F48" s="12">
        <f t="shared" si="4"/>
        <v>1.9999999999999996</v>
      </c>
      <c r="G48" s="12"/>
      <c r="H48" s="20" t="s">
        <v>26</v>
      </c>
      <c r="I48" s="9" t="s">
        <v>27</v>
      </c>
      <c r="J48" s="9" t="s">
        <v>28</v>
      </c>
      <c r="K48" s="9" t="str">
        <f>VLOOKUP($B48,[1]Kundenübersicht!$E$4:$AC$1003,MATCH(K$3,[1]Kundenübersicht!$E$3:$BA$3,FALSE),FALSE)</f>
        <v>IKK Classic</v>
      </c>
      <c r="L48" s="13" t="str">
        <f>VLOOKUP(B48,[1]Kundenübersicht!$E$4:$AC$1003,MATCH(L$3,[1]Kundenübersicht!$E$3:$BA$3,FALSE),FALSE)</f>
        <v>187202793</v>
      </c>
      <c r="M48" s="13" t="str">
        <f>VLOOKUP(B48,[1]Kundenübersicht!$E$4:$AC$1003,MATCH(M$3,[1]Kundenübersicht!$E$3:$BA$3,FALSE),FALSE)</f>
        <v>E434900220</v>
      </c>
      <c r="N48" s="13" t="str">
        <f>VLOOKUP(B48,[1]Kundenübersicht!$E$4:$AC$1003,MATCH(N$3,[1]Kundenübersicht!$E$3:$BA$3,FALSE),FALSE)</f>
        <v>PG 1</v>
      </c>
      <c r="P48" s="20" t="s">
        <v>29</v>
      </c>
      <c r="R48" s="9" t="s">
        <v>30</v>
      </c>
      <c r="S48" s="14" t="s">
        <v>31</v>
      </c>
      <c r="U48" s="15">
        <f>IF(YEAR(C48)&lt;=2025,IFERROR(IF(I48="Hauswirtschaft",VLOOKUP($B48,[1]Kundenübersicht!$E$4:$BA$1003,MATCH("Hauswirtschaft [€/Stunde]",[1]Kundenübersicht!$E$3:$BA$3,FALSE),FALSE),VLOOKUP($B48,[1]Kundenübersicht!$E$4:$BA$1003,MATCH("Alltagsbegleitung [€/Stunde]",[1]Kundenübersicht!$E$3:$BA$3,FALSE),FALSE)),0),IFERROR(IF(I48="Hauswirtschaft",VLOOKUP($B48,[1]Kundenübersicht!$E$4:$BA$1003,MATCH("HW ab 2026 [€/Stunde]",[1]Kundenübersicht!$E$3:$BA$3,FALSE),FALSE),VLOOKUP($B48,[1]Kundenübersicht!$E$4:$BA$1003,MATCH("Alltagsbegleitung [€/Stunde]",[1]Kundenübersicht!$E$3:$BA$3,FALSE),FALSE)),0))</f>
        <v>32.75</v>
      </c>
      <c r="V48" s="16">
        <f t="shared" si="5"/>
        <v>65.499999999999986</v>
      </c>
      <c r="W48" s="16">
        <f t="shared" si="0"/>
        <v>0</v>
      </c>
      <c r="X48" s="16" t="str">
        <f>VLOOKUP(B48,[1]Kundenübersicht!E:AG,MATCH($X$3,[1]Kundenübersicht!$E$3:$AY$3,0),FALSE)</f>
        <v>Alt</v>
      </c>
      <c r="Z48" s="20" t="s">
        <v>29</v>
      </c>
      <c r="AA48" s="19">
        <v>45979</v>
      </c>
      <c r="AC48" s="10">
        <v>45995</v>
      </c>
      <c r="AE48" s="9">
        <f t="shared" si="6"/>
        <v>2025</v>
      </c>
      <c r="AF48" s="17" t="str">
        <f t="shared" si="7"/>
        <v>07.2025</v>
      </c>
      <c r="AG48" s="17" t="str">
        <f t="shared" si="8"/>
        <v>Celina Panther</v>
      </c>
      <c r="AH48" s="17" t="str">
        <f>IFERROR(VLOOKUP(B48,[1]Kundenübersicht!$E$4:$F$85,2,FALSE),"")</f>
        <v>Lothar Haufe</v>
      </c>
      <c r="AI48" s="17" t="str">
        <f t="shared" si="10"/>
        <v>Hauswirtschaft</v>
      </c>
      <c r="AJ48" s="17" t="str">
        <f t="shared" si="10"/>
        <v>Entlastungsleistung</v>
      </c>
      <c r="AL48" s="18">
        <f t="shared" si="1"/>
        <v>38</v>
      </c>
      <c r="AM48" s="18">
        <f t="shared" si="2"/>
        <v>75.999999999999986</v>
      </c>
      <c r="AN48" s="18">
        <f t="shared" si="3"/>
        <v>0</v>
      </c>
    </row>
    <row r="49" spans="2:40" x14ac:dyDescent="0.25">
      <c r="B49" s="21" t="s">
        <v>39</v>
      </c>
      <c r="C49" s="10">
        <v>45860</v>
      </c>
      <c r="D49" s="11">
        <v>0.66666666666666663</v>
      </c>
      <c r="E49" s="11">
        <v>0.70833333333333337</v>
      </c>
      <c r="F49" s="12">
        <f t="shared" si="4"/>
        <v>1.0000000000000018</v>
      </c>
      <c r="G49" s="12"/>
      <c r="H49" s="20" t="s">
        <v>40</v>
      </c>
      <c r="I49" s="9" t="s">
        <v>41</v>
      </c>
      <c r="J49" s="9" t="s">
        <v>28</v>
      </c>
      <c r="K49" s="9" t="str">
        <f>VLOOKUP($B49,[1]Kundenübersicht!$E$4:$AC$1003,MATCH(K$3,[1]Kundenübersicht!$E$3:$BA$3,FALSE),FALSE)</f>
        <v>AOK PLUS</v>
      </c>
      <c r="L49" s="13">
        <f>VLOOKUP(B49,[1]Kundenübersicht!$E$4:$AC$1003,MATCH(L$3,[1]Kundenübersicht!$E$3:$BA$3,FALSE),FALSE)</f>
        <v>107299005</v>
      </c>
      <c r="M49" s="13" t="str">
        <f>VLOOKUP(B49,[1]Kundenübersicht!$E$4:$AC$1003,MATCH(M$3,[1]Kundenübersicht!$E$3:$BA$3,FALSE),FALSE)</f>
        <v>Q445657677</v>
      </c>
      <c r="N49" s="13" t="str">
        <f>VLOOKUP(B49,[1]Kundenübersicht!$E$4:$AC$1003,MATCH(N$3,[1]Kundenübersicht!$E$3:$BA$3,FALSE),FALSE)</f>
        <v>PG 2</v>
      </c>
      <c r="P49" s="9" t="s">
        <v>29</v>
      </c>
      <c r="R49" s="9" t="s">
        <v>30</v>
      </c>
      <c r="S49" s="14" t="s">
        <v>31</v>
      </c>
      <c r="U49" s="15">
        <f>IF(YEAR(C49)&lt;=2025,IFERROR(IF(I49="Hauswirtschaft",VLOOKUP($B49,[1]Kundenübersicht!$E$4:$BA$1003,MATCH("Hauswirtschaft [€/Stunde]",[1]Kundenübersicht!$E$3:$BA$3,FALSE),FALSE),VLOOKUP($B49,[1]Kundenübersicht!$E$4:$BA$1003,MATCH("Alltagsbegleitung [€/Stunde]",[1]Kundenübersicht!$E$3:$BA$3,FALSE),FALSE)),0),IFERROR(IF(I49="Hauswirtschaft",VLOOKUP($B49,[1]Kundenübersicht!$E$4:$BA$1003,MATCH("HW ab 2026 [€/Stunde]",[1]Kundenübersicht!$E$3:$BA$3,FALSE),FALSE),VLOOKUP($B49,[1]Kundenübersicht!$E$4:$BA$1003,MATCH("Alltagsbegleitung [€/Stunde]",[1]Kundenübersicht!$E$3:$BA$3,FALSE),FALSE)),0))</f>
        <v>42</v>
      </c>
      <c r="V49" s="16">
        <f t="shared" si="5"/>
        <v>42.000000000000071</v>
      </c>
      <c r="W49" s="16">
        <f t="shared" si="0"/>
        <v>0</v>
      </c>
      <c r="X49" s="16" t="str">
        <f>VLOOKUP(B49,[1]Kundenübersicht!E:AG,MATCH($X$3,[1]Kundenübersicht!$E$3:$AY$3,0),FALSE)</f>
        <v>Alt</v>
      </c>
      <c r="Z49" s="9" t="s">
        <v>29</v>
      </c>
      <c r="AA49" s="19"/>
      <c r="AC49" s="19">
        <v>45917</v>
      </c>
      <c r="AE49" s="9">
        <f t="shared" si="6"/>
        <v>2025</v>
      </c>
      <c r="AF49" s="17" t="str">
        <f t="shared" si="7"/>
        <v>07.2025</v>
      </c>
      <c r="AG49" s="17" t="str">
        <f t="shared" si="8"/>
        <v>Franziska Wächtler</v>
      </c>
      <c r="AH49" s="17" t="str">
        <f>IFERROR(VLOOKUP(B49,[1]Kundenübersicht!$E$4:$F$85,2,FALSE),"")</f>
        <v>Helga Dienelt</v>
      </c>
      <c r="AI49" s="17" t="str">
        <f t="shared" si="10"/>
        <v>Alltagsbegleitung</v>
      </c>
      <c r="AJ49" s="17" t="str">
        <f t="shared" si="10"/>
        <v>Entlastungsleistung</v>
      </c>
      <c r="AL49" s="18">
        <f t="shared" si="1"/>
        <v>42</v>
      </c>
      <c r="AM49" s="18">
        <f t="shared" si="2"/>
        <v>42.000000000000071</v>
      </c>
      <c r="AN49" s="18">
        <f t="shared" si="3"/>
        <v>0</v>
      </c>
    </row>
    <row r="50" spans="2:40" x14ac:dyDescent="0.25">
      <c r="B50" s="9" t="s">
        <v>43</v>
      </c>
      <c r="C50" s="10">
        <v>45861</v>
      </c>
      <c r="D50" s="11">
        <v>0.33333333333333331</v>
      </c>
      <c r="E50" s="11">
        <v>0.375</v>
      </c>
      <c r="F50" s="12">
        <f t="shared" si="4"/>
        <v>1.0000000000000004</v>
      </c>
      <c r="G50" s="12"/>
      <c r="H50" s="9" t="s">
        <v>46</v>
      </c>
      <c r="I50" s="9" t="s">
        <v>27</v>
      </c>
      <c r="J50" s="9" t="s">
        <v>28</v>
      </c>
      <c r="K50" s="9" t="str">
        <f>VLOOKUP($B50,[1]Kundenübersicht!$E$4:$AC$1003,MATCH(K$3,[1]Kundenübersicht!$E$3:$BA$3,FALSE),FALSE)</f>
        <v>AOK PLUS</v>
      </c>
      <c r="L50" s="13">
        <f>VLOOKUP(B50,[1]Kundenübersicht!$E$4:$AC$1003,MATCH(L$3,[1]Kundenübersicht!$E$3:$BA$3,FALSE),FALSE)</f>
        <v>107299005</v>
      </c>
      <c r="M50" s="13" t="str">
        <f>VLOOKUP(B50,[1]Kundenübersicht!$E$4:$AC$1003,MATCH(M$3,[1]Kundenübersicht!$E$3:$BA$3,FALSE),FALSE)</f>
        <v>I323820679</v>
      </c>
      <c r="N50" s="13" t="str">
        <f>VLOOKUP(B50,[1]Kundenübersicht!$E$4:$AC$1003,MATCH(N$3,[1]Kundenübersicht!$E$3:$BA$3,FALSE),FALSE)</f>
        <v>PG 1</v>
      </c>
      <c r="P50" s="9" t="s">
        <v>29</v>
      </c>
      <c r="R50" s="9" t="s">
        <v>30</v>
      </c>
      <c r="S50" s="14" t="s">
        <v>31</v>
      </c>
      <c r="U50" s="15">
        <f>IF(YEAR(C50)&lt;=2025,IFERROR(IF(I50="Hauswirtschaft",VLOOKUP($B50,[1]Kundenübersicht!$E$4:$BA$1003,MATCH("Hauswirtschaft [€/Stunde]",[1]Kundenübersicht!$E$3:$BA$3,FALSE),FALSE),VLOOKUP($B50,[1]Kundenübersicht!$E$4:$BA$1003,MATCH("Alltagsbegleitung [€/Stunde]",[1]Kundenübersicht!$E$3:$BA$3,FALSE),FALSE)),0),IFERROR(IF(I50="Hauswirtschaft",VLOOKUP($B50,[1]Kundenübersicht!$E$4:$BA$1003,MATCH("HW ab 2026 [€/Stunde]",[1]Kundenübersicht!$E$3:$BA$3,FALSE),FALSE),VLOOKUP($B50,[1]Kundenübersicht!$E$4:$BA$1003,MATCH("Alltagsbegleitung [€/Stunde]",[1]Kundenübersicht!$E$3:$BA$3,FALSE),FALSE)),0))</f>
        <v>32.75</v>
      </c>
      <c r="V50" s="16">
        <f t="shared" si="5"/>
        <v>32.750000000000014</v>
      </c>
      <c r="W50" s="16">
        <f t="shared" si="0"/>
        <v>0</v>
      </c>
      <c r="X50" s="16" t="str">
        <f>VLOOKUP(B50,[1]Kundenübersicht!E:AG,MATCH($X$3,[1]Kundenübersicht!$E$3:$AY$3,0),FALSE)</f>
        <v>Alt</v>
      </c>
      <c r="Z50" s="9" t="s">
        <v>29</v>
      </c>
      <c r="AA50" s="19"/>
      <c r="AC50" s="19">
        <v>45917</v>
      </c>
      <c r="AE50" s="9">
        <f t="shared" si="6"/>
        <v>2025</v>
      </c>
      <c r="AF50" s="17" t="str">
        <f t="shared" si="7"/>
        <v>07.2025</v>
      </c>
      <c r="AG50" s="17" t="str">
        <f t="shared" si="8"/>
        <v>Manuela Richter</v>
      </c>
      <c r="AH50" s="17" t="str">
        <f>IFERROR(VLOOKUP(B50,[1]Kundenübersicht!$E$4:$F$85,2,FALSE),"")</f>
        <v>Inge Leupold</v>
      </c>
      <c r="AI50" s="17" t="str">
        <f t="shared" si="10"/>
        <v>Hauswirtschaft</v>
      </c>
      <c r="AJ50" s="17" t="str">
        <f t="shared" si="10"/>
        <v>Entlastungsleistung</v>
      </c>
      <c r="AL50" s="18">
        <f t="shared" si="1"/>
        <v>38</v>
      </c>
      <c r="AM50" s="18">
        <f t="shared" si="2"/>
        <v>38.000000000000014</v>
      </c>
      <c r="AN50" s="18">
        <f t="shared" si="3"/>
        <v>0</v>
      </c>
    </row>
    <row r="51" spans="2:40" x14ac:dyDescent="0.25">
      <c r="B51" s="9" t="s">
        <v>49</v>
      </c>
      <c r="C51" s="10">
        <v>45862</v>
      </c>
      <c r="D51" s="11">
        <v>0.60416666666666663</v>
      </c>
      <c r="E51" s="11">
        <v>0.64583333333333337</v>
      </c>
      <c r="F51" s="12">
        <f t="shared" si="4"/>
        <v>1.0000000000000018</v>
      </c>
      <c r="G51" s="12"/>
      <c r="H51" s="20" t="s">
        <v>46</v>
      </c>
      <c r="I51" s="9" t="s">
        <v>27</v>
      </c>
      <c r="J51" s="9" t="s">
        <v>28</v>
      </c>
      <c r="K51" s="9" t="str">
        <f>VLOOKUP($B51,[1]Kundenübersicht!$E$4:$AC$1003,MATCH(K$3,[1]Kundenübersicht!$E$3:$BA$3,FALSE),FALSE)</f>
        <v>AOK PLUS</v>
      </c>
      <c r="L51" s="13">
        <f>VLOOKUP(B51,[1]Kundenübersicht!$E$4:$AC$1003,MATCH(L$3,[1]Kundenübersicht!$E$3:$BA$3,FALSE),FALSE)</f>
        <v>107299005</v>
      </c>
      <c r="M51" s="13" t="str">
        <f>VLOOKUP(B51,[1]Kundenübersicht!$E$4:$AC$1003,MATCH(M$3,[1]Kundenübersicht!$E$3:$BA$3,FALSE),FALSE)</f>
        <v>T309560658</v>
      </c>
      <c r="N51" s="13" t="str">
        <f>VLOOKUP(B51,[1]Kundenübersicht!$E$4:$AC$1003,MATCH(N$3,[1]Kundenübersicht!$E$3:$BA$3,FALSE),FALSE)</f>
        <v>PG 2</v>
      </c>
      <c r="P51" s="9" t="s">
        <v>29</v>
      </c>
      <c r="R51" s="9" t="s">
        <v>30</v>
      </c>
      <c r="S51" s="14" t="s">
        <v>31</v>
      </c>
      <c r="U51" s="15">
        <f>IF(YEAR(C51)&lt;=2025,IFERROR(IF(I51="Hauswirtschaft",VLOOKUP($B51,[1]Kundenübersicht!$E$4:$BA$1003,MATCH("Hauswirtschaft [€/Stunde]",[1]Kundenübersicht!$E$3:$BA$3,FALSE),FALSE),VLOOKUP($B51,[1]Kundenübersicht!$E$4:$BA$1003,MATCH("Alltagsbegleitung [€/Stunde]",[1]Kundenübersicht!$E$3:$BA$3,FALSE),FALSE)),0),IFERROR(IF(I51="Hauswirtschaft",VLOOKUP($B51,[1]Kundenübersicht!$E$4:$BA$1003,MATCH("HW ab 2026 [€/Stunde]",[1]Kundenübersicht!$E$3:$BA$3,FALSE),FALSE),VLOOKUP($B51,[1]Kundenübersicht!$E$4:$BA$1003,MATCH("Alltagsbegleitung [€/Stunde]",[1]Kundenübersicht!$E$3:$BA$3,FALSE),FALSE)),0))</f>
        <v>32.75</v>
      </c>
      <c r="V51" s="16">
        <f t="shared" si="5"/>
        <v>32.750000000000057</v>
      </c>
      <c r="W51" s="16">
        <f t="shared" si="0"/>
        <v>0</v>
      </c>
      <c r="X51" s="16" t="str">
        <f>VLOOKUP(B51,[1]Kundenübersicht!E:AG,MATCH($X$3,[1]Kundenübersicht!$E$3:$AY$3,0),FALSE)</f>
        <v>Alt</v>
      </c>
      <c r="Z51" s="20" t="s">
        <v>29</v>
      </c>
      <c r="AA51" s="19"/>
      <c r="AC51" s="19">
        <v>45917</v>
      </c>
      <c r="AE51" s="9">
        <f t="shared" si="6"/>
        <v>2025</v>
      </c>
      <c r="AF51" s="17" t="str">
        <f t="shared" si="7"/>
        <v>07.2025</v>
      </c>
      <c r="AG51" s="17" t="str">
        <f t="shared" si="8"/>
        <v>Manuela Richter</v>
      </c>
      <c r="AH51" s="17" t="str">
        <f>IFERROR(VLOOKUP(B51,[1]Kundenübersicht!$E$4:$F$85,2,FALSE),"")</f>
        <v>Rita Neubert</v>
      </c>
      <c r="AI51" s="17" t="str">
        <f t="shared" si="10"/>
        <v>Hauswirtschaft</v>
      </c>
      <c r="AJ51" s="17" t="str">
        <f t="shared" si="10"/>
        <v>Entlastungsleistung</v>
      </c>
      <c r="AL51" s="18">
        <f t="shared" si="1"/>
        <v>38</v>
      </c>
      <c r="AM51" s="18">
        <f t="shared" si="2"/>
        <v>38.000000000000071</v>
      </c>
      <c r="AN51" s="18">
        <f t="shared" si="3"/>
        <v>0</v>
      </c>
    </row>
    <row r="52" spans="2:40" x14ac:dyDescent="0.25">
      <c r="B52" s="9" t="s">
        <v>50</v>
      </c>
      <c r="C52" s="10">
        <v>45863</v>
      </c>
      <c r="D52" s="11">
        <v>0.58333333333333337</v>
      </c>
      <c r="E52" s="11">
        <v>0.625</v>
      </c>
      <c r="F52" s="12">
        <f t="shared" si="4"/>
        <v>0.99999999999999911</v>
      </c>
      <c r="G52" s="12"/>
      <c r="H52" s="9" t="s">
        <v>46</v>
      </c>
      <c r="I52" s="9" t="s">
        <v>27</v>
      </c>
      <c r="J52" s="9" t="s">
        <v>28</v>
      </c>
      <c r="K52" s="9" t="str">
        <f>VLOOKUP($B52,[1]Kundenübersicht!$E$4:$AC$1003,MATCH(K$3,[1]Kundenübersicht!$E$3:$BA$3,FALSE),FALSE)</f>
        <v>AOK PLUS</v>
      </c>
      <c r="L52" s="13">
        <f>VLOOKUP(B52,[1]Kundenübersicht!$E$4:$AC$1003,MATCH(L$3,[1]Kundenübersicht!$E$3:$BA$3,FALSE),FALSE)</f>
        <v>107299005</v>
      </c>
      <c r="M52" s="13" t="str">
        <f>VLOOKUP(B52,[1]Kundenübersicht!$E$4:$AC$1003,MATCH(M$3,[1]Kundenübersicht!$E$3:$BA$3,FALSE),FALSE)</f>
        <v>L212281967</v>
      </c>
      <c r="N52" s="13" t="str">
        <f>VLOOKUP(B52,[1]Kundenübersicht!$E$4:$AC$1003,MATCH(N$3,[1]Kundenübersicht!$E$3:$BA$3,FALSE),FALSE)</f>
        <v>PG 1</v>
      </c>
      <c r="P52" s="9" t="s">
        <v>29</v>
      </c>
      <c r="R52" s="9" t="s">
        <v>30</v>
      </c>
      <c r="S52" s="14" t="s">
        <v>31</v>
      </c>
      <c r="U52" s="15">
        <f>IF(YEAR(C52)&lt;=2025,IFERROR(IF(I52="Hauswirtschaft",VLOOKUP($B52,[1]Kundenübersicht!$E$4:$BA$1003,MATCH("Hauswirtschaft [€/Stunde]",[1]Kundenübersicht!$E$3:$BA$3,FALSE),FALSE),VLOOKUP($B52,[1]Kundenübersicht!$E$4:$BA$1003,MATCH("Alltagsbegleitung [€/Stunde]",[1]Kundenübersicht!$E$3:$BA$3,FALSE),FALSE)),0),IFERROR(IF(I52="Hauswirtschaft",VLOOKUP($B52,[1]Kundenübersicht!$E$4:$BA$1003,MATCH("HW ab 2026 [€/Stunde]",[1]Kundenübersicht!$E$3:$BA$3,FALSE),FALSE),VLOOKUP($B52,[1]Kundenübersicht!$E$4:$BA$1003,MATCH("Alltagsbegleitung [€/Stunde]",[1]Kundenübersicht!$E$3:$BA$3,FALSE),FALSE)),0))</f>
        <v>32.75</v>
      </c>
      <c r="V52" s="16">
        <f t="shared" si="5"/>
        <v>32.749999999999972</v>
      </c>
      <c r="W52" s="16">
        <f t="shared" si="0"/>
        <v>0</v>
      </c>
      <c r="X52" s="16" t="str">
        <f>VLOOKUP(B52,[1]Kundenübersicht!E:AG,MATCH($X$3,[1]Kundenübersicht!$E$3:$AY$3,0),FALSE)</f>
        <v>Alt</v>
      </c>
      <c r="Z52" s="20" t="s">
        <v>29</v>
      </c>
      <c r="AA52" s="19"/>
      <c r="AC52" s="19">
        <v>45917</v>
      </c>
      <c r="AE52" s="9">
        <f t="shared" si="6"/>
        <v>2025</v>
      </c>
      <c r="AF52" s="17" t="str">
        <f t="shared" si="7"/>
        <v>07.2025</v>
      </c>
      <c r="AG52" s="17" t="str">
        <f t="shared" si="8"/>
        <v>Manuela Richter</v>
      </c>
      <c r="AH52" s="17" t="str">
        <f>IFERROR(VLOOKUP(B52,[1]Kundenübersicht!$E$4:$F$85,2,FALSE),"")</f>
        <v>Lothar Krawalski</v>
      </c>
      <c r="AI52" s="17" t="str">
        <f t="shared" si="10"/>
        <v>Hauswirtschaft</v>
      </c>
      <c r="AJ52" s="17" t="str">
        <f t="shared" si="10"/>
        <v>Entlastungsleistung</v>
      </c>
      <c r="AL52" s="18">
        <f t="shared" si="1"/>
        <v>38</v>
      </c>
      <c r="AM52" s="18">
        <f t="shared" si="2"/>
        <v>37.999999999999964</v>
      </c>
      <c r="AN52" s="18">
        <f t="shared" si="3"/>
        <v>0</v>
      </c>
    </row>
    <row r="53" spans="2:40" x14ac:dyDescent="0.25">
      <c r="B53" s="20" t="s">
        <v>34</v>
      </c>
      <c r="C53" s="10">
        <v>45866</v>
      </c>
      <c r="D53" s="11">
        <v>0.45833333333333331</v>
      </c>
      <c r="E53" s="11">
        <v>0.5</v>
      </c>
      <c r="F53" s="12">
        <f t="shared" si="4"/>
        <v>1.0000000000000004</v>
      </c>
      <c r="G53" s="12"/>
      <c r="H53" s="20" t="s">
        <v>33</v>
      </c>
      <c r="I53" s="9" t="s">
        <v>27</v>
      </c>
      <c r="J53" s="9" t="s">
        <v>28</v>
      </c>
      <c r="K53" s="9" t="str">
        <f>VLOOKUP($B53,[1]Kundenübersicht!$E$4:$AC$1003,MATCH(K$3,[1]Kundenübersicht!$E$3:$BA$3,FALSE),FALSE)</f>
        <v>AOK PLUS</v>
      </c>
      <c r="L53" s="13">
        <f>VLOOKUP(B53,[1]Kundenübersicht!$E$4:$AC$1003,MATCH(L$3,[1]Kundenübersicht!$E$3:$BA$3,FALSE),FALSE)</f>
        <v>107299005</v>
      </c>
      <c r="M53" s="13" t="str">
        <f>VLOOKUP(B53,[1]Kundenübersicht!$E$4:$AC$1003,MATCH(M$3,[1]Kundenübersicht!$E$3:$BA$3,FALSE),FALSE)</f>
        <v>R234942678</v>
      </c>
      <c r="N53" s="13" t="str">
        <f>VLOOKUP(B53,[1]Kundenübersicht!$E$4:$AC$1003,MATCH(N$3,[1]Kundenübersicht!$E$3:$BA$3,FALSE),FALSE)</f>
        <v>PG 2</v>
      </c>
      <c r="P53" s="20" t="s">
        <v>29</v>
      </c>
      <c r="R53" s="9" t="s">
        <v>30</v>
      </c>
      <c r="S53" s="14" t="s">
        <v>31</v>
      </c>
      <c r="U53" s="15">
        <f>IF(YEAR(C53)&lt;=2025,IFERROR(IF(I53="Hauswirtschaft",VLOOKUP($B53,[1]Kundenübersicht!$E$4:$BA$1003,MATCH("Hauswirtschaft [€/Stunde]",[1]Kundenübersicht!$E$3:$BA$3,FALSE),FALSE),VLOOKUP($B53,[1]Kundenübersicht!$E$4:$BA$1003,MATCH("Alltagsbegleitung [€/Stunde]",[1]Kundenübersicht!$E$3:$BA$3,FALSE),FALSE)),0),IFERROR(IF(I53="Hauswirtschaft",VLOOKUP($B53,[1]Kundenübersicht!$E$4:$BA$1003,MATCH("HW ab 2026 [€/Stunde]",[1]Kundenübersicht!$E$3:$BA$3,FALSE),FALSE),VLOOKUP($B53,[1]Kundenübersicht!$E$4:$BA$1003,MATCH("Alltagsbegleitung [€/Stunde]",[1]Kundenübersicht!$E$3:$BA$3,FALSE),FALSE)),0))</f>
        <v>32.75</v>
      </c>
      <c r="V53" s="16">
        <f t="shared" si="5"/>
        <v>32.750000000000014</v>
      </c>
      <c r="W53" s="16">
        <f t="shared" si="0"/>
        <v>0</v>
      </c>
      <c r="X53" s="16" t="str">
        <f>VLOOKUP(B53,[1]Kundenübersicht!E:AG,MATCH($X$3,[1]Kundenübersicht!$E$3:$AY$3,0),FALSE)</f>
        <v>Alt</v>
      </c>
      <c r="Z53" s="9" t="s">
        <v>29</v>
      </c>
      <c r="AA53" s="19">
        <v>45950</v>
      </c>
      <c r="AC53" s="19">
        <v>45975</v>
      </c>
      <c r="AE53" s="9">
        <f t="shared" si="6"/>
        <v>2025</v>
      </c>
      <c r="AF53" s="17" t="str">
        <f t="shared" si="7"/>
        <v>07.2025</v>
      </c>
      <c r="AG53" s="17" t="str">
        <f t="shared" si="8"/>
        <v>Christiane Fiebag</v>
      </c>
      <c r="AH53" s="17" t="str">
        <f>IFERROR(VLOOKUP(B53,[1]Kundenübersicht!$E$4:$F$85,2,FALSE),"")</f>
        <v>Dieter Berghold</v>
      </c>
      <c r="AI53" s="17" t="str">
        <f t="shared" si="10"/>
        <v>Hauswirtschaft</v>
      </c>
      <c r="AJ53" s="17" t="str">
        <f t="shared" si="10"/>
        <v>Entlastungsleistung</v>
      </c>
      <c r="AL53" s="18">
        <f t="shared" si="1"/>
        <v>38</v>
      </c>
      <c r="AM53" s="18">
        <f t="shared" si="2"/>
        <v>38.000000000000014</v>
      </c>
      <c r="AN53" s="18">
        <f t="shared" si="3"/>
        <v>0</v>
      </c>
    </row>
    <row r="54" spans="2:40" x14ac:dyDescent="0.25">
      <c r="B54" s="20" t="s">
        <v>35</v>
      </c>
      <c r="C54" s="10">
        <v>45866</v>
      </c>
      <c r="D54" s="11">
        <v>0.5</v>
      </c>
      <c r="E54" s="11">
        <v>0.54166666666666663</v>
      </c>
      <c r="F54" s="12">
        <f t="shared" si="4"/>
        <v>0.99999999999999911</v>
      </c>
      <c r="G54" s="12"/>
      <c r="H54" s="20" t="s">
        <v>33</v>
      </c>
      <c r="I54" s="9" t="s">
        <v>27</v>
      </c>
      <c r="J54" s="9" t="s">
        <v>28</v>
      </c>
      <c r="K54" s="9" t="str">
        <f>VLOOKUP($B54,[1]Kundenübersicht!$E$4:$AC$1003,MATCH(K$3,[1]Kundenübersicht!$E$3:$BA$3,FALSE),FALSE)</f>
        <v>AOK PLUS</v>
      </c>
      <c r="L54" s="13">
        <f>VLOOKUP(B54,[1]Kundenübersicht!$E$4:$AC$1003,MATCH(L$3,[1]Kundenübersicht!$E$3:$BA$3,FALSE),FALSE)</f>
        <v>107299005</v>
      </c>
      <c r="M54" s="13" t="str">
        <f>VLOOKUP(B54,[1]Kundenübersicht!$E$4:$AC$1003,MATCH(M$3,[1]Kundenübersicht!$E$3:$BA$3,FALSE),FALSE)</f>
        <v>P722909118</v>
      </c>
      <c r="N54" s="13" t="str">
        <f>VLOOKUP(B54,[1]Kundenübersicht!$E$4:$AC$1003,MATCH(N$3,[1]Kundenübersicht!$E$3:$BA$3,FALSE),FALSE)</f>
        <v>PG 3</v>
      </c>
      <c r="P54" s="20" t="s">
        <v>29</v>
      </c>
      <c r="R54" s="9" t="s">
        <v>30</v>
      </c>
      <c r="S54" s="14" t="s">
        <v>31</v>
      </c>
      <c r="U54" s="15">
        <f>IF(YEAR(C54)&lt;=2025,IFERROR(IF(I54="Hauswirtschaft",VLOOKUP($B54,[1]Kundenübersicht!$E$4:$BA$1003,MATCH("Hauswirtschaft [€/Stunde]",[1]Kundenübersicht!$E$3:$BA$3,FALSE),FALSE),VLOOKUP($B54,[1]Kundenübersicht!$E$4:$BA$1003,MATCH("Alltagsbegleitung [€/Stunde]",[1]Kundenübersicht!$E$3:$BA$3,FALSE),FALSE)),0),IFERROR(IF(I54="Hauswirtschaft",VLOOKUP($B54,[1]Kundenübersicht!$E$4:$BA$1003,MATCH("HW ab 2026 [€/Stunde]",[1]Kundenübersicht!$E$3:$BA$3,FALSE),FALSE),VLOOKUP($B54,[1]Kundenübersicht!$E$4:$BA$1003,MATCH("Alltagsbegleitung [€/Stunde]",[1]Kundenübersicht!$E$3:$BA$3,FALSE),FALSE)),0))</f>
        <v>32.75</v>
      </c>
      <c r="V54" s="16">
        <f t="shared" si="5"/>
        <v>32.749999999999972</v>
      </c>
      <c r="W54" s="16">
        <f t="shared" si="0"/>
        <v>0</v>
      </c>
      <c r="X54" s="16" t="str">
        <f>VLOOKUP(B54,[1]Kundenübersicht!E:AG,MATCH($X$3,[1]Kundenübersicht!$E$3:$AY$3,0),FALSE)</f>
        <v>Alt</v>
      </c>
      <c r="Z54" s="9" t="s">
        <v>29</v>
      </c>
      <c r="AA54" s="19">
        <v>45950</v>
      </c>
      <c r="AC54" s="19">
        <v>45975</v>
      </c>
      <c r="AE54" s="9">
        <f t="shared" si="6"/>
        <v>2025</v>
      </c>
      <c r="AF54" s="17" t="str">
        <f t="shared" si="7"/>
        <v>07.2025</v>
      </c>
      <c r="AG54" s="17" t="str">
        <f t="shared" si="8"/>
        <v>Christiane Fiebag</v>
      </c>
      <c r="AH54" s="17" t="str">
        <f>IFERROR(VLOOKUP(B54,[1]Kundenübersicht!$E$4:$F$85,2,FALSE),"")</f>
        <v>Elke Berghold</v>
      </c>
      <c r="AI54" s="17" t="str">
        <f t="shared" si="10"/>
        <v>Hauswirtschaft</v>
      </c>
      <c r="AJ54" s="17" t="str">
        <f t="shared" si="10"/>
        <v>Entlastungsleistung</v>
      </c>
      <c r="AL54" s="18">
        <f t="shared" si="1"/>
        <v>38</v>
      </c>
      <c r="AM54" s="18">
        <f t="shared" si="2"/>
        <v>37.999999999999964</v>
      </c>
      <c r="AN54" s="18">
        <f t="shared" si="3"/>
        <v>0</v>
      </c>
    </row>
    <row r="55" spans="2:40" x14ac:dyDescent="0.25">
      <c r="B55" s="21" t="s">
        <v>39</v>
      </c>
      <c r="C55" s="19">
        <v>45867</v>
      </c>
      <c r="D55" s="11">
        <v>0.63541666666666663</v>
      </c>
      <c r="E55" s="11">
        <v>0.67708333333333337</v>
      </c>
      <c r="F55" s="12">
        <f t="shared" si="4"/>
        <v>1.0000000000000018</v>
      </c>
      <c r="G55" s="12"/>
      <c r="H55" s="20" t="s">
        <v>40</v>
      </c>
      <c r="I55" s="9" t="s">
        <v>41</v>
      </c>
      <c r="J55" s="9" t="s">
        <v>28</v>
      </c>
      <c r="K55" s="9" t="str">
        <f>VLOOKUP($B55,[1]Kundenübersicht!$E$4:$AC$1003,MATCH(K$3,[1]Kundenübersicht!$E$3:$BA$3,FALSE),FALSE)</f>
        <v>AOK PLUS</v>
      </c>
      <c r="L55" s="13">
        <f>VLOOKUP(B55,[1]Kundenübersicht!$E$4:$AC$1003,MATCH(L$3,[1]Kundenübersicht!$E$3:$BA$3,FALSE),FALSE)</f>
        <v>107299005</v>
      </c>
      <c r="M55" s="13" t="str">
        <f>VLOOKUP(B55,[1]Kundenübersicht!$E$4:$AC$1003,MATCH(M$3,[1]Kundenübersicht!$E$3:$BA$3,FALSE),FALSE)</f>
        <v>Q445657677</v>
      </c>
      <c r="N55" s="13" t="str">
        <f>VLOOKUP(B55,[1]Kundenübersicht!$E$4:$AC$1003,MATCH(N$3,[1]Kundenübersicht!$E$3:$BA$3,FALSE),FALSE)</f>
        <v>PG 2</v>
      </c>
      <c r="P55" s="9" t="s">
        <v>29</v>
      </c>
      <c r="R55" s="9" t="s">
        <v>30</v>
      </c>
      <c r="S55" s="14" t="s">
        <v>31</v>
      </c>
      <c r="U55" s="15">
        <f>IF(YEAR(C55)&lt;=2025,IFERROR(IF(I55="Hauswirtschaft",VLOOKUP($B55,[1]Kundenübersicht!$E$4:$BA$1003,MATCH("Hauswirtschaft [€/Stunde]",[1]Kundenübersicht!$E$3:$BA$3,FALSE),FALSE),VLOOKUP($B55,[1]Kundenübersicht!$E$4:$BA$1003,MATCH("Alltagsbegleitung [€/Stunde]",[1]Kundenübersicht!$E$3:$BA$3,FALSE),FALSE)),0),IFERROR(IF(I55="Hauswirtschaft",VLOOKUP($B55,[1]Kundenübersicht!$E$4:$BA$1003,MATCH("HW ab 2026 [€/Stunde]",[1]Kundenübersicht!$E$3:$BA$3,FALSE),FALSE),VLOOKUP($B55,[1]Kundenübersicht!$E$4:$BA$1003,MATCH("Alltagsbegleitung [€/Stunde]",[1]Kundenübersicht!$E$3:$BA$3,FALSE),FALSE)),0))</f>
        <v>42</v>
      </c>
      <c r="V55" s="16">
        <f t="shared" si="5"/>
        <v>42.000000000000071</v>
      </c>
      <c r="W55" s="16">
        <f t="shared" si="0"/>
        <v>0</v>
      </c>
      <c r="X55" s="16" t="str">
        <f>VLOOKUP(B55,[1]Kundenübersicht!E:AG,MATCH($X$3,[1]Kundenübersicht!$E$3:$AY$3,0),FALSE)</f>
        <v>Alt</v>
      </c>
      <c r="Z55" s="9" t="s">
        <v>29</v>
      </c>
      <c r="AA55" s="19"/>
      <c r="AC55" s="19">
        <v>45917</v>
      </c>
      <c r="AE55" s="9">
        <f t="shared" si="6"/>
        <v>2025</v>
      </c>
      <c r="AF55" s="17" t="str">
        <f t="shared" si="7"/>
        <v>07.2025</v>
      </c>
      <c r="AG55" s="17" t="str">
        <f t="shared" si="8"/>
        <v>Franziska Wächtler</v>
      </c>
      <c r="AH55" s="17" t="str">
        <f>IFERROR(VLOOKUP(B55,[1]Kundenübersicht!$E$4:$F$85,2,FALSE),"")</f>
        <v>Helga Dienelt</v>
      </c>
      <c r="AI55" s="17" t="str">
        <f t="shared" si="10"/>
        <v>Alltagsbegleitung</v>
      </c>
      <c r="AJ55" s="17" t="str">
        <f t="shared" si="10"/>
        <v>Entlastungsleistung</v>
      </c>
      <c r="AL55" s="18">
        <f t="shared" si="1"/>
        <v>42</v>
      </c>
      <c r="AM55" s="18">
        <f t="shared" si="2"/>
        <v>42.000000000000071</v>
      </c>
      <c r="AN55" s="18">
        <f t="shared" si="3"/>
        <v>0</v>
      </c>
    </row>
    <row r="56" spans="2:40" x14ac:dyDescent="0.25">
      <c r="B56" s="9" t="s">
        <v>45</v>
      </c>
      <c r="C56" s="19">
        <v>45869</v>
      </c>
      <c r="D56" s="11">
        <v>0.66666666666666663</v>
      </c>
      <c r="E56" s="11">
        <v>0.72916666666666663</v>
      </c>
      <c r="F56" s="12">
        <f t="shared" si="4"/>
        <v>1.5</v>
      </c>
      <c r="G56" s="12"/>
      <c r="H56" s="20" t="s">
        <v>46</v>
      </c>
      <c r="I56" s="9" t="s">
        <v>27</v>
      </c>
      <c r="J56" s="9" t="s">
        <v>28</v>
      </c>
      <c r="K56" s="28" t="s">
        <v>47</v>
      </c>
      <c r="L56" s="29">
        <v>109990508</v>
      </c>
      <c r="M56" s="29" t="s">
        <v>48</v>
      </c>
      <c r="N56" s="13" t="str">
        <f>VLOOKUP(B56,[1]Kundenübersicht!$E$4:$AC$1003,MATCH(N$3,[1]Kundenübersicht!$E$3:$BA$3,FALSE),FALSE)</f>
        <v>PG 1</v>
      </c>
      <c r="P56" s="9" t="s">
        <v>29</v>
      </c>
      <c r="R56" s="9" t="s">
        <v>30</v>
      </c>
      <c r="S56" s="14" t="s">
        <v>31</v>
      </c>
      <c r="U56" s="15">
        <f>IF(YEAR(C56)&lt;=2025,IFERROR(IF(I56="Hauswirtschaft",VLOOKUP($B56,[1]Kundenübersicht!$E$4:$BA$1003,MATCH("Hauswirtschaft [€/Stunde]",[1]Kundenübersicht!$E$3:$BA$3,FALSE),FALSE),VLOOKUP($B56,[1]Kundenübersicht!$E$4:$BA$1003,MATCH("Alltagsbegleitung [€/Stunde]",[1]Kundenübersicht!$E$3:$BA$3,FALSE),FALSE)),0),IFERROR(IF(I56="Hauswirtschaft",VLOOKUP($B56,[1]Kundenübersicht!$E$4:$BA$1003,MATCH("HW ab 2026 [€/Stunde]",[1]Kundenübersicht!$E$3:$BA$3,FALSE),FALSE),VLOOKUP($B56,[1]Kundenübersicht!$E$4:$BA$1003,MATCH("Alltagsbegleitung [€/Stunde]",[1]Kundenübersicht!$E$3:$BA$3,FALSE),FALSE)),0))</f>
        <v>32.75</v>
      </c>
      <c r="V56" s="16">
        <f t="shared" si="5"/>
        <v>49.125</v>
      </c>
      <c r="W56" s="16">
        <f t="shared" si="0"/>
        <v>0</v>
      </c>
      <c r="X56" s="16" t="str">
        <f>VLOOKUP(B56,[1]Kundenübersicht!E:AG,MATCH($X$3,[1]Kundenübersicht!$E$3:$AY$3,0),FALSE)</f>
        <v>Alt</v>
      </c>
      <c r="Z56" s="20" t="s">
        <v>29</v>
      </c>
      <c r="AA56" s="19"/>
      <c r="AC56" s="19">
        <v>45924</v>
      </c>
      <c r="AE56" s="9">
        <f t="shared" si="6"/>
        <v>2025</v>
      </c>
      <c r="AF56" s="17" t="str">
        <f t="shared" si="7"/>
        <v>07.2025</v>
      </c>
      <c r="AG56" s="17" t="str">
        <f t="shared" si="8"/>
        <v>Manuela Richter</v>
      </c>
      <c r="AH56" s="17" t="str">
        <f>IFERROR(VLOOKUP(B56,[1]Kundenübersicht!$E$4:$F$85,2,FALSE),"")</f>
        <v>Hella Reißig</v>
      </c>
      <c r="AI56" s="17" t="str">
        <f t="shared" si="10"/>
        <v>Hauswirtschaft</v>
      </c>
      <c r="AJ56" s="17" t="str">
        <f t="shared" si="10"/>
        <v>Entlastungsleistung</v>
      </c>
      <c r="AL56" s="18">
        <f t="shared" si="1"/>
        <v>38</v>
      </c>
      <c r="AM56" s="18">
        <f t="shared" si="2"/>
        <v>57</v>
      </c>
      <c r="AN56" s="18">
        <f t="shared" si="3"/>
        <v>0</v>
      </c>
    </row>
    <row r="57" spans="2:40" x14ac:dyDescent="0.25">
      <c r="B57" s="20" t="s">
        <v>25</v>
      </c>
      <c r="C57" s="19">
        <v>45869</v>
      </c>
      <c r="D57" s="11">
        <v>0.41666666666666669</v>
      </c>
      <c r="E57" s="11">
        <v>0.5</v>
      </c>
      <c r="F57" s="12">
        <f t="shared" si="4"/>
        <v>1.9999999999999996</v>
      </c>
      <c r="G57" s="12"/>
      <c r="H57" s="20" t="s">
        <v>26</v>
      </c>
      <c r="I57" s="9" t="s">
        <v>27</v>
      </c>
      <c r="J57" s="9" t="s">
        <v>28</v>
      </c>
      <c r="K57" s="9" t="str">
        <f>VLOOKUP($B57,[1]Kundenübersicht!$E$4:$AC$1003,MATCH(K$3,[1]Kundenübersicht!$E$3:$BA$3,FALSE),FALSE)</f>
        <v>Barmer Pflegekasse</v>
      </c>
      <c r="L57" s="13">
        <f>VLOOKUP(B57,[1]Kundenübersicht!$E$4:$AC$1003,MATCH(L$3,[1]Kundenübersicht!$E$3:$BA$3,FALSE),FALSE)</f>
        <v>184940005</v>
      </c>
      <c r="M57" s="13" t="str">
        <f>VLOOKUP(B57,[1]Kundenübersicht!$E$4:$AC$1003,MATCH(M$3,[1]Kundenübersicht!$E$3:$BA$3,FALSE),FALSE)</f>
        <v>Z817157321</v>
      </c>
      <c r="N57" s="13" t="str">
        <f>VLOOKUP(B57,[1]Kundenübersicht!$E$4:$AC$1003,MATCH(N$3,[1]Kundenübersicht!$E$3:$BA$3,FALSE),FALSE)</f>
        <v>PG 1</v>
      </c>
      <c r="P57" s="20" t="s">
        <v>29</v>
      </c>
      <c r="R57" s="9" t="s">
        <v>30</v>
      </c>
      <c r="S57" s="14" t="s">
        <v>31</v>
      </c>
      <c r="U57" s="15">
        <f>IF(YEAR(C57)&lt;=2025,IFERROR(IF(I57="Hauswirtschaft",VLOOKUP($B57,[1]Kundenübersicht!$E$4:$BA$1003,MATCH("Hauswirtschaft [€/Stunde]",[1]Kundenübersicht!$E$3:$BA$3,FALSE),FALSE),VLOOKUP($B57,[1]Kundenübersicht!$E$4:$BA$1003,MATCH("Alltagsbegleitung [€/Stunde]",[1]Kundenübersicht!$E$3:$BA$3,FALSE),FALSE)),0),IFERROR(IF(I57="Hauswirtschaft",VLOOKUP($B57,[1]Kundenübersicht!$E$4:$BA$1003,MATCH("HW ab 2026 [€/Stunde]",[1]Kundenübersicht!$E$3:$BA$3,FALSE),FALSE),VLOOKUP($B57,[1]Kundenübersicht!$E$4:$BA$1003,MATCH("Alltagsbegleitung [€/Stunde]",[1]Kundenübersicht!$E$3:$BA$3,FALSE),FALSE)),0))</f>
        <v>32.75</v>
      </c>
      <c r="V57" s="16">
        <f t="shared" si="5"/>
        <v>65.499999999999986</v>
      </c>
      <c r="W57" s="16">
        <f t="shared" si="0"/>
        <v>0</v>
      </c>
      <c r="X57" s="16" t="str">
        <f>VLOOKUP(B57,[1]Kundenübersicht!E:AG,MATCH($X$3,[1]Kundenübersicht!$E$3:$AY$3,0),FALSE)</f>
        <v>Alt</v>
      </c>
      <c r="Z57" s="9" t="s">
        <v>29</v>
      </c>
      <c r="AA57" s="10">
        <v>45959</v>
      </c>
      <c r="AC57" s="19"/>
      <c r="AE57" s="9">
        <f t="shared" si="6"/>
        <v>2025</v>
      </c>
      <c r="AF57" s="17" t="str">
        <f t="shared" si="7"/>
        <v>07.2025</v>
      </c>
      <c r="AG57" s="17" t="str">
        <f t="shared" si="8"/>
        <v>Celina Panther</v>
      </c>
      <c r="AH57" s="17" t="str">
        <f>IFERROR(VLOOKUP(B57,[1]Kundenübersicht!$E$4:$F$85,2,FALSE),"")</f>
        <v>Rosemarie Schröder</v>
      </c>
      <c r="AI57" s="17" t="str">
        <f t="shared" si="10"/>
        <v>Hauswirtschaft</v>
      </c>
      <c r="AJ57" s="17" t="str">
        <f t="shared" si="10"/>
        <v>Entlastungsleistung</v>
      </c>
      <c r="AL57" s="18">
        <f t="shared" si="1"/>
        <v>38</v>
      </c>
      <c r="AM57" s="18">
        <f t="shared" si="2"/>
        <v>75.999999999999986</v>
      </c>
      <c r="AN57" s="18">
        <f t="shared" si="3"/>
        <v>0</v>
      </c>
    </row>
    <row r="58" spans="2:40" x14ac:dyDescent="0.25">
      <c r="B58" s="30" t="s">
        <v>35</v>
      </c>
      <c r="C58" s="31">
        <v>45873</v>
      </c>
      <c r="D58" s="32">
        <v>0.5</v>
      </c>
      <c r="E58" s="32">
        <v>0.54166666666666663</v>
      </c>
      <c r="F58" s="12">
        <f t="shared" si="4"/>
        <v>0.99999999999999911</v>
      </c>
      <c r="G58" s="12"/>
      <c r="H58" s="30" t="s">
        <v>33</v>
      </c>
      <c r="I58" s="30" t="s">
        <v>27</v>
      </c>
      <c r="J58" s="30" t="s">
        <v>28</v>
      </c>
      <c r="K58" s="9" t="str">
        <f>VLOOKUP($B58,[1]Kundenübersicht!$E$4:$AC$1003,MATCH(K$3,[1]Kundenübersicht!$E$3:$BA$3,FALSE),FALSE)</f>
        <v>AOK PLUS</v>
      </c>
      <c r="L58" s="13">
        <f>VLOOKUP(B58,[1]Kundenübersicht!$E$4:$AC$1003,MATCH(L$3,[1]Kundenübersicht!$E$3:$BA$3,FALSE),FALSE)</f>
        <v>107299005</v>
      </c>
      <c r="M58" s="13" t="str">
        <f>VLOOKUP(B58,[1]Kundenübersicht!$E$4:$AC$1003,MATCH(M$3,[1]Kundenübersicht!$E$3:$BA$3,FALSE),FALSE)</f>
        <v>P722909118</v>
      </c>
      <c r="N58" s="13" t="str">
        <f>VLOOKUP(B58,[1]Kundenübersicht!$E$4:$AC$1003,MATCH(N$3,[1]Kundenübersicht!$E$3:$BA$3,FALSE),FALSE)</f>
        <v>PG 3</v>
      </c>
      <c r="P58" s="9" t="s">
        <v>29</v>
      </c>
      <c r="R58" s="9" t="s">
        <v>30</v>
      </c>
      <c r="S58" s="14" t="s">
        <v>31</v>
      </c>
      <c r="U58" s="15">
        <f>IF(YEAR(C58)&lt;=2025,IFERROR(IF(I58="Hauswirtschaft",VLOOKUP($B58,[1]Kundenübersicht!$E$4:$BA$1003,MATCH("Hauswirtschaft [€/Stunde]",[1]Kundenübersicht!$E$3:$BA$3,FALSE),FALSE),VLOOKUP($B58,[1]Kundenübersicht!$E$4:$BA$1003,MATCH("Alltagsbegleitung [€/Stunde]",[1]Kundenübersicht!$E$3:$BA$3,FALSE),FALSE)),0),IFERROR(IF(I58="Hauswirtschaft",VLOOKUP($B58,[1]Kundenübersicht!$E$4:$BA$1003,MATCH("HW ab 2026 [€/Stunde]",[1]Kundenübersicht!$E$3:$BA$3,FALSE),FALSE),VLOOKUP($B58,[1]Kundenübersicht!$E$4:$BA$1003,MATCH("Alltagsbegleitung [€/Stunde]",[1]Kundenübersicht!$E$3:$BA$3,FALSE),FALSE)),0))</f>
        <v>32.75</v>
      </c>
      <c r="V58" s="16">
        <f t="shared" si="5"/>
        <v>32.749999999999972</v>
      </c>
      <c r="W58" s="16">
        <f t="shared" si="0"/>
        <v>0</v>
      </c>
      <c r="X58" s="16" t="str">
        <f>VLOOKUP(B58,[1]Kundenübersicht!E:AG,MATCH($X$3,[1]Kundenübersicht!$E$3:$AY$3,0),FALSE)</f>
        <v>Alt</v>
      </c>
      <c r="Z58" s="9" t="s">
        <v>29</v>
      </c>
      <c r="AA58" s="10">
        <v>45922</v>
      </c>
      <c r="AC58" s="10">
        <v>46035</v>
      </c>
      <c r="AE58" s="9">
        <f t="shared" si="6"/>
        <v>2025</v>
      </c>
      <c r="AF58" s="17" t="str">
        <f t="shared" si="7"/>
        <v>08.2025</v>
      </c>
      <c r="AG58" s="17" t="str">
        <f t="shared" si="8"/>
        <v>Christiane Fiebag</v>
      </c>
      <c r="AH58" s="17" t="str">
        <f>IFERROR(VLOOKUP(B58,[1]Kundenübersicht!$E$4:$F$85,2,FALSE),"")</f>
        <v>Elke Berghold</v>
      </c>
      <c r="AI58" s="17" t="str">
        <f t="shared" ref="AI58:AJ81" si="11">IF(I58="","",I58)</f>
        <v>Hauswirtschaft</v>
      </c>
      <c r="AJ58" s="17" t="str">
        <f t="shared" si="11"/>
        <v>Entlastungsleistung</v>
      </c>
      <c r="AL58" s="18">
        <f t="shared" si="1"/>
        <v>38</v>
      </c>
      <c r="AM58" s="18">
        <f t="shared" si="2"/>
        <v>37.999999999999964</v>
      </c>
      <c r="AN58" s="18">
        <f t="shared" si="3"/>
        <v>0</v>
      </c>
    </row>
    <row r="59" spans="2:40" x14ac:dyDescent="0.25">
      <c r="B59" s="30" t="s">
        <v>35</v>
      </c>
      <c r="C59" s="31">
        <v>45880</v>
      </c>
      <c r="D59" s="32">
        <v>0.5</v>
      </c>
      <c r="E59" s="32">
        <v>0.54166666666666663</v>
      </c>
      <c r="F59" s="12">
        <f t="shared" si="4"/>
        <v>0.99999999999999911</v>
      </c>
      <c r="G59" s="12"/>
      <c r="H59" s="30" t="s">
        <v>33</v>
      </c>
      <c r="I59" s="30" t="s">
        <v>27</v>
      </c>
      <c r="J59" s="30" t="s">
        <v>28</v>
      </c>
      <c r="K59" s="9" t="str">
        <f>VLOOKUP($B59,[1]Kundenübersicht!$E$4:$AC$1003,MATCH(K$3,[1]Kundenübersicht!$E$3:$BA$3,FALSE),FALSE)</f>
        <v>AOK PLUS</v>
      </c>
      <c r="L59" s="13">
        <f>VLOOKUP(B59,[1]Kundenübersicht!$E$4:$AC$1003,MATCH(L$3,[1]Kundenübersicht!$E$3:$BA$3,FALSE),FALSE)</f>
        <v>107299005</v>
      </c>
      <c r="M59" s="13" t="str">
        <f>VLOOKUP(B59,[1]Kundenübersicht!$E$4:$AC$1003,MATCH(M$3,[1]Kundenübersicht!$E$3:$BA$3,FALSE),FALSE)</f>
        <v>P722909118</v>
      </c>
      <c r="N59" s="13" t="str">
        <f>VLOOKUP(B59,[1]Kundenübersicht!$E$4:$AC$1003,MATCH(N$3,[1]Kundenübersicht!$E$3:$BA$3,FALSE),FALSE)</f>
        <v>PG 3</v>
      </c>
      <c r="P59" s="9" t="s">
        <v>29</v>
      </c>
      <c r="R59" s="9" t="s">
        <v>30</v>
      </c>
      <c r="S59" s="14" t="s">
        <v>31</v>
      </c>
      <c r="U59" s="15">
        <f>IF(YEAR(C59)&lt;=2025,IFERROR(IF(I59="Hauswirtschaft",VLOOKUP($B59,[1]Kundenübersicht!$E$4:$BA$1003,MATCH("Hauswirtschaft [€/Stunde]",[1]Kundenübersicht!$E$3:$BA$3,FALSE),FALSE),VLOOKUP($B59,[1]Kundenübersicht!$E$4:$BA$1003,MATCH("Alltagsbegleitung [€/Stunde]",[1]Kundenübersicht!$E$3:$BA$3,FALSE),FALSE)),0),IFERROR(IF(I59="Hauswirtschaft",VLOOKUP($B59,[1]Kundenübersicht!$E$4:$BA$1003,MATCH("HW ab 2026 [€/Stunde]",[1]Kundenübersicht!$E$3:$BA$3,FALSE),FALSE),VLOOKUP($B59,[1]Kundenübersicht!$E$4:$BA$1003,MATCH("Alltagsbegleitung [€/Stunde]",[1]Kundenübersicht!$E$3:$BA$3,FALSE),FALSE)),0))</f>
        <v>32.75</v>
      </c>
      <c r="V59" s="16">
        <f t="shared" si="5"/>
        <v>32.749999999999972</v>
      </c>
      <c r="W59" s="16">
        <f t="shared" si="0"/>
        <v>0</v>
      </c>
      <c r="X59" s="16" t="str">
        <f>VLOOKUP(B59,[1]Kundenübersicht!E:AG,MATCH($X$3,[1]Kundenübersicht!$E$3:$AY$3,0),FALSE)</f>
        <v>Alt</v>
      </c>
      <c r="Z59" s="20" t="s">
        <v>29</v>
      </c>
      <c r="AA59" s="10">
        <v>45922</v>
      </c>
      <c r="AC59" s="10">
        <v>46035</v>
      </c>
      <c r="AE59" s="9">
        <f t="shared" si="6"/>
        <v>2025</v>
      </c>
      <c r="AF59" s="17" t="str">
        <f t="shared" si="7"/>
        <v>08.2025</v>
      </c>
      <c r="AG59" s="17" t="str">
        <f t="shared" si="8"/>
        <v>Christiane Fiebag</v>
      </c>
      <c r="AH59" s="17" t="str">
        <f>IFERROR(VLOOKUP(B59,[1]Kundenübersicht!$E$4:$F$85,2,FALSE),"")</f>
        <v>Elke Berghold</v>
      </c>
      <c r="AI59" s="17" t="str">
        <f t="shared" si="11"/>
        <v>Hauswirtschaft</v>
      </c>
      <c r="AJ59" s="17" t="str">
        <f t="shared" si="11"/>
        <v>Entlastungsleistung</v>
      </c>
      <c r="AL59" s="18">
        <f t="shared" si="1"/>
        <v>38</v>
      </c>
      <c r="AM59" s="18">
        <f t="shared" si="2"/>
        <v>37.999999999999964</v>
      </c>
      <c r="AN59" s="18">
        <f t="shared" si="3"/>
        <v>0</v>
      </c>
    </row>
    <row r="60" spans="2:40" x14ac:dyDescent="0.25">
      <c r="B60" s="30" t="s">
        <v>52</v>
      </c>
      <c r="C60" s="31">
        <v>45874</v>
      </c>
      <c r="D60" s="32">
        <v>0.41666666666666669</v>
      </c>
      <c r="E60" s="32">
        <v>0.5</v>
      </c>
      <c r="F60" s="12">
        <f t="shared" si="4"/>
        <v>1.9999999999999996</v>
      </c>
      <c r="G60" s="12"/>
      <c r="H60" s="30" t="s">
        <v>55</v>
      </c>
      <c r="I60" s="30" t="s">
        <v>27</v>
      </c>
      <c r="J60" s="30" t="s">
        <v>28</v>
      </c>
      <c r="K60" s="9" t="str">
        <f>VLOOKUP($B60,[1]Kundenübersicht!$E$4:$AC$1003,MATCH(K$3,[1]Kundenübersicht!$E$3:$BA$3,FALSE),FALSE)</f>
        <v>AOK PLUS</v>
      </c>
      <c r="L60" s="13">
        <f>VLOOKUP(B60,[1]Kundenübersicht!$E$4:$AC$1003,MATCH(L$3,[1]Kundenübersicht!$E$3:$BA$3,FALSE),FALSE)</f>
        <v>107299005</v>
      </c>
      <c r="M60" s="13" t="str">
        <f>VLOOKUP(B60,[1]Kundenübersicht!$E$4:$AC$1003,MATCH(M$3,[1]Kundenübersicht!$E$3:$BA$3,FALSE),FALSE)</f>
        <v>G562042888</v>
      </c>
      <c r="N60" s="13" t="str">
        <f>VLOOKUP(B60,[1]Kundenübersicht!$E$4:$AC$1003,MATCH(N$3,[1]Kundenübersicht!$E$3:$BA$3,FALSE),FALSE)</f>
        <v>PG 2</v>
      </c>
      <c r="P60" s="9" t="s">
        <v>29</v>
      </c>
      <c r="R60" s="9" t="s">
        <v>30</v>
      </c>
      <c r="S60" s="14" t="s">
        <v>31</v>
      </c>
      <c r="U60" s="15">
        <f>IF(YEAR(C60)&lt;=2025,IFERROR(IF(I60="Hauswirtschaft",VLOOKUP($B60,[1]Kundenübersicht!$E$4:$BA$1003,MATCH("Hauswirtschaft [€/Stunde]",[1]Kundenübersicht!$E$3:$BA$3,FALSE),FALSE),VLOOKUP($B60,[1]Kundenübersicht!$E$4:$BA$1003,MATCH("Alltagsbegleitung [€/Stunde]",[1]Kundenübersicht!$E$3:$BA$3,FALSE),FALSE)),0),IFERROR(IF(I60="Hauswirtschaft",VLOOKUP($B60,[1]Kundenübersicht!$E$4:$BA$1003,MATCH("HW ab 2026 [€/Stunde]",[1]Kundenübersicht!$E$3:$BA$3,FALSE),FALSE),VLOOKUP($B60,[1]Kundenübersicht!$E$4:$BA$1003,MATCH("Alltagsbegleitung [€/Stunde]",[1]Kundenübersicht!$E$3:$BA$3,FALSE),FALSE)),0))</f>
        <v>32.75</v>
      </c>
      <c r="V60" s="16">
        <f t="shared" si="5"/>
        <v>65.499999999999986</v>
      </c>
      <c r="W60" s="16">
        <f t="shared" si="0"/>
        <v>0</v>
      </c>
      <c r="X60" s="16" t="str">
        <f>VLOOKUP(B60,[1]Kundenübersicht!E:AG,MATCH($X$3,[1]Kundenübersicht!$E$3:$AY$3,0),FALSE)</f>
        <v>Alt</v>
      </c>
      <c r="Z60" s="20" t="s">
        <v>29</v>
      </c>
      <c r="AA60" s="19">
        <v>45922</v>
      </c>
      <c r="AC60" s="10">
        <v>46035</v>
      </c>
      <c r="AE60" s="9">
        <f t="shared" si="6"/>
        <v>2025</v>
      </c>
      <c r="AF60" s="17" t="str">
        <f t="shared" si="7"/>
        <v>08.2025</v>
      </c>
      <c r="AG60" s="17" t="str">
        <f t="shared" si="8"/>
        <v>Doreen Luzyna</v>
      </c>
      <c r="AH60" s="17" t="str">
        <f>IFERROR(VLOOKUP(B60,[1]Kundenübersicht!$E$4:$F$85,2,FALSE),"")</f>
        <v>Matthias Roß</v>
      </c>
      <c r="AI60" s="17" t="str">
        <f t="shared" si="11"/>
        <v>Hauswirtschaft</v>
      </c>
      <c r="AJ60" s="17" t="str">
        <f t="shared" si="11"/>
        <v>Entlastungsleistung</v>
      </c>
      <c r="AL60" s="18">
        <f t="shared" si="1"/>
        <v>38</v>
      </c>
      <c r="AM60" s="18">
        <f t="shared" si="2"/>
        <v>75.999999999999986</v>
      </c>
      <c r="AN60" s="18">
        <f t="shared" si="3"/>
        <v>0</v>
      </c>
    </row>
    <row r="61" spans="2:40" x14ac:dyDescent="0.25">
      <c r="B61" s="30" t="s">
        <v>39</v>
      </c>
      <c r="C61" s="31">
        <v>45874</v>
      </c>
      <c r="D61" s="32">
        <v>0.70833333333333337</v>
      </c>
      <c r="E61" s="32">
        <v>0.75</v>
      </c>
      <c r="F61" s="12">
        <f t="shared" si="4"/>
        <v>0.99999999999999911</v>
      </c>
      <c r="G61" s="12"/>
      <c r="H61" s="30" t="s">
        <v>40</v>
      </c>
      <c r="I61" s="30" t="s">
        <v>41</v>
      </c>
      <c r="J61" s="30" t="s">
        <v>28</v>
      </c>
      <c r="K61" s="9" t="str">
        <f>VLOOKUP($B61,[1]Kundenübersicht!$E$4:$AC$1003,MATCH(K$3,[1]Kundenübersicht!$E$3:$BA$3,FALSE),FALSE)</f>
        <v>AOK PLUS</v>
      </c>
      <c r="L61" s="13">
        <f>VLOOKUP(B61,[1]Kundenübersicht!$E$4:$AC$1003,MATCH(L$3,[1]Kundenübersicht!$E$3:$BA$3,FALSE),FALSE)</f>
        <v>107299005</v>
      </c>
      <c r="M61" s="13" t="str">
        <f>VLOOKUP(B61,[1]Kundenübersicht!$E$4:$AC$1003,MATCH(M$3,[1]Kundenübersicht!$E$3:$BA$3,FALSE),FALSE)</f>
        <v>Q445657677</v>
      </c>
      <c r="N61" s="13" t="str">
        <f>VLOOKUP(B61,[1]Kundenübersicht!$E$4:$AC$1003,MATCH(N$3,[1]Kundenübersicht!$E$3:$BA$3,FALSE),FALSE)</f>
        <v>PG 2</v>
      </c>
      <c r="P61" s="9" t="s">
        <v>29</v>
      </c>
      <c r="R61" s="9" t="s">
        <v>30</v>
      </c>
      <c r="S61" s="14" t="s">
        <v>31</v>
      </c>
      <c r="U61" s="15">
        <f>IF(YEAR(C61)&lt;=2025,IFERROR(IF(I61="Hauswirtschaft",VLOOKUP($B61,[1]Kundenübersicht!$E$4:$BA$1003,MATCH("Hauswirtschaft [€/Stunde]",[1]Kundenübersicht!$E$3:$BA$3,FALSE),FALSE),VLOOKUP($B61,[1]Kundenübersicht!$E$4:$BA$1003,MATCH("Alltagsbegleitung [€/Stunde]",[1]Kundenübersicht!$E$3:$BA$3,FALSE),FALSE)),0),IFERROR(IF(I61="Hauswirtschaft",VLOOKUP($B61,[1]Kundenübersicht!$E$4:$BA$1003,MATCH("HW ab 2026 [€/Stunde]",[1]Kundenübersicht!$E$3:$BA$3,FALSE),FALSE),VLOOKUP($B61,[1]Kundenübersicht!$E$4:$BA$1003,MATCH("Alltagsbegleitung [€/Stunde]",[1]Kundenübersicht!$E$3:$BA$3,FALSE),FALSE)),0))</f>
        <v>42</v>
      </c>
      <c r="V61" s="16">
        <f t="shared" si="5"/>
        <v>41.999999999999964</v>
      </c>
      <c r="W61" s="16">
        <f t="shared" si="0"/>
        <v>0</v>
      </c>
      <c r="X61" s="16" t="str">
        <f>VLOOKUP(B61,[1]Kundenübersicht!E:AG,MATCH($X$3,[1]Kundenübersicht!$E$3:$AY$3,0),FALSE)</f>
        <v>Alt</v>
      </c>
      <c r="Z61" s="20" t="s">
        <v>29</v>
      </c>
      <c r="AA61" s="19">
        <v>45922</v>
      </c>
      <c r="AC61" s="10">
        <v>46035</v>
      </c>
      <c r="AE61" s="9">
        <f t="shared" si="6"/>
        <v>2025</v>
      </c>
      <c r="AF61" s="17" t="str">
        <f t="shared" si="7"/>
        <v>08.2025</v>
      </c>
      <c r="AG61" s="17" t="str">
        <f t="shared" si="8"/>
        <v>Franziska Wächtler</v>
      </c>
      <c r="AH61" s="17" t="str">
        <f>IFERROR(VLOOKUP(B61,[1]Kundenübersicht!$E$4:$F$85,2,FALSE),"")</f>
        <v>Helga Dienelt</v>
      </c>
      <c r="AI61" s="17" t="str">
        <f t="shared" si="11"/>
        <v>Alltagsbegleitung</v>
      </c>
      <c r="AJ61" s="17" t="str">
        <f t="shared" si="11"/>
        <v>Entlastungsleistung</v>
      </c>
      <c r="AL61" s="18">
        <f t="shared" si="1"/>
        <v>42</v>
      </c>
      <c r="AM61" s="18">
        <f t="shared" si="2"/>
        <v>41.999999999999964</v>
      </c>
      <c r="AN61" s="18">
        <f t="shared" si="3"/>
        <v>0</v>
      </c>
    </row>
    <row r="62" spans="2:40" x14ac:dyDescent="0.25">
      <c r="B62" s="30" t="s">
        <v>37</v>
      </c>
      <c r="C62" s="31">
        <v>45875</v>
      </c>
      <c r="D62" s="32">
        <v>0.35416666666666669</v>
      </c>
      <c r="E62" s="32">
        <v>0.4375</v>
      </c>
      <c r="F62" s="12">
        <f t="shared" si="4"/>
        <v>1.9999999999999996</v>
      </c>
      <c r="G62" s="12"/>
      <c r="H62" s="30" t="s">
        <v>55</v>
      </c>
      <c r="I62" s="30" t="s">
        <v>27</v>
      </c>
      <c r="J62" s="30" t="s">
        <v>28</v>
      </c>
      <c r="K62" s="9" t="str">
        <f>VLOOKUP($B62,[1]Kundenübersicht!$E$4:$AC$1003,MATCH(K$3,[1]Kundenübersicht!$E$3:$BA$3,FALSE),FALSE)</f>
        <v>IKK Classic</v>
      </c>
      <c r="L62" s="13" t="str">
        <f>VLOOKUP(B62,[1]Kundenübersicht!$E$4:$AC$1003,MATCH(L$3,[1]Kundenübersicht!$E$3:$BA$3,FALSE),FALSE)</f>
        <v>187202793</v>
      </c>
      <c r="M62" s="13" t="str">
        <f>VLOOKUP(B62,[1]Kundenübersicht!$E$4:$AC$1003,MATCH(M$3,[1]Kundenübersicht!$E$3:$BA$3,FALSE),FALSE)</f>
        <v>E434900220</v>
      </c>
      <c r="N62" s="13" t="str">
        <f>VLOOKUP(B62,[1]Kundenübersicht!$E$4:$AC$1003,MATCH(N$3,[1]Kundenübersicht!$E$3:$BA$3,FALSE),FALSE)</f>
        <v>PG 1</v>
      </c>
      <c r="P62" s="9" t="s">
        <v>29</v>
      </c>
      <c r="R62" s="9" t="s">
        <v>30</v>
      </c>
      <c r="S62" s="14" t="s">
        <v>31</v>
      </c>
      <c r="U62" s="15">
        <f>IF(YEAR(C62)&lt;=2025,IFERROR(IF(I62="Hauswirtschaft",VLOOKUP($B62,[1]Kundenübersicht!$E$4:$BA$1003,MATCH("Hauswirtschaft [€/Stunde]",[1]Kundenübersicht!$E$3:$BA$3,FALSE),FALSE),VLOOKUP($B62,[1]Kundenübersicht!$E$4:$BA$1003,MATCH("Alltagsbegleitung [€/Stunde]",[1]Kundenübersicht!$E$3:$BA$3,FALSE),FALSE)),0),IFERROR(IF(I62="Hauswirtschaft",VLOOKUP($B62,[1]Kundenübersicht!$E$4:$BA$1003,MATCH("HW ab 2026 [€/Stunde]",[1]Kundenübersicht!$E$3:$BA$3,FALSE),FALSE),VLOOKUP($B62,[1]Kundenübersicht!$E$4:$BA$1003,MATCH("Alltagsbegleitung [€/Stunde]",[1]Kundenübersicht!$E$3:$BA$3,FALSE),FALSE)),0))</f>
        <v>32.75</v>
      </c>
      <c r="V62" s="16">
        <f t="shared" si="5"/>
        <v>65.499999999999986</v>
      </c>
      <c r="W62" s="16">
        <f t="shared" si="0"/>
        <v>0</v>
      </c>
      <c r="X62" s="16" t="str">
        <f>VLOOKUP(B62,[1]Kundenübersicht!E:AG,MATCH($X$3,[1]Kundenübersicht!$E$3:$AY$3,0),FALSE)</f>
        <v>Alt</v>
      </c>
      <c r="Z62" s="20" t="s">
        <v>29</v>
      </c>
      <c r="AA62" s="19">
        <v>45950</v>
      </c>
      <c r="AC62" s="19">
        <v>45967</v>
      </c>
      <c r="AE62" s="9">
        <f t="shared" si="6"/>
        <v>2025</v>
      </c>
      <c r="AF62" s="17" t="str">
        <f t="shared" si="7"/>
        <v>08.2025</v>
      </c>
      <c r="AG62" s="17" t="str">
        <f t="shared" si="8"/>
        <v>Doreen Luzyna</v>
      </c>
      <c r="AH62" s="17" t="str">
        <f>IFERROR(VLOOKUP(B62,[1]Kundenübersicht!$E$4:$F$85,2,FALSE),"")</f>
        <v>Lothar Haufe</v>
      </c>
      <c r="AI62" s="17" t="str">
        <f t="shared" si="11"/>
        <v>Hauswirtschaft</v>
      </c>
      <c r="AJ62" s="17" t="str">
        <f t="shared" si="11"/>
        <v>Entlastungsleistung</v>
      </c>
      <c r="AL62" s="18">
        <f t="shared" si="1"/>
        <v>38</v>
      </c>
      <c r="AM62" s="18">
        <f t="shared" si="2"/>
        <v>75.999999999999986</v>
      </c>
      <c r="AN62" s="18">
        <f t="shared" si="3"/>
        <v>0</v>
      </c>
    </row>
    <row r="63" spans="2:40" x14ac:dyDescent="0.25">
      <c r="B63" s="30" t="s">
        <v>36</v>
      </c>
      <c r="C63" s="31">
        <v>45875</v>
      </c>
      <c r="D63" s="32">
        <v>0.4375</v>
      </c>
      <c r="E63" s="32">
        <v>0.52083333333333337</v>
      </c>
      <c r="F63" s="12">
        <f t="shared" si="4"/>
        <v>2.0000000000000009</v>
      </c>
      <c r="G63" s="12"/>
      <c r="H63" s="30" t="s">
        <v>55</v>
      </c>
      <c r="I63" s="30" t="s">
        <v>27</v>
      </c>
      <c r="J63" s="30" t="s">
        <v>28</v>
      </c>
      <c r="K63" s="9" t="str">
        <f>VLOOKUP($B63,[1]Kundenübersicht!$E$4:$AC$1003,MATCH(K$3,[1]Kundenübersicht!$E$3:$BA$3,FALSE),FALSE)</f>
        <v>IKK Classic</v>
      </c>
      <c r="L63" s="13" t="str">
        <f>VLOOKUP(B63,[1]Kundenübersicht!$E$4:$AC$1003,MATCH(L$3,[1]Kundenübersicht!$E$3:$BA$3,FALSE),FALSE)</f>
        <v>187202793</v>
      </c>
      <c r="M63" s="13" t="str">
        <f>VLOOKUP(B63,[1]Kundenübersicht!$E$4:$AC$1003,MATCH(M$3,[1]Kundenübersicht!$E$3:$BA$3,FALSE),FALSE)</f>
        <v>X365499146</v>
      </c>
      <c r="N63" s="13" t="str">
        <f>VLOOKUP(B63,[1]Kundenübersicht!$E$4:$AC$1003,MATCH(N$3,[1]Kundenübersicht!$E$3:$BA$3,FALSE),FALSE)</f>
        <v>PG 1</v>
      </c>
      <c r="P63" s="9" t="s">
        <v>29</v>
      </c>
      <c r="R63" s="9" t="s">
        <v>30</v>
      </c>
      <c r="S63" s="14" t="s">
        <v>31</v>
      </c>
      <c r="U63" s="15">
        <f>IF(YEAR(C63)&lt;=2025,IFERROR(IF(I63="Hauswirtschaft",VLOOKUP($B63,[1]Kundenübersicht!$E$4:$BA$1003,MATCH("Hauswirtschaft [€/Stunde]",[1]Kundenübersicht!$E$3:$BA$3,FALSE),FALSE),VLOOKUP($B63,[1]Kundenübersicht!$E$4:$BA$1003,MATCH("Alltagsbegleitung [€/Stunde]",[1]Kundenübersicht!$E$3:$BA$3,FALSE),FALSE)),0),IFERROR(IF(I63="Hauswirtschaft",VLOOKUP($B63,[1]Kundenübersicht!$E$4:$BA$1003,MATCH("HW ab 2026 [€/Stunde]",[1]Kundenübersicht!$E$3:$BA$3,FALSE),FALSE),VLOOKUP($B63,[1]Kundenübersicht!$E$4:$BA$1003,MATCH("Alltagsbegleitung [€/Stunde]",[1]Kundenübersicht!$E$3:$BA$3,FALSE),FALSE)),0))</f>
        <v>32.75</v>
      </c>
      <c r="V63" s="16">
        <f t="shared" si="5"/>
        <v>65.500000000000028</v>
      </c>
      <c r="W63" s="16">
        <f t="shared" si="0"/>
        <v>0</v>
      </c>
      <c r="X63" s="16" t="str">
        <f>VLOOKUP(B63,[1]Kundenübersicht!E:AG,MATCH($X$3,[1]Kundenübersicht!$E$3:$AY$3,0),FALSE)</f>
        <v>Alt</v>
      </c>
      <c r="Z63" s="20" t="s">
        <v>29</v>
      </c>
      <c r="AA63" s="19">
        <v>45950</v>
      </c>
      <c r="AC63" s="19">
        <v>45967</v>
      </c>
      <c r="AE63" s="9">
        <f t="shared" si="6"/>
        <v>2025</v>
      </c>
      <c r="AF63" s="17" t="str">
        <f t="shared" si="7"/>
        <v>08.2025</v>
      </c>
      <c r="AG63" s="17" t="str">
        <f t="shared" si="8"/>
        <v>Doreen Luzyna</v>
      </c>
      <c r="AH63" s="17" t="str">
        <f>IFERROR(VLOOKUP(B63,[1]Kundenübersicht!$E$4:$F$85,2,FALSE),"")</f>
        <v>Ingrid Haufe</v>
      </c>
      <c r="AI63" s="17" t="str">
        <f t="shared" si="11"/>
        <v>Hauswirtschaft</v>
      </c>
      <c r="AJ63" s="17" t="str">
        <f t="shared" si="11"/>
        <v>Entlastungsleistung</v>
      </c>
      <c r="AL63" s="18">
        <f t="shared" si="1"/>
        <v>38</v>
      </c>
      <c r="AM63" s="18">
        <f t="shared" si="2"/>
        <v>76.000000000000028</v>
      </c>
      <c r="AN63" s="18">
        <f t="shared" si="3"/>
        <v>0</v>
      </c>
    </row>
    <row r="64" spans="2:40" x14ac:dyDescent="0.25">
      <c r="B64" s="30" t="s">
        <v>56</v>
      </c>
      <c r="C64" s="31">
        <v>45876</v>
      </c>
      <c r="D64" s="32">
        <v>0.41666666666666669</v>
      </c>
      <c r="E64" s="32">
        <v>0.45833333333333331</v>
      </c>
      <c r="F64" s="12">
        <f t="shared" si="4"/>
        <v>0.99999999999999911</v>
      </c>
      <c r="G64" s="12"/>
      <c r="H64" s="30" t="s">
        <v>55</v>
      </c>
      <c r="I64" s="30" t="s">
        <v>27</v>
      </c>
      <c r="J64" s="30" t="s">
        <v>28</v>
      </c>
      <c r="K64" s="9" t="str">
        <f>VLOOKUP($B64,[1]Kundenübersicht!$E$4:$AC$1003,MATCH(K$3,[1]Kundenübersicht!$E$3:$BA$3,FALSE),FALSE)</f>
        <v>Barmer Pflegekasse</v>
      </c>
      <c r="L64" s="13">
        <f>VLOOKUP(B64,[1]Kundenübersicht!$E$4:$AC$1003,MATCH(L$3,[1]Kundenübersicht!$E$3:$BA$3,FALSE),FALSE)</f>
        <v>184940005</v>
      </c>
      <c r="M64" s="13" t="str">
        <f>VLOOKUP(B64,[1]Kundenübersicht!$E$4:$AC$1003,MATCH(M$3,[1]Kundenübersicht!$E$3:$BA$3,FALSE),FALSE)</f>
        <v>F006688944</v>
      </c>
      <c r="N64" s="13" t="str">
        <f>VLOOKUP(B64,[1]Kundenübersicht!$E$4:$AC$1003,MATCH(N$3,[1]Kundenübersicht!$E$3:$BA$3,FALSE),FALSE)</f>
        <v>PG 1</v>
      </c>
      <c r="P64" s="9" t="s">
        <v>29</v>
      </c>
      <c r="R64" s="9" t="s">
        <v>30</v>
      </c>
      <c r="S64" s="14" t="s">
        <v>31</v>
      </c>
      <c r="U64" s="15">
        <f>IF(YEAR(C64)&lt;=2025,IFERROR(IF(I64="Hauswirtschaft",VLOOKUP($B64,[1]Kundenübersicht!$E$4:$BA$1003,MATCH("Hauswirtschaft [€/Stunde]",[1]Kundenübersicht!$E$3:$BA$3,FALSE),FALSE),VLOOKUP($B64,[1]Kundenübersicht!$E$4:$BA$1003,MATCH("Alltagsbegleitung [€/Stunde]",[1]Kundenübersicht!$E$3:$BA$3,FALSE),FALSE)),0),IFERROR(IF(I64="Hauswirtschaft",VLOOKUP($B64,[1]Kundenübersicht!$E$4:$BA$1003,MATCH("HW ab 2026 [€/Stunde]",[1]Kundenübersicht!$E$3:$BA$3,FALSE),FALSE),VLOOKUP($B64,[1]Kundenübersicht!$E$4:$BA$1003,MATCH("Alltagsbegleitung [€/Stunde]",[1]Kundenübersicht!$E$3:$BA$3,FALSE),FALSE)),0))</f>
        <v>32.75</v>
      </c>
      <c r="V64" s="16">
        <f t="shared" si="5"/>
        <v>32.749999999999972</v>
      </c>
      <c r="W64" s="16">
        <f t="shared" si="0"/>
        <v>0</v>
      </c>
      <c r="X64" s="16" t="str">
        <f>VLOOKUP(B64,[1]Kundenübersicht!E:AG,MATCH($X$3,[1]Kundenübersicht!$E$3:$AY$3,0),FALSE)</f>
        <v>Alt</v>
      </c>
      <c r="Z64" s="20" t="s">
        <v>29</v>
      </c>
      <c r="AA64" s="19">
        <v>45959</v>
      </c>
      <c r="AC64" s="19"/>
      <c r="AE64" s="9">
        <f t="shared" si="6"/>
        <v>2025</v>
      </c>
      <c r="AF64" s="17" t="str">
        <f t="shared" si="7"/>
        <v>08.2025</v>
      </c>
      <c r="AG64" s="17" t="str">
        <f t="shared" si="8"/>
        <v>Doreen Luzyna</v>
      </c>
      <c r="AH64" s="17" t="str">
        <f>IFERROR(VLOOKUP(B64,[1]Kundenübersicht!$E$4:$F$85,2,FALSE),"")</f>
        <v>Gudrun Hentschel</v>
      </c>
      <c r="AI64" s="17" t="str">
        <f t="shared" si="11"/>
        <v>Hauswirtschaft</v>
      </c>
      <c r="AJ64" s="17" t="str">
        <f t="shared" si="11"/>
        <v>Entlastungsleistung</v>
      </c>
      <c r="AL64" s="18">
        <f t="shared" si="1"/>
        <v>38</v>
      </c>
      <c r="AM64" s="18">
        <f t="shared" si="2"/>
        <v>37.999999999999964</v>
      </c>
      <c r="AN64" s="18">
        <f t="shared" si="3"/>
        <v>0</v>
      </c>
    </row>
    <row r="65" spans="2:40" x14ac:dyDescent="0.25">
      <c r="B65" s="30" t="s">
        <v>45</v>
      </c>
      <c r="C65" s="31">
        <v>45876</v>
      </c>
      <c r="D65" s="32">
        <v>0.47916666666666669</v>
      </c>
      <c r="E65" s="32">
        <v>0.54166666666666663</v>
      </c>
      <c r="F65" s="12">
        <f t="shared" si="4"/>
        <v>1.4999999999999987</v>
      </c>
      <c r="G65" s="12"/>
      <c r="H65" s="30" t="s">
        <v>55</v>
      </c>
      <c r="I65" s="30" t="s">
        <v>27</v>
      </c>
      <c r="J65" s="30" t="s">
        <v>28</v>
      </c>
      <c r="K65" s="28" t="s">
        <v>47</v>
      </c>
      <c r="L65" s="29">
        <v>109990508</v>
      </c>
      <c r="M65" s="29" t="s">
        <v>48</v>
      </c>
      <c r="N65" s="13" t="str">
        <f>VLOOKUP(B65,[1]Kundenübersicht!$E$4:$AC$1003,MATCH(N$3,[1]Kundenübersicht!$E$3:$BA$3,FALSE),FALSE)</f>
        <v>PG 1</v>
      </c>
      <c r="P65" s="9" t="s">
        <v>29</v>
      </c>
      <c r="R65" s="9" t="s">
        <v>30</v>
      </c>
      <c r="S65" s="14" t="s">
        <v>31</v>
      </c>
      <c r="U65" s="15">
        <f>IF(YEAR(C65)&lt;=2025,IFERROR(IF(I65="Hauswirtschaft",VLOOKUP($B65,[1]Kundenübersicht!$E$4:$BA$1003,MATCH("Hauswirtschaft [€/Stunde]",[1]Kundenübersicht!$E$3:$BA$3,FALSE),FALSE),VLOOKUP($B65,[1]Kundenübersicht!$E$4:$BA$1003,MATCH("Alltagsbegleitung [€/Stunde]",[1]Kundenübersicht!$E$3:$BA$3,FALSE),FALSE)),0),IFERROR(IF(I65="Hauswirtschaft",VLOOKUP($B65,[1]Kundenübersicht!$E$4:$BA$1003,MATCH("HW ab 2026 [€/Stunde]",[1]Kundenübersicht!$E$3:$BA$3,FALSE),FALSE),VLOOKUP($B65,[1]Kundenübersicht!$E$4:$BA$1003,MATCH("Alltagsbegleitung [€/Stunde]",[1]Kundenübersicht!$E$3:$BA$3,FALSE),FALSE)),0))</f>
        <v>32.75</v>
      </c>
      <c r="V65" s="16">
        <f t="shared" si="5"/>
        <v>49.124999999999957</v>
      </c>
      <c r="W65" s="16">
        <f t="shared" si="0"/>
        <v>0</v>
      </c>
      <c r="X65" s="16" t="str">
        <f>VLOOKUP(B65,[1]Kundenübersicht!E:AG,MATCH($X$3,[1]Kundenübersicht!$E$3:$AY$3,0),FALSE)</f>
        <v>Alt</v>
      </c>
      <c r="Z65" s="20" t="s">
        <v>29</v>
      </c>
      <c r="AA65" s="10"/>
      <c r="AC65" s="19"/>
      <c r="AE65" s="9">
        <f t="shared" si="6"/>
        <v>2025</v>
      </c>
      <c r="AF65" s="17" t="str">
        <f t="shared" si="7"/>
        <v>08.2025</v>
      </c>
      <c r="AG65" s="17" t="str">
        <f t="shared" si="8"/>
        <v>Doreen Luzyna</v>
      </c>
      <c r="AH65" s="17" t="str">
        <f>IFERROR(VLOOKUP(B65,[1]Kundenübersicht!$E$4:$F$85,2,FALSE),"")</f>
        <v>Hella Reißig</v>
      </c>
      <c r="AI65" s="17" t="str">
        <f t="shared" si="11"/>
        <v>Hauswirtschaft</v>
      </c>
      <c r="AJ65" s="17" t="str">
        <f t="shared" si="11"/>
        <v>Entlastungsleistung</v>
      </c>
      <c r="AL65" s="18">
        <f t="shared" si="1"/>
        <v>38</v>
      </c>
      <c r="AM65" s="18">
        <f t="shared" si="2"/>
        <v>56.99999999999995</v>
      </c>
      <c r="AN65" s="18">
        <f t="shared" si="3"/>
        <v>0</v>
      </c>
    </row>
    <row r="66" spans="2:40" x14ac:dyDescent="0.25">
      <c r="B66" s="30" t="s">
        <v>32</v>
      </c>
      <c r="C66" s="31">
        <v>45880</v>
      </c>
      <c r="D66" s="32">
        <v>0.33333333333333331</v>
      </c>
      <c r="E66" s="32">
        <v>0.41666666666666669</v>
      </c>
      <c r="F66" s="12">
        <f t="shared" si="4"/>
        <v>2.0000000000000009</v>
      </c>
      <c r="G66" s="12"/>
      <c r="H66" s="30" t="s">
        <v>33</v>
      </c>
      <c r="I66" s="30" t="s">
        <v>27</v>
      </c>
      <c r="J66" s="30" t="s">
        <v>28</v>
      </c>
      <c r="K66" s="9" t="str">
        <f>VLOOKUP($B66,[1]Kundenübersicht!$E$4:$AC$1003,MATCH(K$3,[1]Kundenübersicht!$E$3:$BA$3,FALSE),FALSE)</f>
        <v>IKK Classic</v>
      </c>
      <c r="L66" s="13" t="str">
        <f>VLOOKUP(B66,[1]Kundenübersicht!$E$4:$AC$1003,MATCH(L$3,[1]Kundenübersicht!$E$3:$BA$3,FALSE),FALSE)</f>
        <v>187202793</v>
      </c>
      <c r="M66" s="13" t="str">
        <f>VLOOKUP(B66,[1]Kundenübersicht!$E$4:$AC$1003,MATCH(M$3,[1]Kundenübersicht!$E$3:$BA$3,FALSE),FALSE)</f>
        <v>A268233642</v>
      </c>
      <c r="N66" s="13" t="str">
        <f>VLOOKUP(B66,[1]Kundenübersicht!$E$4:$AC$1003,MATCH(N$3,[1]Kundenübersicht!$E$3:$BA$3,FALSE),FALSE)</f>
        <v>PG 2</v>
      </c>
      <c r="P66" s="9" t="s">
        <v>29</v>
      </c>
      <c r="R66" s="9" t="s">
        <v>30</v>
      </c>
      <c r="S66" s="14" t="s">
        <v>31</v>
      </c>
      <c r="U66" s="15">
        <f>IF(YEAR(C66)&lt;=2025,IFERROR(IF(I66="Hauswirtschaft",VLOOKUP($B66,[1]Kundenübersicht!$E$4:$BA$1003,MATCH("Hauswirtschaft [€/Stunde]",[1]Kundenübersicht!$E$3:$BA$3,FALSE),FALSE),VLOOKUP($B66,[1]Kundenübersicht!$E$4:$BA$1003,MATCH("Alltagsbegleitung [€/Stunde]",[1]Kundenübersicht!$E$3:$BA$3,FALSE),FALSE)),0),IFERROR(IF(I66="Hauswirtschaft",VLOOKUP($B66,[1]Kundenübersicht!$E$4:$BA$1003,MATCH("HW ab 2026 [€/Stunde]",[1]Kundenübersicht!$E$3:$BA$3,FALSE),FALSE),VLOOKUP($B66,[1]Kundenübersicht!$E$4:$BA$1003,MATCH("Alltagsbegleitung [€/Stunde]",[1]Kundenübersicht!$E$3:$BA$3,FALSE),FALSE)),0))</f>
        <v>32.75</v>
      </c>
      <c r="V66" s="16">
        <f t="shared" si="5"/>
        <v>65.500000000000028</v>
      </c>
      <c r="W66" s="16">
        <f t="shared" si="0"/>
        <v>0</v>
      </c>
      <c r="X66" s="16" t="str">
        <f>VLOOKUP(B66,[1]Kundenübersicht!E:AG,MATCH($X$3,[1]Kundenübersicht!$E$3:$AY$3,0),FALSE)</f>
        <v>Alt</v>
      </c>
      <c r="Z66" s="20" t="s">
        <v>29</v>
      </c>
      <c r="AA66" s="19">
        <v>45950</v>
      </c>
      <c r="AC66" s="19">
        <v>45967</v>
      </c>
      <c r="AE66" s="9">
        <f t="shared" si="6"/>
        <v>2025</v>
      </c>
      <c r="AF66" s="17" t="str">
        <f t="shared" si="7"/>
        <v>08.2025</v>
      </c>
      <c r="AG66" s="17" t="str">
        <f t="shared" si="8"/>
        <v>Christiane Fiebag</v>
      </c>
      <c r="AH66" s="17" t="str">
        <f>IFERROR(VLOOKUP(B66,[1]Kundenübersicht!$E$4:$F$85,2,FALSE),"")</f>
        <v>Wolfgang Nagler</v>
      </c>
      <c r="AI66" s="17" t="str">
        <f t="shared" si="11"/>
        <v>Hauswirtschaft</v>
      </c>
      <c r="AJ66" s="17" t="str">
        <f t="shared" si="11"/>
        <v>Entlastungsleistung</v>
      </c>
      <c r="AL66" s="18">
        <f t="shared" si="1"/>
        <v>38</v>
      </c>
      <c r="AM66" s="18">
        <f t="shared" si="2"/>
        <v>76.000000000000028</v>
      </c>
      <c r="AN66" s="18">
        <f t="shared" si="3"/>
        <v>0</v>
      </c>
    </row>
    <row r="67" spans="2:40" x14ac:dyDescent="0.25">
      <c r="B67" s="30" t="s">
        <v>35</v>
      </c>
      <c r="C67" s="31">
        <v>45887</v>
      </c>
      <c r="D67" s="32">
        <v>0.5</v>
      </c>
      <c r="E67" s="32">
        <v>0.54166666666666663</v>
      </c>
      <c r="F67" s="12">
        <f t="shared" si="4"/>
        <v>0.99999999999999911</v>
      </c>
      <c r="G67" s="12"/>
      <c r="H67" s="30" t="s">
        <v>33</v>
      </c>
      <c r="I67" s="30" t="s">
        <v>27</v>
      </c>
      <c r="J67" s="30" t="s">
        <v>28</v>
      </c>
      <c r="K67" s="9" t="str">
        <f>VLOOKUP($B67,[1]Kundenübersicht!$E$4:$AC$1003,MATCH(K$3,[1]Kundenübersicht!$E$3:$BA$3,FALSE),FALSE)</f>
        <v>AOK PLUS</v>
      </c>
      <c r="L67" s="13">
        <f>VLOOKUP(B67,[1]Kundenübersicht!$E$4:$AC$1003,MATCH(L$3,[1]Kundenübersicht!$E$3:$BA$3,FALSE),FALSE)</f>
        <v>107299005</v>
      </c>
      <c r="M67" s="13" t="str">
        <f>VLOOKUP(B67,[1]Kundenübersicht!$E$4:$AC$1003,MATCH(M$3,[1]Kundenübersicht!$E$3:$BA$3,FALSE),FALSE)</f>
        <v>P722909118</v>
      </c>
      <c r="N67" s="13" t="str">
        <f>VLOOKUP(B67,[1]Kundenübersicht!$E$4:$AC$1003,MATCH(N$3,[1]Kundenübersicht!$E$3:$BA$3,FALSE),FALSE)</f>
        <v>PG 3</v>
      </c>
      <c r="P67" s="9" t="s">
        <v>29</v>
      </c>
      <c r="R67" s="9" t="s">
        <v>30</v>
      </c>
      <c r="S67" s="14" t="s">
        <v>31</v>
      </c>
      <c r="U67" s="15">
        <f>IF(YEAR(C67)&lt;=2025,IFERROR(IF(I67="Hauswirtschaft",VLOOKUP($B67,[1]Kundenübersicht!$E$4:$BA$1003,MATCH("Hauswirtschaft [€/Stunde]",[1]Kundenübersicht!$E$3:$BA$3,FALSE),FALSE),VLOOKUP($B67,[1]Kundenübersicht!$E$4:$BA$1003,MATCH("Alltagsbegleitung [€/Stunde]",[1]Kundenübersicht!$E$3:$BA$3,FALSE),FALSE)),0),IFERROR(IF(I67="Hauswirtschaft",VLOOKUP($B67,[1]Kundenübersicht!$E$4:$BA$1003,MATCH("HW ab 2026 [€/Stunde]",[1]Kundenübersicht!$E$3:$BA$3,FALSE),FALSE),VLOOKUP($B67,[1]Kundenübersicht!$E$4:$BA$1003,MATCH("Alltagsbegleitung [€/Stunde]",[1]Kundenübersicht!$E$3:$BA$3,FALSE),FALSE)),0))</f>
        <v>32.75</v>
      </c>
      <c r="V67" s="16">
        <f t="shared" si="5"/>
        <v>32.749999999999972</v>
      </c>
      <c r="W67" s="16">
        <f t="shared" si="0"/>
        <v>0</v>
      </c>
      <c r="X67" s="16" t="str">
        <f>VLOOKUP(B67,[1]Kundenübersicht!E:AG,MATCH($X$3,[1]Kundenübersicht!$E$3:$AY$3,0),FALSE)</f>
        <v>Alt</v>
      </c>
      <c r="Z67" s="20" t="s">
        <v>29</v>
      </c>
      <c r="AA67" s="10">
        <v>45922</v>
      </c>
      <c r="AC67" s="10">
        <v>46035</v>
      </c>
      <c r="AE67" s="9">
        <f t="shared" si="6"/>
        <v>2025</v>
      </c>
      <c r="AF67" s="17" t="str">
        <f t="shared" si="7"/>
        <v>08.2025</v>
      </c>
      <c r="AG67" s="17" t="str">
        <f t="shared" si="8"/>
        <v>Christiane Fiebag</v>
      </c>
      <c r="AH67" s="17" t="str">
        <f>IFERROR(VLOOKUP(B67,[1]Kundenübersicht!$E$4:$F$85,2,FALSE),"")</f>
        <v>Elke Berghold</v>
      </c>
      <c r="AI67" s="17" t="str">
        <f t="shared" si="11"/>
        <v>Hauswirtschaft</v>
      </c>
      <c r="AJ67" s="17" t="str">
        <f t="shared" si="11"/>
        <v>Entlastungsleistung</v>
      </c>
      <c r="AL67" s="18">
        <f t="shared" si="1"/>
        <v>38</v>
      </c>
      <c r="AM67" s="18">
        <f t="shared" si="2"/>
        <v>37.999999999999964</v>
      </c>
      <c r="AN67" s="18">
        <f t="shared" si="3"/>
        <v>0</v>
      </c>
    </row>
    <row r="68" spans="2:40" x14ac:dyDescent="0.25">
      <c r="B68" s="30" t="s">
        <v>34</v>
      </c>
      <c r="C68" s="31">
        <v>45873</v>
      </c>
      <c r="D68" s="32">
        <v>0.45833333333333331</v>
      </c>
      <c r="E68" s="32">
        <v>0.5</v>
      </c>
      <c r="F68" s="12">
        <f t="shared" si="4"/>
        <v>1.0000000000000004</v>
      </c>
      <c r="G68" s="12"/>
      <c r="H68" s="30" t="s">
        <v>33</v>
      </c>
      <c r="I68" s="30" t="s">
        <v>27</v>
      </c>
      <c r="J68" s="30" t="s">
        <v>28</v>
      </c>
      <c r="K68" s="9" t="str">
        <f>VLOOKUP($B68,[1]Kundenübersicht!$E$4:$AC$1003,MATCH(K$3,[1]Kundenübersicht!$E$3:$BA$3,FALSE),FALSE)</f>
        <v>AOK PLUS</v>
      </c>
      <c r="L68" s="13">
        <f>VLOOKUP(B68,[1]Kundenübersicht!$E$4:$AC$1003,MATCH(L$3,[1]Kundenübersicht!$E$3:$BA$3,FALSE),FALSE)</f>
        <v>107299005</v>
      </c>
      <c r="M68" s="13" t="str">
        <f>VLOOKUP(B68,[1]Kundenübersicht!$E$4:$AC$1003,MATCH(M$3,[1]Kundenübersicht!$E$3:$BA$3,FALSE),FALSE)</f>
        <v>R234942678</v>
      </c>
      <c r="N68" s="13" t="str">
        <f>VLOOKUP(B68,[1]Kundenübersicht!$E$4:$AC$1003,MATCH(N$3,[1]Kundenübersicht!$E$3:$BA$3,FALSE),FALSE)</f>
        <v>PG 2</v>
      </c>
      <c r="P68" s="9" t="s">
        <v>29</v>
      </c>
      <c r="R68" s="9" t="s">
        <v>30</v>
      </c>
      <c r="S68" s="14" t="s">
        <v>31</v>
      </c>
      <c r="U68" s="15">
        <f>IF(YEAR(C68)&lt;=2025,IFERROR(IF(I68="Hauswirtschaft",VLOOKUP($B68,[1]Kundenübersicht!$E$4:$BA$1003,MATCH("Hauswirtschaft [€/Stunde]",[1]Kundenübersicht!$E$3:$BA$3,FALSE),FALSE),VLOOKUP($B68,[1]Kundenübersicht!$E$4:$BA$1003,MATCH("Alltagsbegleitung [€/Stunde]",[1]Kundenübersicht!$E$3:$BA$3,FALSE),FALSE)),0),IFERROR(IF(I68="Hauswirtschaft",VLOOKUP($B68,[1]Kundenübersicht!$E$4:$BA$1003,MATCH("HW ab 2026 [€/Stunde]",[1]Kundenübersicht!$E$3:$BA$3,FALSE),FALSE),VLOOKUP($B68,[1]Kundenübersicht!$E$4:$BA$1003,MATCH("Alltagsbegleitung [€/Stunde]",[1]Kundenübersicht!$E$3:$BA$3,FALSE),FALSE)),0))</f>
        <v>32.75</v>
      </c>
      <c r="V68" s="16">
        <f t="shared" si="5"/>
        <v>32.750000000000014</v>
      </c>
      <c r="W68" s="16">
        <f t="shared" ref="W68:W131" si="12">IF(AND(YEAR(C68)&lt;=2025,X68="Alt"),0,G68*0.35)</f>
        <v>0</v>
      </c>
      <c r="X68" s="16" t="str">
        <f>VLOOKUP(B68,[1]Kundenübersicht!E:AG,MATCH($X$3,[1]Kundenübersicht!$E$3:$AY$3,0),FALSE)</f>
        <v>Alt</v>
      </c>
      <c r="Z68" s="20" t="s">
        <v>29</v>
      </c>
      <c r="AA68" s="10">
        <v>45922</v>
      </c>
      <c r="AC68" s="10">
        <v>46035</v>
      </c>
      <c r="AE68" s="9">
        <f t="shared" si="6"/>
        <v>2025</v>
      </c>
      <c r="AF68" s="17" t="str">
        <f t="shared" si="7"/>
        <v>08.2025</v>
      </c>
      <c r="AG68" s="17" t="str">
        <f t="shared" si="8"/>
        <v>Christiane Fiebag</v>
      </c>
      <c r="AH68" s="17" t="str">
        <f>IFERROR(VLOOKUP(B68,[1]Kundenübersicht!$E$4:$F$85,2,FALSE),"")</f>
        <v>Dieter Berghold</v>
      </c>
      <c r="AI68" s="17" t="str">
        <f t="shared" si="11"/>
        <v>Hauswirtschaft</v>
      </c>
      <c r="AJ68" s="17" t="str">
        <f t="shared" si="11"/>
        <v>Entlastungsleistung</v>
      </c>
      <c r="AL68" s="18">
        <f t="shared" ref="AL68:AL131" si="13">IF(I68="Hauswirtschaft",38,42)</f>
        <v>38</v>
      </c>
      <c r="AM68" s="18">
        <f t="shared" ref="AM68:AM131" si="14">AL68*F68</f>
        <v>38.000000000000014</v>
      </c>
      <c r="AN68" s="18">
        <f t="shared" ref="AN68:AN131" si="15">G68*0.35</f>
        <v>0</v>
      </c>
    </row>
    <row r="69" spans="2:40" x14ac:dyDescent="0.25">
      <c r="B69" s="30" t="s">
        <v>51</v>
      </c>
      <c r="C69" s="31">
        <v>45880</v>
      </c>
      <c r="D69" s="32">
        <v>0.5625</v>
      </c>
      <c r="E69" s="32">
        <v>0.64583333333333337</v>
      </c>
      <c r="F69" s="12">
        <f t="shared" si="4"/>
        <v>2.0000000000000009</v>
      </c>
      <c r="G69" s="12"/>
      <c r="H69" s="30" t="s">
        <v>33</v>
      </c>
      <c r="I69" s="30" t="s">
        <v>27</v>
      </c>
      <c r="J69" s="30" t="s">
        <v>28</v>
      </c>
      <c r="K69" s="9" t="str">
        <f>VLOOKUP($B69,[1]Kundenübersicht!$E$4:$AC$1003,MATCH(K$3,[1]Kundenübersicht!$E$3:$BA$3,FALSE),FALSE)</f>
        <v>Siemens Betriebskrankenkasse</v>
      </c>
      <c r="L69" s="13" t="str">
        <f>VLOOKUP(B69,[1]Kundenübersicht!$E$4:$AC$1003,MATCH(L$3,[1]Kundenübersicht!$E$3:$BA$3,FALSE),FALSE)</f>
        <v>108833505</v>
      </c>
      <c r="M69" s="13" t="str">
        <f>VLOOKUP(B69,[1]Kundenübersicht!$E$4:$AC$1003,MATCH(M$3,[1]Kundenübersicht!$E$3:$BA$3,FALSE),FALSE)</f>
        <v>U297967139</v>
      </c>
      <c r="N69" s="13" t="str">
        <f>VLOOKUP(B69,[1]Kundenübersicht!$E$4:$AC$1003,MATCH(N$3,[1]Kundenübersicht!$E$3:$BA$3,FALSE),FALSE)</f>
        <v>PG 2</v>
      </c>
      <c r="P69" s="9" t="s">
        <v>29</v>
      </c>
      <c r="R69" s="9" t="s">
        <v>30</v>
      </c>
      <c r="S69" s="14" t="s">
        <v>31</v>
      </c>
      <c r="U69" s="15">
        <f>IF(YEAR(C69)&lt;=2025,IFERROR(IF(I69="Hauswirtschaft",VLOOKUP($B69,[1]Kundenübersicht!$E$4:$BA$1003,MATCH("Hauswirtschaft [€/Stunde]",[1]Kundenübersicht!$E$3:$BA$3,FALSE),FALSE),VLOOKUP($B69,[1]Kundenübersicht!$E$4:$BA$1003,MATCH("Alltagsbegleitung [€/Stunde]",[1]Kundenübersicht!$E$3:$BA$3,FALSE),FALSE)),0),IFERROR(IF(I69="Hauswirtschaft",VLOOKUP($B69,[1]Kundenübersicht!$E$4:$BA$1003,MATCH("HW ab 2026 [€/Stunde]",[1]Kundenübersicht!$E$3:$BA$3,FALSE),FALSE),VLOOKUP($B69,[1]Kundenübersicht!$E$4:$BA$1003,MATCH("Alltagsbegleitung [€/Stunde]",[1]Kundenübersicht!$E$3:$BA$3,FALSE),FALSE)),0))</f>
        <v>32.75</v>
      </c>
      <c r="V69" s="16">
        <f t="shared" si="5"/>
        <v>65.500000000000028</v>
      </c>
      <c r="W69" s="16">
        <f t="shared" si="12"/>
        <v>0</v>
      </c>
      <c r="X69" s="16" t="str">
        <f>VLOOKUP(B69,[1]Kundenübersicht!E:AG,MATCH($X$3,[1]Kundenübersicht!$E$3:$AY$3,0),FALSE)</f>
        <v>Alt</v>
      </c>
      <c r="Z69" s="20" t="s">
        <v>29</v>
      </c>
      <c r="AA69" s="19">
        <v>45961</v>
      </c>
      <c r="AC69" s="19">
        <v>46007</v>
      </c>
      <c r="AE69" s="9">
        <f t="shared" si="6"/>
        <v>2025</v>
      </c>
      <c r="AF69" s="17" t="str">
        <f t="shared" si="7"/>
        <v>08.2025</v>
      </c>
      <c r="AG69" s="17" t="str">
        <f t="shared" si="8"/>
        <v>Christiane Fiebag</v>
      </c>
      <c r="AH69" s="17" t="str">
        <f>IFERROR(VLOOKUP(B69,[1]Kundenübersicht!$E$4:$F$85,2,FALSE),"")</f>
        <v>Günter Marx</v>
      </c>
      <c r="AI69" s="17" t="str">
        <f t="shared" si="11"/>
        <v>Hauswirtschaft</v>
      </c>
      <c r="AJ69" s="17" t="str">
        <f t="shared" si="11"/>
        <v>Entlastungsleistung</v>
      </c>
      <c r="AL69" s="18">
        <f t="shared" si="13"/>
        <v>38</v>
      </c>
      <c r="AM69" s="18">
        <f t="shared" si="14"/>
        <v>76.000000000000028</v>
      </c>
      <c r="AN69" s="18">
        <f t="shared" si="15"/>
        <v>0</v>
      </c>
    </row>
    <row r="70" spans="2:40" x14ac:dyDescent="0.25">
      <c r="B70" s="30" t="s">
        <v>44</v>
      </c>
      <c r="C70" s="31">
        <v>45882</v>
      </c>
      <c r="D70" s="32">
        <v>0.45833333333333331</v>
      </c>
      <c r="E70" s="32">
        <v>0.52083333333333337</v>
      </c>
      <c r="F70" s="12">
        <f t="shared" ref="F70:F133" si="16">(E70-D70)*24</f>
        <v>1.5000000000000013</v>
      </c>
      <c r="G70" s="12"/>
      <c r="H70" s="30" t="s">
        <v>33</v>
      </c>
      <c r="I70" s="30" t="s">
        <v>27</v>
      </c>
      <c r="J70" s="30" t="s">
        <v>28</v>
      </c>
      <c r="K70" s="9" t="str">
        <f>VLOOKUP($B70,[1]Kundenübersicht!$E$4:$AC$1003,MATCH(K$3,[1]Kundenübersicht!$E$3:$BA$3,FALSE),FALSE)</f>
        <v>Barmer Pflegekasse</v>
      </c>
      <c r="L70" s="13">
        <f>VLOOKUP(B70,[1]Kundenübersicht!$E$4:$AC$1003,MATCH(L$3,[1]Kundenübersicht!$E$3:$BA$3,FALSE),FALSE)</f>
        <v>184940005</v>
      </c>
      <c r="M70" s="13" t="str">
        <f>VLOOKUP(B70,[1]Kundenübersicht!$E$4:$AC$1003,MATCH(M$3,[1]Kundenübersicht!$E$3:$BA$3,FALSE),FALSE)</f>
        <v>Y800652371</v>
      </c>
      <c r="N70" s="13" t="str">
        <f>VLOOKUP(B70,[1]Kundenübersicht!$E$4:$AC$1003,MATCH(N$3,[1]Kundenübersicht!$E$3:$BA$3,FALSE),FALSE)</f>
        <v>PG 1</v>
      </c>
      <c r="P70" s="9" t="s">
        <v>29</v>
      </c>
      <c r="R70" s="9" t="s">
        <v>30</v>
      </c>
      <c r="S70" s="14" t="s">
        <v>31</v>
      </c>
      <c r="U70" s="15">
        <f>IF(YEAR(C70)&lt;=2025,IFERROR(IF(I70="Hauswirtschaft",VLOOKUP($B70,[1]Kundenübersicht!$E$4:$BA$1003,MATCH("Hauswirtschaft [€/Stunde]",[1]Kundenübersicht!$E$3:$BA$3,FALSE),FALSE),VLOOKUP($B70,[1]Kundenübersicht!$E$4:$BA$1003,MATCH("Alltagsbegleitung [€/Stunde]",[1]Kundenübersicht!$E$3:$BA$3,FALSE),FALSE)),0),IFERROR(IF(I70="Hauswirtschaft",VLOOKUP($B70,[1]Kundenübersicht!$E$4:$BA$1003,MATCH("HW ab 2026 [€/Stunde]",[1]Kundenübersicht!$E$3:$BA$3,FALSE),FALSE),VLOOKUP($B70,[1]Kundenübersicht!$E$4:$BA$1003,MATCH("Alltagsbegleitung [€/Stunde]",[1]Kundenübersicht!$E$3:$BA$3,FALSE),FALSE)),0))</f>
        <v>32.75</v>
      </c>
      <c r="V70" s="16">
        <f t="shared" ref="V70:V133" si="17">U70*F70</f>
        <v>49.125000000000043</v>
      </c>
      <c r="W70" s="16">
        <f t="shared" si="12"/>
        <v>0</v>
      </c>
      <c r="X70" s="16" t="str">
        <f>VLOOKUP(B70,[1]Kundenübersicht!E:AG,MATCH($X$3,[1]Kundenübersicht!$E$3:$AY$3,0),FALSE)</f>
        <v>Alt</v>
      </c>
      <c r="Z70" s="20" t="s">
        <v>29</v>
      </c>
      <c r="AA70" s="19">
        <v>45959</v>
      </c>
      <c r="AC70" s="19">
        <v>46029</v>
      </c>
      <c r="AE70" s="9">
        <f t="shared" ref="AE70:AE133" si="18">YEAR(C70)</f>
        <v>2025</v>
      </c>
      <c r="AF70" s="17" t="str">
        <f t="shared" ref="AF70:AF133" si="19">IF(MONTH(C70)&lt;=9,"0"&amp;MONTH(C70)&amp;"."&amp;YEAR(C70),MONTH(C70)&amp;"."&amp;YEAR(C70))</f>
        <v>08.2025</v>
      </c>
      <c r="AG70" s="17" t="str">
        <f t="shared" ref="AG70:AG133" si="20">IF(H70="","",H70)</f>
        <v>Christiane Fiebag</v>
      </c>
      <c r="AH70" s="17" t="str">
        <f>IFERROR(VLOOKUP(B70,[1]Kundenübersicht!$E$4:$F$85,2,FALSE),"")</f>
        <v>Dieter Kraft</v>
      </c>
      <c r="AI70" s="17" t="str">
        <f t="shared" si="11"/>
        <v>Hauswirtschaft</v>
      </c>
      <c r="AJ70" s="17" t="str">
        <f t="shared" si="11"/>
        <v>Entlastungsleistung</v>
      </c>
      <c r="AL70" s="18">
        <f t="shared" si="13"/>
        <v>38</v>
      </c>
      <c r="AM70" s="18">
        <f t="shared" si="14"/>
        <v>57.00000000000005</v>
      </c>
      <c r="AN70" s="18">
        <f t="shared" si="15"/>
        <v>0</v>
      </c>
    </row>
    <row r="71" spans="2:40" x14ac:dyDescent="0.25">
      <c r="B71" s="30" t="s">
        <v>52</v>
      </c>
      <c r="C71" s="31">
        <v>45882</v>
      </c>
      <c r="D71" s="32">
        <v>0.33333333333333331</v>
      </c>
      <c r="E71" s="32">
        <v>0.41666666666666669</v>
      </c>
      <c r="F71" s="12">
        <f t="shared" si="16"/>
        <v>2.0000000000000009</v>
      </c>
      <c r="G71" s="12"/>
      <c r="H71" s="30" t="s">
        <v>33</v>
      </c>
      <c r="I71" s="30" t="s">
        <v>27</v>
      </c>
      <c r="J71" s="30" t="s">
        <v>28</v>
      </c>
      <c r="K71" s="9" t="str">
        <f>VLOOKUP($B71,[1]Kundenübersicht!$E$4:$AC$1003,MATCH(K$3,[1]Kundenübersicht!$E$3:$BA$3,FALSE),FALSE)</f>
        <v>AOK PLUS</v>
      </c>
      <c r="L71" s="13">
        <f>VLOOKUP(B71,[1]Kundenübersicht!$E$4:$AC$1003,MATCH(L$3,[1]Kundenübersicht!$E$3:$BA$3,FALSE),FALSE)</f>
        <v>107299005</v>
      </c>
      <c r="M71" s="13" t="str">
        <f>VLOOKUP(B71,[1]Kundenübersicht!$E$4:$AC$1003,MATCH(M$3,[1]Kundenübersicht!$E$3:$BA$3,FALSE),FALSE)</f>
        <v>G562042888</v>
      </c>
      <c r="N71" s="13" t="str">
        <f>VLOOKUP(B71,[1]Kundenübersicht!$E$4:$AC$1003,MATCH(N$3,[1]Kundenübersicht!$E$3:$BA$3,FALSE),FALSE)</f>
        <v>PG 2</v>
      </c>
      <c r="P71" s="9" t="s">
        <v>29</v>
      </c>
      <c r="R71" s="9" t="s">
        <v>30</v>
      </c>
      <c r="S71" s="14" t="s">
        <v>31</v>
      </c>
      <c r="U71" s="15">
        <f>IF(YEAR(C71)&lt;=2025,IFERROR(IF(I71="Hauswirtschaft",VLOOKUP($B71,[1]Kundenübersicht!$E$4:$BA$1003,MATCH("Hauswirtschaft [€/Stunde]",[1]Kundenübersicht!$E$3:$BA$3,FALSE),FALSE),VLOOKUP($B71,[1]Kundenübersicht!$E$4:$BA$1003,MATCH("Alltagsbegleitung [€/Stunde]",[1]Kundenübersicht!$E$3:$BA$3,FALSE),FALSE)),0),IFERROR(IF(I71="Hauswirtschaft",VLOOKUP($B71,[1]Kundenübersicht!$E$4:$BA$1003,MATCH("HW ab 2026 [€/Stunde]",[1]Kundenübersicht!$E$3:$BA$3,FALSE),FALSE),VLOOKUP($B71,[1]Kundenübersicht!$E$4:$BA$1003,MATCH("Alltagsbegleitung [€/Stunde]",[1]Kundenübersicht!$E$3:$BA$3,FALSE),FALSE)),0))</f>
        <v>32.75</v>
      </c>
      <c r="V71" s="16">
        <f t="shared" si="17"/>
        <v>65.500000000000028</v>
      </c>
      <c r="W71" s="16">
        <f t="shared" si="12"/>
        <v>0</v>
      </c>
      <c r="X71" s="16" t="str">
        <f>VLOOKUP(B71,[1]Kundenübersicht!E:AG,MATCH($X$3,[1]Kundenübersicht!$E$3:$AY$3,0),FALSE)</f>
        <v>Alt</v>
      </c>
      <c r="Z71" s="20" t="s">
        <v>29</v>
      </c>
      <c r="AA71" s="19">
        <v>45922</v>
      </c>
      <c r="AC71" s="10">
        <v>46035</v>
      </c>
      <c r="AE71" s="9">
        <f t="shared" si="18"/>
        <v>2025</v>
      </c>
      <c r="AF71" s="17" t="str">
        <f t="shared" si="19"/>
        <v>08.2025</v>
      </c>
      <c r="AG71" s="17" t="str">
        <f t="shared" si="20"/>
        <v>Christiane Fiebag</v>
      </c>
      <c r="AH71" s="17" t="str">
        <f>IFERROR(VLOOKUP(B71,[1]Kundenübersicht!$E$4:$F$85,2,FALSE),"")</f>
        <v>Matthias Roß</v>
      </c>
      <c r="AI71" s="17" t="str">
        <f t="shared" si="11"/>
        <v>Hauswirtschaft</v>
      </c>
      <c r="AJ71" s="17" t="str">
        <f t="shared" si="11"/>
        <v>Entlastungsleistung</v>
      </c>
      <c r="AL71" s="18">
        <f t="shared" si="13"/>
        <v>38</v>
      </c>
      <c r="AM71" s="18">
        <f t="shared" si="14"/>
        <v>76.000000000000028</v>
      </c>
      <c r="AN71" s="18">
        <f t="shared" si="15"/>
        <v>0</v>
      </c>
    </row>
    <row r="72" spans="2:40" x14ac:dyDescent="0.25">
      <c r="B72" s="30" t="s">
        <v>43</v>
      </c>
      <c r="C72" s="31">
        <v>45882</v>
      </c>
      <c r="D72" s="32">
        <v>0.33333333333333331</v>
      </c>
      <c r="E72" s="32">
        <v>0.375</v>
      </c>
      <c r="F72" s="12">
        <f t="shared" si="16"/>
        <v>1.0000000000000004</v>
      </c>
      <c r="G72" s="12"/>
      <c r="H72" s="30" t="s">
        <v>46</v>
      </c>
      <c r="I72" s="30" t="s">
        <v>27</v>
      </c>
      <c r="J72" s="30" t="s">
        <v>28</v>
      </c>
      <c r="K72" s="9" t="str">
        <f>VLOOKUP($B72,[1]Kundenübersicht!$E$4:$AC$1003,MATCH(K$3,[1]Kundenübersicht!$E$3:$BA$3,FALSE),FALSE)</f>
        <v>AOK PLUS</v>
      </c>
      <c r="L72" s="13">
        <f>VLOOKUP(B72,[1]Kundenübersicht!$E$4:$AC$1003,MATCH(L$3,[1]Kundenübersicht!$E$3:$BA$3,FALSE),FALSE)</f>
        <v>107299005</v>
      </c>
      <c r="M72" s="13" t="str">
        <f>VLOOKUP(B72,[1]Kundenübersicht!$E$4:$AC$1003,MATCH(M$3,[1]Kundenübersicht!$E$3:$BA$3,FALSE),FALSE)</f>
        <v>I323820679</v>
      </c>
      <c r="N72" s="13" t="str">
        <f>VLOOKUP(B72,[1]Kundenübersicht!$E$4:$AC$1003,MATCH(N$3,[1]Kundenübersicht!$E$3:$BA$3,FALSE),FALSE)</f>
        <v>PG 1</v>
      </c>
      <c r="P72" s="9" t="s">
        <v>29</v>
      </c>
      <c r="R72" s="9" t="s">
        <v>30</v>
      </c>
      <c r="S72" s="14" t="s">
        <v>31</v>
      </c>
      <c r="U72" s="15">
        <f>IF(YEAR(C72)&lt;=2025,IFERROR(IF(I72="Hauswirtschaft",VLOOKUP($B72,[1]Kundenübersicht!$E$4:$BA$1003,MATCH("Hauswirtschaft [€/Stunde]",[1]Kundenübersicht!$E$3:$BA$3,FALSE),FALSE),VLOOKUP($B72,[1]Kundenübersicht!$E$4:$BA$1003,MATCH("Alltagsbegleitung [€/Stunde]",[1]Kundenübersicht!$E$3:$BA$3,FALSE),FALSE)),0),IFERROR(IF(I72="Hauswirtschaft",VLOOKUP($B72,[1]Kundenübersicht!$E$4:$BA$1003,MATCH("HW ab 2026 [€/Stunde]",[1]Kundenübersicht!$E$3:$BA$3,FALSE),FALSE),VLOOKUP($B72,[1]Kundenübersicht!$E$4:$BA$1003,MATCH("Alltagsbegleitung [€/Stunde]",[1]Kundenübersicht!$E$3:$BA$3,FALSE),FALSE)),0))</f>
        <v>32.75</v>
      </c>
      <c r="V72" s="16">
        <f t="shared" si="17"/>
        <v>32.750000000000014</v>
      </c>
      <c r="W72" s="16">
        <f t="shared" si="12"/>
        <v>0</v>
      </c>
      <c r="X72" s="16" t="str">
        <f>VLOOKUP(B72,[1]Kundenübersicht!E:AG,MATCH($X$3,[1]Kundenübersicht!$E$3:$AY$3,0),FALSE)</f>
        <v>Alt</v>
      </c>
      <c r="Z72" s="20" t="s">
        <v>29</v>
      </c>
      <c r="AA72" s="19">
        <v>45922</v>
      </c>
      <c r="AC72" s="10">
        <v>46035</v>
      </c>
      <c r="AE72" s="9">
        <f t="shared" si="18"/>
        <v>2025</v>
      </c>
      <c r="AF72" s="17" t="str">
        <f t="shared" si="19"/>
        <v>08.2025</v>
      </c>
      <c r="AG72" s="17" t="str">
        <f t="shared" si="20"/>
        <v>Manuela Richter</v>
      </c>
      <c r="AH72" s="17" t="str">
        <f>IFERROR(VLOOKUP(B72,[1]Kundenübersicht!$E$4:$F$85,2,FALSE),"")</f>
        <v>Inge Leupold</v>
      </c>
      <c r="AI72" s="17" t="str">
        <f t="shared" si="11"/>
        <v>Hauswirtschaft</v>
      </c>
      <c r="AJ72" s="17" t="str">
        <f t="shared" si="11"/>
        <v>Entlastungsleistung</v>
      </c>
      <c r="AL72" s="18">
        <f t="shared" si="13"/>
        <v>38</v>
      </c>
      <c r="AM72" s="18">
        <f t="shared" si="14"/>
        <v>38.000000000000014</v>
      </c>
      <c r="AN72" s="18">
        <f t="shared" si="15"/>
        <v>0</v>
      </c>
    </row>
    <row r="73" spans="2:40" x14ac:dyDescent="0.25">
      <c r="B73" s="30" t="s">
        <v>57</v>
      </c>
      <c r="C73" s="31">
        <v>45882</v>
      </c>
      <c r="D73" s="32">
        <v>0.375</v>
      </c>
      <c r="E73" s="32">
        <v>0.41666666666666669</v>
      </c>
      <c r="F73" s="12">
        <f t="shared" si="16"/>
        <v>1.0000000000000004</v>
      </c>
      <c r="G73" s="12"/>
      <c r="H73" s="30" t="s">
        <v>55</v>
      </c>
      <c r="I73" s="30" t="s">
        <v>41</v>
      </c>
      <c r="J73" s="30" t="s">
        <v>28</v>
      </c>
      <c r="K73" s="9" t="str">
        <f>VLOOKUP($B73,[1]Kundenübersicht!$E$4:$AC$1003,MATCH(K$3,[1]Kundenübersicht!$E$3:$BA$3,FALSE),FALSE)</f>
        <v>AOK PLUS</v>
      </c>
      <c r="L73" s="13">
        <f>VLOOKUP(B73,[1]Kundenübersicht!$E$4:$AC$1003,MATCH(L$3,[1]Kundenübersicht!$E$3:$BA$3,FALSE),FALSE)</f>
        <v>107299005</v>
      </c>
      <c r="M73" s="13" t="str">
        <f>VLOOKUP(B73,[1]Kundenübersicht!$E$4:$AC$1003,MATCH(M$3,[1]Kundenübersicht!$E$3:$BA$3,FALSE),FALSE)</f>
        <v>N303904545</v>
      </c>
      <c r="N73" s="13" t="str">
        <f>VLOOKUP(B73,[1]Kundenübersicht!$E$4:$AC$1003,MATCH(N$3,[1]Kundenübersicht!$E$3:$BA$3,FALSE),FALSE)</f>
        <v>PG 1</v>
      </c>
      <c r="P73" s="9" t="s">
        <v>29</v>
      </c>
      <c r="R73" s="9" t="s">
        <v>30</v>
      </c>
      <c r="S73" s="14" t="s">
        <v>31</v>
      </c>
      <c r="U73" s="15">
        <f>IF(YEAR(C73)&lt;=2025,IFERROR(IF(I73="Hauswirtschaft",VLOOKUP($B73,[1]Kundenübersicht!$E$4:$BA$1003,MATCH("Hauswirtschaft [€/Stunde]",[1]Kundenübersicht!$E$3:$BA$3,FALSE),FALSE),VLOOKUP($B73,[1]Kundenübersicht!$E$4:$BA$1003,MATCH("Alltagsbegleitung [€/Stunde]",[1]Kundenübersicht!$E$3:$BA$3,FALSE),FALSE)),0),IFERROR(IF(I73="Hauswirtschaft",VLOOKUP($B73,[1]Kundenübersicht!$E$4:$BA$1003,MATCH("HW ab 2026 [€/Stunde]",[1]Kundenübersicht!$E$3:$BA$3,FALSE),FALSE),VLOOKUP($B73,[1]Kundenübersicht!$E$4:$BA$1003,MATCH("Alltagsbegleitung [€/Stunde]",[1]Kundenübersicht!$E$3:$BA$3,FALSE),FALSE)),0))</f>
        <v>42</v>
      </c>
      <c r="V73" s="16">
        <f t="shared" si="17"/>
        <v>42.000000000000021</v>
      </c>
      <c r="W73" s="16">
        <f t="shared" si="12"/>
        <v>0</v>
      </c>
      <c r="X73" s="16" t="str">
        <f>VLOOKUP(B73,[1]Kundenübersicht!E:AG,MATCH($X$3,[1]Kundenübersicht!$E$3:$AY$3,0),FALSE)</f>
        <v>Alt</v>
      </c>
      <c r="Z73" s="20" t="s">
        <v>29</v>
      </c>
      <c r="AA73" s="19">
        <v>45922</v>
      </c>
      <c r="AC73" s="10">
        <v>46035</v>
      </c>
      <c r="AE73" s="9">
        <f t="shared" si="18"/>
        <v>2025</v>
      </c>
      <c r="AF73" s="17" t="str">
        <f t="shared" si="19"/>
        <v>08.2025</v>
      </c>
      <c r="AG73" s="17" t="str">
        <f t="shared" si="20"/>
        <v>Doreen Luzyna</v>
      </c>
      <c r="AH73" s="17" t="str">
        <f>IFERROR(VLOOKUP(B73,[1]Kundenübersicht!$E$4:$F$85,2,FALSE),"")</f>
        <v>Egon Bochmann</v>
      </c>
      <c r="AI73" s="17" t="str">
        <f t="shared" si="11"/>
        <v>Alltagsbegleitung</v>
      </c>
      <c r="AJ73" s="17" t="str">
        <f t="shared" si="11"/>
        <v>Entlastungsleistung</v>
      </c>
      <c r="AL73" s="18">
        <f t="shared" si="13"/>
        <v>42</v>
      </c>
      <c r="AM73" s="18">
        <f t="shared" si="14"/>
        <v>42.000000000000021</v>
      </c>
      <c r="AN73" s="18">
        <f t="shared" si="15"/>
        <v>0</v>
      </c>
    </row>
    <row r="74" spans="2:40" x14ac:dyDescent="0.25">
      <c r="B74" s="30" t="s">
        <v>58</v>
      </c>
      <c r="C74" s="31">
        <v>45882</v>
      </c>
      <c r="D74" s="32">
        <v>0.4375</v>
      </c>
      <c r="E74" s="32">
        <v>0.46875</v>
      </c>
      <c r="F74" s="12">
        <f t="shared" si="16"/>
        <v>0.75</v>
      </c>
      <c r="G74" s="12"/>
      <c r="H74" s="30" t="s">
        <v>55</v>
      </c>
      <c r="I74" s="30" t="s">
        <v>27</v>
      </c>
      <c r="J74" s="30" t="s">
        <v>28</v>
      </c>
      <c r="K74" s="9" t="str">
        <f>VLOOKUP($B74,[1]Kundenübersicht!$E$4:$AC$1003,MATCH(K$3,[1]Kundenübersicht!$E$3:$BA$3,FALSE),FALSE)</f>
        <v>IKK Classic</v>
      </c>
      <c r="L74" s="13">
        <f>VLOOKUP(B74,[1]Kundenübersicht!$E$4:$AC$1003,MATCH(L$3,[1]Kundenübersicht!$E$3:$BA$3,FALSE),FALSE)</f>
        <v>187202793</v>
      </c>
      <c r="M74" s="13" t="str">
        <f>VLOOKUP(B74,[1]Kundenübersicht!$E$4:$AC$1003,MATCH(M$3,[1]Kundenübersicht!$E$3:$BA$3,FALSE),FALSE)</f>
        <v>G520510754</v>
      </c>
      <c r="N74" s="13" t="str">
        <f>VLOOKUP(B74,[1]Kundenübersicht!$E$4:$AC$1003,MATCH(N$3,[1]Kundenübersicht!$E$3:$BA$3,FALSE),FALSE)</f>
        <v>PG 2</v>
      </c>
      <c r="P74" s="9" t="s">
        <v>29</v>
      </c>
      <c r="R74" s="9" t="s">
        <v>30</v>
      </c>
      <c r="S74" s="14" t="s">
        <v>31</v>
      </c>
      <c r="U74" s="15">
        <f>IF(YEAR(C74)&lt;=2025,IFERROR(IF(I74="Hauswirtschaft",VLOOKUP($B74,[1]Kundenübersicht!$E$4:$BA$1003,MATCH("Hauswirtschaft [€/Stunde]",[1]Kundenübersicht!$E$3:$BA$3,FALSE),FALSE),VLOOKUP($B74,[1]Kundenübersicht!$E$4:$BA$1003,MATCH("Alltagsbegleitung [€/Stunde]",[1]Kundenübersicht!$E$3:$BA$3,FALSE),FALSE)),0),IFERROR(IF(I74="Hauswirtschaft",VLOOKUP($B74,[1]Kundenübersicht!$E$4:$BA$1003,MATCH("HW ab 2026 [€/Stunde]",[1]Kundenübersicht!$E$3:$BA$3,FALSE),FALSE),VLOOKUP($B74,[1]Kundenübersicht!$E$4:$BA$1003,MATCH("Alltagsbegleitung [€/Stunde]",[1]Kundenübersicht!$E$3:$BA$3,FALSE),FALSE)),0))</f>
        <v>32.75</v>
      </c>
      <c r="V74" s="16">
        <f t="shared" si="17"/>
        <v>24.5625</v>
      </c>
      <c r="W74" s="16">
        <f t="shared" si="12"/>
        <v>0</v>
      </c>
      <c r="X74" s="16" t="str">
        <f>VLOOKUP(B74,[1]Kundenübersicht!E:AG,MATCH($X$3,[1]Kundenübersicht!$E$3:$AY$3,0),FALSE)</f>
        <v>Alt</v>
      </c>
      <c r="Z74" s="20" t="s">
        <v>29</v>
      </c>
      <c r="AA74" s="19">
        <v>45950</v>
      </c>
      <c r="AC74" s="19">
        <v>45967</v>
      </c>
      <c r="AE74" s="9">
        <f t="shared" si="18"/>
        <v>2025</v>
      </c>
      <c r="AF74" s="17" t="str">
        <f t="shared" si="19"/>
        <v>08.2025</v>
      </c>
      <c r="AG74" s="17" t="str">
        <f t="shared" si="20"/>
        <v>Doreen Luzyna</v>
      </c>
      <c r="AH74" s="17" t="str">
        <f>IFERROR(VLOOKUP(B74,[1]Kundenübersicht!$E$4:$F$85,2,FALSE),"")</f>
        <v>Bernd Fischer</v>
      </c>
      <c r="AI74" s="17" t="str">
        <f t="shared" si="11"/>
        <v>Hauswirtschaft</v>
      </c>
      <c r="AJ74" s="17" t="str">
        <f t="shared" si="11"/>
        <v>Entlastungsleistung</v>
      </c>
      <c r="AL74" s="18">
        <f t="shared" si="13"/>
        <v>38</v>
      </c>
      <c r="AM74" s="18">
        <f t="shared" si="14"/>
        <v>28.5</v>
      </c>
      <c r="AN74" s="18">
        <f t="shared" si="15"/>
        <v>0</v>
      </c>
    </row>
    <row r="75" spans="2:40" x14ac:dyDescent="0.25">
      <c r="B75" s="30" t="s">
        <v>59</v>
      </c>
      <c r="C75" s="31">
        <v>45882</v>
      </c>
      <c r="D75" s="32">
        <v>0.46875</v>
      </c>
      <c r="E75" s="32">
        <v>0.5</v>
      </c>
      <c r="F75" s="12">
        <f t="shared" si="16"/>
        <v>0.75</v>
      </c>
      <c r="G75" s="12"/>
      <c r="H75" s="30" t="s">
        <v>55</v>
      </c>
      <c r="I75" s="30" t="s">
        <v>27</v>
      </c>
      <c r="J75" s="30" t="s">
        <v>28</v>
      </c>
      <c r="K75" s="9" t="str">
        <f>VLOOKUP($B75,[1]Kundenübersicht!$E$4:$AC$1003,MATCH(K$3,[1]Kundenübersicht!$E$3:$BA$3,FALSE),FALSE)</f>
        <v>IKK Classic</v>
      </c>
      <c r="L75" s="13">
        <f>VLOOKUP(B75,[1]Kundenübersicht!$E$4:$AC$1003,MATCH(L$3,[1]Kundenübersicht!$E$3:$BA$3,FALSE),FALSE)</f>
        <v>187202793</v>
      </c>
      <c r="M75" s="13" t="str">
        <f>VLOOKUP(B75,[1]Kundenübersicht!$E$4:$AC$1003,MATCH(M$3,[1]Kundenübersicht!$E$3:$BA$3,FALSE),FALSE)</f>
        <v>E747849508</v>
      </c>
      <c r="N75" s="13" t="str">
        <f>VLOOKUP(B75,[1]Kundenübersicht!$E$4:$AC$1003,MATCH(N$3,[1]Kundenübersicht!$E$3:$BA$3,FALSE),FALSE)</f>
        <v>PG 3</v>
      </c>
      <c r="P75" s="9" t="s">
        <v>29</v>
      </c>
      <c r="R75" s="9" t="s">
        <v>30</v>
      </c>
      <c r="S75" s="14" t="s">
        <v>31</v>
      </c>
      <c r="U75" s="15">
        <f>IF(YEAR(C75)&lt;=2025,IFERROR(IF(I75="Hauswirtschaft",VLOOKUP($B75,[1]Kundenübersicht!$E$4:$BA$1003,MATCH("Hauswirtschaft [€/Stunde]",[1]Kundenübersicht!$E$3:$BA$3,FALSE),FALSE),VLOOKUP($B75,[1]Kundenübersicht!$E$4:$BA$1003,MATCH("Alltagsbegleitung [€/Stunde]",[1]Kundenübersicht!$E$3:$BA$3,FALSE),FALSE)),0),IFERROR(IF(I75="Hauswirtschaft",VLOOKUP($B75,[1]Kundenübersicht!$E$4:$BA$1003,MATCH("HW ab 2026 [€/Stunde]",[1]Kundenübersicht!$E$3:$BA$3,FALSE),FALSE),VLOOKUP($B75,[1]Kundenübersicht!$E$4:$BA$1003,MATCH("Alltagsbegleitung [€/Stunde]",[1]Kundenübersicht!$E$3:$BA$3,FALSE),FALSE)),0))</f>
        <v>32.75</v>
      </c>
      <c r="V75" s="16">
        <f t="shared" si="17"/>
        <v>24.5625</v>
      </c>
      <c r="W75" s="16">
        <f t="shared" si="12"/>
        <v>0</v>
      </c>
      <c r="X75" s="16" t="str">
        <f>VLOOKUP(B75,[1]Kundenübersicht!E:AG,MATCH($X$3,[1]Kundenübersicht!$E$3:$AY$3,0),FALSE)</f>
        <v>Alt</v>
      </c>
      <c r="Z75" s="20" t="s">
        <v>29</v>
      </c>
      <c r="AA75" s="19">
        <v>45950</v>
      </c>
      <c r="AC75" s="19">
        <v>45967</v>
      </c>
      <c r="AE75" s="9">
        <f t="shared" si="18"/>
        <v>2025</v>
      </c>
      <c r="AF75" s="17" t="str">
        <f t="shared" si="19"/>
        <v>08.2025</v>
      </c>
      <c r="AG75" s="17" t="str">
        <f t="shared" si="20"/>
        <v>Doreen Luzyna</v>
      </c>
      <c r="AH75" s="17" t="str">
        <f>IFERROR(VLOOKUP(B75,[1]Kundenübersicht!$E$4:$F$85,2,FALSE),"")</f>
        <v>Anita Fischer</v>
      </c>
      <c r="AI75" s="17" t="str">
        <f t="shared" si="11"/>
        <v>Hauswirtschaft</v>
      </c>
      <c r="AJ75" s="17" t="str">
        <f t="shared" si="11"/>
        <v>Entlastungsleistung</v>
      </c>
      <c r="AL75" s="18">
        <f t="shared" si="13"/>
        <v>38</v>
      </c>
      <c r="AM75" s="18">
        <f t="shared" si="14"/>
        <v>28.5</v>
      </c>
      <c r="AN75" s="18">
        <f t="shared" si="15"/>
        <v>0</v>
      </c>
    </row>
    <row r="76" spans="2:40" x14ac:dyDescent="0.25">
      <c r="B76" s="30" t="s">
        <v>38</v>
      </c>
      <c r="C76" s="31">
        <v>45883</v>
      </c>
      <c r="D76" s="32">
        <v>0.55208333333333337</v>
      </c>
      <c r="E76" s="32">
        <v>0.63541666666666663</v>
      </c>
      <c r="F76" s="12">
        <f t="shared" si="16"/>
        <v>1.9999999999999982</v>
      </c>
      <c r="G76" s="12"/>
      <c r="H76" s="30" t="s">
        <v>33</v>
      </c>
      <c r="I76" s="30" t="s">
        <v>27</v>
      </c>
      <c r="J76" s="30" t="s">
        <v>28</v>
      </c>
      <c r="K76" s="9" t="str">
        <f>VLOOKUP($B76,[1]Kundenübersicht!$E$4:$AC$1003,MATCH(K$3,[1]Kundenübersicht!$E$3:$BA$3,FALSE),FALSE)</f>
        <v>AOK PLUS</v>
      </c>
      <c r="L76" s="13">
        <f>VLOOKUP(B76,[1]Kundenübersicht!$E$4:$AC$1003,MATCH(L$3,[1]Kundenübersicht!$E$3:$BA$3,FALSE),FALSE)</f>
        <v>107299005</v>
      </c>
      <c r="M76" s="13" t="str">
        <f>VLOOKUP(B76,[1]Kundenübersicht!$E$4:$AC$1003,MATCH(M$3,[1]Kundenübersicht!$E$3:$BA$3,FALSE),FALSE)</f>
        <v>R782602114</v>
      </c>
      <c r="N76" s="13" t="str">
        <f>VLOOKUP(B76,[1]Kundenübersicht!$E$4:$AC$1003,MATCH(N$3,[1]Kundenübersicht!$E$3:$BA$3,FALSE),FALSE)</f>
        <v>PG 1</v>
      </c>
      <c r="P76" s="9" t="s">
        <v>29</v>
      </c>
      <c r="R76" s="9" t="s">
        <v>30</v>
      </c>
      <c r="S76" s="14" t="s">
        <v>31</v>
      </c>
      <c r="U76" s="15">
        <f>IF(YEAR(C76)&lt;=2025,IFERROR(IF(I76="Hauswirtschaft",VLOOKUP($B76,[1]Kundenübersicht!$E$4:$BA$1003,MATCH("Hauswirtschaft [€/Stunde]",[1]Kundenübersicht!$E$3:$BA$3,FALSE),FALSE),VLOOKUP($B76,[1]Kundenübersicht!$E$4:$BA$1003,MATCH("Alltagsbegleitung [€/Stunde]",[1]Kundenübersicht!$E$3:$BA$3,FALSE),FALSE)),0),IFERROR(IF(I76="Hauswirtschaft",VLOOKUP($B76,[1]Kundenübersicht!$E$4:$BA$1003,MATCH("HW ab 2026 [€/Stunde]",[1]Kundenübersicht!$E$3:$BA$3,FALSE),FALSE),VLOOKUP($B76,[1]Kundenübersicht!$E$4:$BA$1003,MATCH("Alltagsbegleitung [€/Stunde]",[1]Kundenübersicht!$E$3:$BA$3,FALSE),FALSE)),0))</f>
        <v>32.75</v>
      </c>
      <c r="V76" s="16">
        <f t="shared" si="17"/>
        <v>65.499999999999943</v>
      </c>
      <c r="W76" s="16">
        <f t="shared" si="12"/>
        <v>0</v>
      </c>
      <c r="X76" s="16" t="str">
        <f>VLOOKUP(B76,[1]Kundenübersicht!E:AG,MATCH($X$3,[1]Kundenübersicht!$E$3:$AY$3,0),FALSE)</f>
        <v>Alt</v>
      </c>
      <c r="Z76" s="20" t="s">
        <v>29</v>
      </c>
      <c r="AA76" s="19">
        <v>45922</v>
      </c>
      <c r="AC76" s="10">
        <v>46035</v>
      </c>
      <c r="AE76" s="9">
        <f t="shared" si="18"/>
        <v>2025</v>
      </c>
      <c r="AF76" s="17" t="str">
        <f t="shared" si="19"/>
        <v>08.2025</v>
      </c>
      <c r="AG76" s="17" t="str">
        <f t="shared" si="20"/>
        <v>Christiane Fiebag</v>
      </c>
      <c r="AH76" s="17" t="str">
        <f>IFERROR(VLOOKUP(B76,[1]Kundenübersicht!$E$4:$F$85,2,FALSE),"")</f>
        <v>Christian Jungnickel</v>
      </c>
      <c r="AI76" s="17" t="str">
        <f t="shared" si="11"/>
        <v>Hauswirtschaft</v>
      </c>
      <c r="AJ76" s="17" t="str">
        <f t="shared" si="11"/>
        <v>Entlastungsleistung</v>
      </c>
      <c r="AL76" s="18">
        <f t="shared" si="13"/>
        <v>38</v>
      </c>
      <c r="AM76" s="18">
        <f t="shared" si="14"/>
        <v>75.999999999999929</v>
      </c>
      <c r="AN76" s="18">
        <f t="shared" si="15"/>
        <v>0</v>
      </c>
    </row>
    <row r="77" spans="2:40" x14ac:dyDescent="0.25">
      <c r="B77" s="30" t="s">
        <v>49</v>
      </c>
      <c r="C77" s="31">
        <v>45883</v>
      </c>
      <c r="D77" s="32">
        <v>0.60416666666666663</v>
      </c>
      <c r="E77" s="32">
        <v>0.64583333333333337</v>
      </c>
      <c r="F77" s="12">
        <f t="shared" si="16"/>
        <v>1.0000000000000018</v>
      </c>
      <c r="G77" s="12"/>
      <c r="H77" s="30" t="s">
        <v>46</v>
      </c>
      <c r="I77" s="30" t="s">
        <v>27</v>
      </c>
      <c r="J77" s="30" t="s">
        <v>28</v>
      </c>
      <c r="K77" s="9" t="str">
        <f>VLOOKUP($B77,[1]Kundenübersicht!$E$4:$AC$1003,MATCH(K$3,[1]Kundenübersicht!$E$3:$BA$3,FALSE),FALSE)</f>
        <v>AOK PLUS</v>
      </c>
      <c r="L77" s="13">
        <f>VLOOKUP(B77,[1]Kundenübersicht!$E$4:$AC$1003,MATCH(L$3,[1]Kundenübersicht!$E$3:$BA$3,FALSE),FALSE)</f>
        <v>107299005</v>
      </c>
      <c r="M77" s="13" t="str">
        <f>VLOOKUP(B77,[1]Kundenübersicht!$E$4:$AC$1003,MATCH(M$3,[1]Kundenübersicht!$E$3:$BA$3,FALSE),FALSE)</f>
        <v>T309560658</v>
      </c>
      <c r="N77" s="13" t="str">
        <f>VLOOKUP(B77,[1]Kundenübersicht!$E$4:$AC$1003,MATCH(N$3,[1]Kundenübersicht!$E$3:$BA$3,FALSE),FALSE)</f>
        <v>PG 2</v>
      </c>
      <c r="P77" s="9" t="s">
        <v>29</v>
      </c>
      <c r="R77" s="9" t="s">
        <v>30</v>
      </c>
      <c r="S77" s="14" t="s">
        <v>31</v>
      </c>
      <c r="U77" s="15">
        <f>IF(YEAR(C77)&lt;=2025,IFERROR(IF(I77="Hauswirtschaft",VLOOKUP($B77,[1]Kundenübersicht!$E$4:$BA$1003,MATCH("Hauswirtschaft [€/Stunde]",[1]Kundenübersicht!$E$3:$BA$3,FALSE),FALSE),VLOOKUP($B77,[1]Kundenübersicht!$E$4:$BA$1003,MATCH("Alltagsbegleitung [€/Stunde]",[1]Kundenübersicht!$E$3:$BA$3,FALSE),FALSE)),0),IFERROR(IF(I77="Hauswirtschaft",VLOOKUP($B77,[1]Kundenübersicht!$E$4:$BA$1003,MATCH("HW ab 2026 [€/Stunde]",[1]Kundenübersicht!$E$3:$BA$3,FALSE),FALSE),VLOOKUP($B77,[1]Kundenübersicht!$E$4:$BA$1003,MATCH("Alltagsbegleitung [€/Stunde]",[1]Kundenübersicht!$E$3:$BA$3,FALSE),FALSE)),0))</f>
        <v>32.75</v>
      </c>
      <c r="V77" s="16">
        <f t="shared" si="17"/>
        <v>32.750000000000057</v>
      </c>
      <c r="W77" s="16">
        <f t="shared" si="12"/>
        <v>0</v>
      </c>
      <c r="X77" s="16" t="str">
        <f>VLOOKUP(B77,[1]Kundenübersicht!E:AG,MATCH($X$3,[1]Kundenübersicht!$E$3:$AY$3,0),FALSE)</f>
        <v>Alt</v>
      </c>
      <c r="Z77" s="20" t="s">
        <v>29</v>
      </c>
      <c r="AA77" s="19">
        <v>45922</v>
      </c>
      <c r="AC77" s="33">
        <v>46045</v>
      </c>
      <c r="AE77" s="9">
        <f t="shared" si="18"/>
        <v>2025</v>
      </c>
      <c r="AF77" s="17" t="str">
        <f t="shared" si="19"/>
        <v>08.2025</v>
      </c>
      <c r="AG77" s="17" t="str">
        <f t="shared" si="20"/>
        <v>Manuela Richter</v>
      </c>
      <c r="AH77" s="17" t="str">
        <f>IFERROR(VLOOKUP(B77,[1]Kundenübersicht!$E$4:$F$85,2,FALSE),"")</f>
        <v>Rita Neubert</v>
      </c>
      <c r="AI77" s="17" t="str">
        <f t="shared" si="11"/>
        <v>Hauswirtschaft</v>
      </c>
      <c r="AJ77" s="17" t="str">
        <f t="shared" si="11"/>
        <v>Entlastungsleistung</v>
      </c>
      <c r="AL77" s="18">
        <f t="shared" si="13"/>
        <v>38</v>
      </c>
      <c r="AM77" s="18">
        <f t="shared" si="14"/>
        <v>38.000000000000071</v>
      </c>
      <c r="AN77" s="18">
        <f t="shared" si="15"/>
        <v>0</v>
      </c>
    </row>
    <row r="78" spans="2:40" x14ac:dyDescent="0.25">
      <c r="B78" s="30" t="s">
        <v>45</v>
      </c>
      <c r="C78" s="31">
        <v>45883</v>
      </c>
      <c r="D78" s="32">
        <v>0.64583333333333337</v>
      </c>
      <c r="E78" s="32">
        <v>0.70833333333333337</v>
      </c>
      <c r="F78" s="12">
        <f t="shared" si="16"/>
        <v>1.5</v>
      </c>
      <c r="G78" s="12"/>
      <c r="H78" s="30" t="s">
        <v>46</v>
      </c>
      <c r="I78" s="30" t="s">
        <v>27</v>
      </c>
      <c r="J78" s="30" t="s">
        <v>28</v>
      </c>
      <c r="K78" s="28" t="s">
        <v>47</v>
      </c>
      <c r="L78" s="29">
        <v>109990508</v>
      </c>
      <c r="M78" s="29" t="s">
        <v>48</v>
      </c>
      <c r="N78" s="13" t="str">
        <f>VLOOKUP(B78,[1]Kundenübersicht!$E$4:$AC$1003,MATCH(N$3,[1]Kundenübersicht!$E$3:$BA$3,FALSE),FALSE)</f>
        <v>PG 1</v>
      </c>
      <c r="P78" s="9" t="s">
        <v>29</v>
      </c>
      <c r="R78" s="9" t="s">
        <v>30</v>
      </c>
      <c r="S78" s="14" t="s">
        <v>31</v>
      </c>
      <c r="U78" s="15">
        <f>IF(YEAR(C78)&lt;=2025,IFERROR(IF(I78="Hauswirtschaft",VLOOKUP($B78,[1]Kundenübersicht!$E$4:$BA$1003,MATCH("Hauswirtschaft [€/Stunde]",[1]Kundenübersicht!$E$3:$BA$3,FALSE),FALSE),VLOOKUP($B78,[1]Kundenübersicht!$E$4:$BA$1003,MATCH("Alltagsbegleitung [€/Stunde]",[1]Kundenübersicht!$E$3:$BA$3,FALSE),FALSE)),0),IFERROR(IF(I78="Hauswirtschaft",VLOOKUP($B78,[1]Kundenübersicht!$E$4:$BA$1003,MATCH("HW ab 2026 [€/Stunde]",[1]Kundenübersicht!$E$3:$BA$3,FALSE),FALSE),VLOOKUP($B78,[1]Kundenübersicht!$E$4:$BA$1003,MATCH("Alltagsbegleitung [€/Stunde]",[1]Kundenübersicht!$E$3:$BA$3,FALSE),FALSE)),0))</f>
        <v>32.75</v>
      </c>
      <c r="V78" s="16">
        <f t="shared" si="17"/>
        <v>49.125</v>
      </c>
      <c r="W78" s="16">
        <f t="shared" si="12"/>
        <v>0</v>
      </c>
      <c r="X78" s="16" t="str">
        <f>VLOOKUP(B78,[1]Kundenübersicht!E:AG,MATCH($X$3,[1]Kundenübersicht!$E$3:$AY$3,0),FALSE)</f>
        <v>Alt</v>
      </c>
      <c r="Z78" s="20" t="s">
        <v>29</v>
      </c>
      <c r="AA78" s="19"/>
      <c r="AC78" s="19"/>
      <c r="AE78" s="9">
        <f t="shared" si="18"/>
        <v>2025</v>
      </c>
      <c r="AF78" s="17" t="str">
        <f t="shared" si="19"/>
        <v>08.2025</v>
      </c>
      <c r="AG78" s="17" t="str">
        <f t="shared" si="20"/>
        <v>Manuela Richter</v>
      </c>
      <c r="AH78" s="17" t="str">
        <f>IFERROR(VLOOKUP(B78,[1]Kundenübersicht!$E$4:$F$85,2,FALSE),"")</f>
        <v>Hella Reißig</v>
      </c>
      <c r="AI78" s="17" t="str">
        <f t="shared" si="11"/>
        <v>Hauswirtschaft</v>
      </c>
      <c r="AJ78" s="17" t="str">
        <f t="shared" si="11"/>
        <v>Entlastungsleistung</v>
      </c>
      <c r="AL78" s="18">
        <f t="shared" si="13"/>
        <v>38</v>
      </c>
      <c r="AM78" s="18">
        <f t="shared" si="14"/>
        <v>57</v>
      </c>
      <c r="AN78" s="18">
        <f t="shared" si="15"/>
        <v>0</v>
      </c>
    </row>
    <row r="79" spans="2:40" x14ac:dyDescent="0.25">
      <c r="B79" s="30" t="s">
        <v>42</v>
      </c>
      <c r="C79" s="31">
        <v>45884</v>
      </c>
      <c r="D79" s="32">
        <v>0.41666666666666669</v>
      </c>
      <c r="E79" s="32">
        <v>0.48958333333333331</v>
      </c>
      <c r="F79" s="12">
        <f t="shared" si="16"/>
        <v>1.7499999999999991</v>
      </c>
      <c r="G79" s="12"/>
      <c r="H79" s="30" t="s">
        <v>33</v>
      </c>
      <c r="I79" s="30" t="s">
        <v>27</v>
      </c>
      <c r="J79" s="30" t="s">
        <v>28</v>
      </c>
      <c r="K79" s="9" t="str">
        <f>VLOOKUP($B79,[1]Kundenübersicht!$E$4:$AC$1003,MATCH(K$3,[1]Kundenübersicht!$E$3:$BA$3,FALSE),FALSE)</f>
        <v>Techniker Krankenkasse</v>
      </c>
      <c r="L79" s="13">
        <f>VLOOKUP(B79,[1]Kundenübersicht!$E$4:$AC$1003,MATCH(L$3,[1]Kundenübersicht!$E$3:$BA$3,FALSE),FALSE)</f>
        <v>101575519</v>
      </c>
      <c r="M79" s="13" t="str">
        <f>VLOOKUP(B79,[1]Kundenübersicht!$E$4:$AC$1003,MATCH(M$3,[1]Kundenübersicht!$E$3:$BA$3,FALSE),FALSE)</f>
        <v>E759973784</v>
      </c>
      <c r="N79" s="13" t="str">
        <f>VLOOKUP(B79,[1]Kundenübersicht!$E$4:$AC$1003,MATCH(N$3,[1]Kundenübersicht!$E$3:$BA$3,FALSE),FALSE)</f>
        <v>PG 2</v>
      </c>
      <c r="P79" s="9" t="s">
        <v>29</v>
      </c>
      <c r="R79" s="9" t="s">
        <v>30</v>
      </c>
      <c r="S79" s="14" t="s">
        <v>31</v>
      </c>
      <c r="U79" s="15">
        <f>IF(YEAR(C79)&lt;=2025,IFERROR(IF(I79="Hauswirtschaft",VLOOKUP($B79,[1]Kundenübersicht!$E$4:$BA$1003,MATCH("Hauswirtschaft [€/Stunde]",[1]Kundenübersicht!$E$3:$BA$3,FALSE),FALSE),VLOOKUP($B79,[1]Kundenübersicht!$E$4:$BA$1003,MATCH("Alltagsbegleitung [€/Stunde]",[1]Kundenübersicht!$E$3:$BA$3,FALSE),FALSE)),0),IFERROR(IF(I79="Hauswirtschaft",VLOOKUP($B79,[1]Kundenübersicht!$E$4:$BA$1003,MATCH("HW ab 2026 [€/Stunde]",[1]Kundenübersicht!$E$3:$BA$3,FALSE),FALSE),VLOOKUP($B79,[1]Kundenübersicht!$E$4:$BA$1003,MATCH("Alltagsbegleitung [€/Stunde]",[1]Kundenübersicht!$E$3:$BA$3,FALSE),FALSE)),0))</f>
        <v>32.75</v>
      </c>
      <c r="V79" s="16">
        <f t="shared" si="17"/>
        <v>57.312499999999972</v>
      </c>
      <c r="W79" s="16">
        <f t="shared" si="12"/>
        <v>0</v>
      </c>
      <c r="X79" s="16" t="str">
        <f>VLOOKUP(B79,[1]Kundenübersicht!E:AG,MATCH($X$3,[1]Kundenübersicht!$E$3:$AY$3,0),FALSE)</f>
        <v>Alt</v>
      </c>
      <c r="Z79" s="20" t="s">
        <v>29</v>
      </c>
      <c r="AA79" s="19">
        <v>45950</v>
      </c>
      <c r="AC79" s="19">
        <v>45986</v>
      </c>
      <c r="AE79" s="9">
        <f t="shared" si="18"/>
        <v>2025</v>
      </c>
      <c r="AF79" s="17" t="str">
        <f t="shared" si="19"/>
        <v>08.2025</v>
      </c>
      <c r="AG79" s="17" t="str">
        <f t="shared" si="20"/>
        <v>Christiane Fiebag</v>
      </c>
      <c r="AH79" s="17" t="str">
        <f>IFERROR(VLOOKUP(B79,[1]Kundenübersicht!$E$4:$F$85,2,FALSE),"")</f>
        <v>Martin Schmidt</v>
      </c>
      <c r="AI79" s="17" t="str">
        <f t="shared" si="11"/>
        <v>Hauswirtschaft</v>
      </c>
      <c r="AJ79" s="17" t="str">
        <f t="shared" si="11"/>
        <v>Entlastungsleistung</v>
      </c>
      <c r="AL79" s="18">
        <f t="shared" si="13"/>
        <v>38</v>
      </c>
      <c r="AM79" s="18">
        <f t="shared" si="14"/>
        <v>66.499999999999972</v>
      </c>
      <c r="AN79" s="18">
        <f t="shared" si="15"/>
        <v>0</v>
      </c>
    </row>
    <row r="80" spans="2:40" x14ac:dyDescent="0.25">
      <c r="B80" s="30" t="s">
        <v>34</v>
      </c>
      <c r="C80" s="31">
        <v>45880</v>
      </c>
      <c r="D80" s="32">
        <v>0.45833333333333331</v>
      </c>
      <c r="E80" s="32">
        <v>0.5</v>
      </c>
      <c r="F80" s="12">
        <f t="shared" si="16"/>
        <v>1.0000000000000004</v>
      </c>
      <c r="G80" s="12"/>
      <c r="H80" s="30" t="s">
        <v>33</v>
      </c>
      <c r="I80" s="30" t="s">
        <v>27</v>
      </c>
      <c r="J80" s="30" t="s">
        <v>28</v>
      </c>
      <c r="K80" s="9" t="str">
        <f>VLOOKUP($B80,[1]Kundenübersicht!$E$4:$AC$1003,MATCH(K$3,[1]Kundenübersicht!$E$3:$BA$3,FALSE),FALSE)</f>
        <v>AOK PLUS</v>
      </c>
      <c r="L80" s="13">
        <f>VLOOKUP(B80,[1]Kundenübersicht!$E$4:$AC$1003,MATCH(L$3,[1]Kundenübersicht!$E$3:$BA$3,FALSE),FALSE)</f>
        <v>107299005</v>
      </c>
      <c r="M80" s="13" t="str">
        <f>VLOOKUP(B80,[1]Kundenübersicht!$E$4:$AC$1003,MATCH(M$3,[1]Kundenübersicht!$E$3:$BA$3,FALSE),FALSE)</f>
        <v>R234942678</v>
      </c>
      <c r="N80" s="13" t="str">
        <f>VLOOKUP(B80,[1]Kundenübersicht!$E$4:$AC$1003,MATCH(N$3,[1]Kundenübersicht!$E$3:$BA$3,FALSE),FALSE)</f>
        <v>PG 2</v>
      </c>
      <c r="P80" s="9" t="s">
        <v>29</v>
      </c>
      <c r="R80" s="9" t="s">
        <v>30</v>
      </c>
      <c r="S80" s="14" t="s">
        <v>31</v>
      </c>
      <c r="U80" s="15">
        <f>IF(YEAR(C80)&lt;=2025,IFERROR(IF(I80="Hauswirtschaft",VLOOKUP($B80,[1]Kundenübersicht!$E$4:$BA$1003,MATCH("Hauswirtschaft [€/Stunde]",[1]Kundenübersicht!$E$3:$BA$3,FALSE),FALSE),VLOOKUP($B80,[1]Kundenübersicht!$E$4:$BA$1003,MATCH("Alltagsbegleitung [€/Stunde]",[1]Kundenübersicht!$E$3:$BA$3,FALSE),FALSE)),0),IFERROR(IF(I80="Hauswirtschaft",VLOOKUP($B80,[1]Kundenübersicht!$E$4:$BA$1003,MATCH("HW ab 2026 [€/Stunde]",[1]Kundenübersicht!$E$3:$BA$3,FALSE),FALSE),VLOOKUP($B80,[1]Kundenübersicht!$E$4:$BA$1003,MATCH("Alltagsbegleitung [€/Stunde]",[1]Kundenübersicht!$E$3:$BA$3,FALSE),FALSE)),0))</f>
        <v>32.75</v>
      </c>
      <c r="V80" s="16">
        <f t="shared" si="17"/>
        <v>32.750000000000014</v>
      </c>
      <c r="W80" s="16">
        <f t="shared" si="12"/>
        <v>0</v>
      </c>
      <c r="X80" s="16" t="str">
        <f>VLOOKUP(B80,[1]Kundenübersicht!E:AG,MATCH($X$3,[1]Kundenübersicht!$E$3:$AY$3,0),FALSE)</f>
        <v>Alt</v>
      </c>
      <c r="Z80" s="20" t="s">
        <v>29</v>
      </c>
      <c r="AA80" s="10">
        <v>45922</v>
      </c>
      <c r="AC80" s="10">
        <v>46035</v>
      </c>
      <c r="AE80" s="9">
        <f t="shared" si="18"/>
        <v>2025</v>
      </c>
      <c r="AF80" s="17" t="str">
        <f t="shared" si="19"/>
        <v>08.2025</v>
      </c>
      <c r="AG80" s="17" t="str">
        <f t="shared" si="20"/>
        <v>Christiane Fiebag</v>
      </c>
      <c r="AH80" s="17" t="str">
        <f>IFERROR(VLOOKUP(B80,[1]Kundenübersicht!$E$4:$F$85,2,FALSE),"")</f>
        <v>Dieter Berghold</v>
      </c>
      <c r="AI80" s="17" t="str">
        <f t="shared" si="11"/>
        <v>Hauswirtschaft</v>
      </c>
      <c r="AJ80" s="17" t="str">
        <f t="shared" si="11"/>
        <v>Entlastungsleistung</v>
      </c>
      <c r="AL80" s="18">
        <f t="shared" si="13"/>
        <v>38</v>
      </c>
      <c r="AM80" s="18">
        <f t="shared" si="14"/>
        <v>38.000000000000014</v>
      </c>
      <c r="AN80" s="18">
        <f t="shared" si="15"/>
        <v>0</v>
      </c>
    </row>
    <row r="81" spans="2:40" x14ac:dyDescent="0.25">
      <c r="B81" s="30" t="s">
        <v>34</v>
      </c>
      <c r="C81" s="31">
        <v>45887</v>
      </c>
      <c r="D81" s="32">
        <v>0.45833333333333331</v>
      </c>
      <c r="E81" s="32">
        <v>0.5</v>
      </c>
      <c r="F81" s="12">
        <f t="shared" si="16"/>
        <v>1.0000000000000004</v>
      </c>
      <c r="G81" s="12"/>
      <c r="H81" s="30" t="s">
        <v>33</v>
      </c>
      <c r="I81" s="30" t="s">
        <v>27</v>
      </c>
      <c r="J81" s="30" t="s">
        <v>28</v>
      </c>
      <c r="K81" s="9" t="str">
        <f>VLOOKUP($B81,[1]Kundenübersicht!$E$4:$AC$1003,MATCH(K$3,[1]Kundenübersicht!$E$3:$BA$3,FALSE),FALSE)</f>
        <v>AOK PLUS</v>
      </c>
      <c r="L81" s="13">
        <f>VLOOKUP(B81,[1]Kundenübersicht!$E$4:$AC$1003,MATCH(L$3,[1]Kundenübersicht!$E$3:$BA$3,FALSE),FALSE)</f>
        <v>107299005</v>
      </c>
      <c r="M81" s="13" t="str">
        <f>VLOOKUP(B81,[1]Kundenübersicht!$E$4:$AC$1003,MATCH(M$3,[1]Kundenübersicht!$E$3:$BA$3,FALSE),FALSE)</f>
        <v>R234942678</v>
      </c>
      <c r="N81" s="13" t="str">
        <f>VLOOKUP(B81,[1]Kundenübersicht!$E$4:$AC$1003,MATCH(N$3,[1]Kundenübersicht!$E$3:$BA$3,FALSE),FALSE)</f>
        <v>PG 2</v>
      </c>
      <c r="P81" s="9" t="s">
        <v>29</v>
      </c>
      <c r="R81" s="9" t="s">
        <v>30</v>
      </c>
      <c r="S81" s="14" t="s">
        <v>31</v>
      </c>
      <c r="U81" s="15">
        <f>IF(YEAR(C81)&lt;=2025,IFERROR(IF(I81="Hauswirtschaft",VLOOKUP($B81,[1]Kundenübersicht!$E$4:$BA$1003,MATCH("Hauswirtschaft [€/Stunde]",[1]Kundenübersicht!$E$3:$BA$3,FALSE),FALSE),VLOOKUP($B81,[1]Kundenübersicht!$E$4:$BA$1003,MATCH("Alltagsbegleitung [€/Stunde]",[1]Kundenübersicht!$E$3:$BA$3,FALSE),FALSE)),0),IFERROR(IF(I81="Hauswirtschaft",VLOOKUP($B81,[1]Kundenübersicht!$E$4:$BA$1003,MATCH("HW ab 2026 [€/Stunde]",[1]Kundenübersicht!$E$3:$BA$3,FALSE),FALSE),VLOOKUP($B81,[1]Kundenübersicht!$E$4:$BA$1003,MATCH("Alltagsbegleitung [€/Stunde]",[1]Kundenübersicht!$E$3:$BA$3,FALSE),FALSE)),0))</f>
        <v>32.75</v>
      </c>
      <c r="V81" s="16">
        <f t="shared" si="17"/>
        <v>32.750000000000014</v>
      </c>
      <c r="W81" s="16">
        <f t="shared" si="12"/>
        <v>0</v>
      </c>
      <c r="X81" s="16" t="str">
        <f>VLOOKUP(B81,[1]Kundenübersicht!E:AG,MATCH($X$3,[1]Kundenübersicht!$E$3:$AY$3,0),FALSE)</f>
        <v>Alt</v>
      </c>
      <c r="Z81" s="20" t="s">
        <v>29</v>
      </c>
      <c r="AA81" s="10">
        <v>45922</v>
      </c>
      <c r="AC81" s="10">
        <v>46035</v>
      </c>
      <c r="AE81" s="9">
        <f t="shared" si="18"/>
        <v>2025</v>
      </c>
      <c r="AF81" s="17" t="str">
        <f t="shared" si="19"/>
        <v>08.2025</v>
      </c>
      <c r="AG81" s="17" t="str">
        <f t="shared" si="20"/>
        <v>Christiane Fiebag</v>
      </c>
      <c r="AH81" s="17" t="str">
        <f>IFERROR(VLOOKUP(B81,[1]Kundenübersicht!$E$4:$F$85,2,FALSE),"")</f>
        <v>Dieter Berghold</v>
      </c>
      <c r="AI81" s="17" t="str">
        <f t="shared" si="11"/>
        <v>Hauswirtschaft</v>
      </c>
      <c r="AJ81" s="17" t="str">
        <f t="shared" si="11"/>
        <v>Entlastungsleistung</v>
      </c>
      <c r="AL81" s="18">
        <f t="shared" si="13"/>
        <v>38</v>
      </c>
      <c r="AM81" s="18">
        <f t="shared" si="14"/>
        <v>38.000000000000014</v>
      </c>
      <c r="AN81" s="18">
        <f t="shared" si="15"/>
        <v>0</v>
      </c>
    </row>
    <row r="82" spans="2:40" x14ac:dyDescent="0.25">
      <c r="B82" s="30" t="s">
        <v>59</v>
      </c>
      <c r="C82" s="31">
        <v>45887</v>
      </c>
      <c r="D82" s="32">
        <v>0.47916666666666669</v>
      </c>
      <c r="E82" s="32">
        <v>0.51041666666666663</v>
      </c>
      <c r="F82" s="12">
        <f t="shared" si="16"/>
        <v>0.74999999999999867</v>
      </c>
      <c r="G82" s="12"/>
      <c r="H82" s="30" t="s">
        <v>55</v>
      </c>
      <c r="I82" s="30" t="s">
        <v>27</v>
      </c>
      <c r="J82" s="30" t="s">
        <v>28</v>
      </c>
      <c r="K82" s="9" t="str">
        <f>VLOOKUP($B82,[1]Kundenübersicht!$E$4:$AC$1003,MATCH(K$3,[1]Kundenübersicht!$E$3:$BA$3,FALSE),FALSE)</f>
        <v>IKK Classic</v>
      </c>
      <c r="L82" s="13">
        <f>VLOOKUP(B82,[1]Kundenübersicht!$E$4:$AC$1003,MATCH(L$3,[1]Kundenübersicht!$E$3:$BA$3,FALSE),FALSE)</f>
        <v>187202793</v>
      </c>
      <c r="M82" s="13" t="str">
        <f>VLOOKUP(B82,[1]Kundenübersicht!$E$4:$AC$1003,MATCH(M$3,[1]Kundenübersicht!$E$3:$BA$3,FALSE),FALSE)</f>
        <v>E747849508</v>
      </c>
      <c r="N82" s="13" t="str">
        <f>VLOOKUP(B82,[1]Kundenübersicht!$E$4:$AC$1003,MATCH(N$3,[1]Kundenübersicht!$E$3:$BA$3,FALSE),FALSE)</f>
        <v>PG 3</v>
      </c>
      <c r="P82" s="9" t="s">
        <v>29</v>
      </c>
      <c r="R82" s="9" t="s">
        <v>30</v>
      </c>
      <c r="S82" s="14" t="s">
        <v>31</v>
      </c>
      <c r="U82" s="15">
        <f>IF(YEAR(C82)&lt;=2025,IFERROR(IF(I82="Hauswirtschaft",VLOOKUP($B82,[1]Kundenübersicht!$E$4:$BA$1003,MATCH("Hauswirtschaft [€/Stunde]",[1]Kundenübersicht!$E$3:$BA$3,FALSE),FALSE),VLOOKUP($B82,[1]Kundenübersicht!$E$4:$BA$1003,MATCH("Alltagsbegleitung [€/Stunde]",[1]Kundenübersicht!$E$3:$BA$3,FALSE),FALSE)),0),IFERROR(IF(I82="Hauswirtschaft",VLOOKUP($B82,[1]Kundenübersicht!$E$4:$BA$1003,MATCH("HW ab 2026 [€/Stunde]",[1]Kundenübersicht!$E$3:$BA$3,FALSE),FALSE),VLOOKUP($B82,[1]Kundenübersicht!$E$4:$BA$1003,MATCH("Alltagsbegleitung [€/Stunde]",[1]Kundenübersicht!$E$3:$BA$3,FALSE),FALSE)),0))</f>
        <v>32.75</v>
      </c>
      <c r="V82" s="16">
        <f t="shared" si="17"/>
        <v>24.562499999999957</v>
      </c>
      <c r="W82" s="16">
        <f t="shared" si="12"/>
        <v>0</v>
      </c>
      <c r="X82" s="16" t="str">
        <f>VLOOKUP(B82,[1]Kundenübersicht!E:AG,MATCH($X$3,[1]Kundenübersicht!$E$3:$AY$3,0),FALSE)</f>
        <v>Alt</v>
      </c>
      <c r="Z82" s="20" t="s">
        <v>29</v>
      </c>
      <c r="AA82" s="19">
        <v>45950</v>
      </c>
      <c r="AC82" s="19">
        <v>45967</v>
      </c>
      <c r="AE82" s="9">
        <f t="shared" si="18"/>
        <v>2025</v>
      </c>
      <c r="AF82" s="17" t="str">
        <f t="shared" si="19"/>
        <v>08.2025</v>
      </c>
      <c r="AG82" s="17" t="str">
        <f t="shared" si="20"/>
        <v>Doreen Luzyna</v>
      </c>
      <c r="AH82" s="17" t="str">
        <f>IFERROR(VLOOKUP(B82,[1]Kundenübersicht!$E$4:$F$85,2,FALSE),"")</f>
        <v>Anita Fischer</v>
      </c>
      <c r="AI82" s="17" t="str">
        <f t="shared" ref="AI82:AJ99" si="21">IF(I82="","",I82)</f>
        <v>Hauswirtschaft</v>
      </c>
      <c r="AJ82" s="17" t="str">
        <f t="shared" si="21"/>
        <v>Entlastungsleistung</v>
      </c>
      <c r="AL82" s="18">
        <f t="shared" si="13"/>
        <v>38</v>
      </c>
      <c r="AM82" s="18">
        <f t="shared" si="14"/>
        <v>28.49999999999995</v>
      </c>
      <c r="AN82" s="18">
        <f t="shared" si="15"/>
        <v>0</v>
      </c>
    </row>
    <row r="83" spans="2:40" x14ac:dyDescent="0.25">
      <c r="B83" s="30" t="s">
        <v>57</v>
      </c>
      <c r="C83" s="31">
        <v>45887</v>
      </c>
      <c r="D83" s="32">
        <v>0.375</v>
      </c>
      <c r="E83" s="32">
        <v>0.45833333333333331</v>
      </c>
      <c r="F83" s="12">
        <f t="shared" si="16"/>
        <v>1.9999999999999996</v>
      </c>
      <c r="G83" s="12"/>
      <c r="H83" s="30" t="s">
        <v>55</v>
      </c>
      <c r="I83" s="30" t="s">
        <v>27</v>
      </c>
      <c r="J83" s="30" t="s">
        <v>28</v>
      </c>
      <c r="K83" s="9" t="str">
        <f>VLOOKUP($B83,[1]Kundenübersicht!$E$4:$AC$1003,MATCH(K$3,[1]Kundenübersicht!$E$3:$BA$3,FALSE),FALSE)</f>
        <v>AOK PLUS</v>
      </c>
      <c r="L83" s="13">
        <f>VLOOKUP(B83,[1]Kundenübersicht!$E$4:$AC$1003,MATCH(L$3,[1]Kundenübersicht!$E$3:$BA$3,FALSE),FALSE)</f>
        <v>107299005</v>
      </c>
      <c r="M83" s="13" t="str">
        <f>VLOOKUP(B83,[1]Kundenübersicht!$E$4:$AC$1003,MATCH(M$3,[1]Kundenübersicht!$E$3:$BA$3,FALSE),FALSE)</f>
        <v>N303904545</v>
      </c>
      <c r="N83" s="13" t="str">
        <f>VLOOKUP(B83,[1]Kundenübersicht!$E$4:$AC$1003,MATCH(N$3,[1]Kundenübersicht!$E$3:$BA$3,FALSE),FALSE)</f>
        <v>PG 1</v>
      </c>
      <c r="P83" s="9" t="s">
        <v>29</v>
      </c>
      <c r="R83" s="9" t="s">
        <v>30</v>
      </c>
      <c r="S83" s="14" t="s">
        <v>31</v>
      </c>
      <c r="U83" s="15">
        <f>IF(YEAR(C83)&lt;=2025,IFERROR(IF(I83="Hauswirtschaft",VLOOKUP($B83,[1]Kundenübersicht!$E$4:$BA$1003,MATCH("Hauswirtschaft [€/Stunde]",[1]Kundenübersicht!$E$3:$BA$3,FALSE),FALSE),VLOOKUP($B83,[1]Kundenübersicht!$E$4:$BA$1003,MATCH("Alltagsbegleitung [€/Stunde]",[1]Kundenübersicht!$E$3:$BA$3,FALSE),FALSE)),0),IFERROR(IF(I83="Hauswirtschaft",VLOOKUP($B83,[1]Kundenübersicht!$E$4:$BA$1003,MATCH("HW ab 2026 [€/Stunde]",[1]Kundenübersicht!$E$3:$BA$3,FALSE),FALSE),VLOOKUP($B83,[1]Kundenübersicht!$E$4:$BA$1003,MATCH("Alltagsbegleitung [€/Stunde]",[1]Kundenübersicht!$E$3:$BA$3,FALSE),FALSE)),0))</f>
        <v>32.75</v>
      </c>
      <c r="V83" s="16">
        <f t="shared" si="17"/>
        <v>65.499999999999986</v>
      </c>
      <c r="W83" s="16">
        <f t="shared" si="12"/>
        <v>0</v>
      </c>
      <c r="X83" s="16" t="str">
        <f>VLOOKUP(B83,[1]Kundenübersicht!E:AG,MATCH($X$3,[1]Kundenübersicht!$E$3:$AY$3,0),FALSE)</f>
        <v>Alt</v>
      </c>
      <c r="Z83" s="20" t="s">
        <v>29</v>
      </c>
      <c r="AA83" s="19">
        <v>45922</v>
      </c>
      <c r="AC83" s="10">
        <v>46035</v>
      </c>
      <c r="AE83" s="9">
        <f t="shared" si="18"/>
        <v>2025</v>
      </c>
      <c r="AF83" s="17" t="str">
        <f t="shared" si="19"/>
        <v>08.2025</v>
      </c>
      <c r="AG83" s="17" t="str">
        <f t="shared" si="20"/>
        <v>Doreen Luzyna</v>
      </c>
      <c r="AH83" s="17" t="str">
        <f>IFERROR(VLOOKUP(B83,[1]Kundenübersicht!$E$4:$F$85,2,FALSE),"")</f>
        <v>Egon Bochmann</v>
      </c>
      <c r="AI83" s="17" t="str">
        <f t="shared" si="21"/>
        <v>Hauswirtschaft</v>
      </c>
      <c r="AJ83" s="17" t="str">
        <f t="shared" si="21"/>
        <v>Entlastungsleistung</v>
      </c>
      <c r="AL83" s="18">
        <f t="shared" si="13"/>
        <v>38</v>
      </c>
      <c r="AM83" s="18">
        <f t="shared" si="14"/>
        <v>75.999999999999986</v>
      </c>
      <c r="AN83" s="18">
        <f t="shared" si="15"/>
        <v>0</v>
      </c>
    </row>
    <row r="84" spans="2:40" x14ac:dyDescent="0.25">
      <c r="B84" s="30" t="s">
        <v>58</v>
      </c>
      <c r="C84" s="31">
        <v>45887</v>
      </c>
      <c r="D84" s="32">
        <v>0.51041666666666663</v>
      </c>
      <c r="E84" s="32">
        <v>0.54166666666666663</v>
      </c>
      <c r="F84" s="12">
        <f t="shared" si="16"/>
        <v>0.75</v>
      </c>
      <c r="G84" s="12"/>
      <c r="H84" s="30" t="s">
        <v>55</v>
      </c>
      <c r="I84" s="30" t="s">
        <v>27</v>
      </c>
      <c r="J84" s="30" t="s">
        <v>28</v>
      </c>
      <c r="K84" s="9" t="str">
        <f>VLOOKUP($B84,[1]Kundenübersicht!$E$4:$AC$1003,MATCH(K$3,[1]Kundenübersicht!$E$3:$BA$3,FALSE),FALSE)</f>
        <v>IKK Classic</v>
      </c>
      <c r="L84" s="13">
        <f>VLOOKUP(B84,[1]Kundenübersicht!$E$4:$AC$1003,MATCH(L$3,[1]Kundenübersicht!$E$3:$BA$3,FALSE),FALSE)</f>
        <v>187202793</v>
      </c>
      <c r="M84" s="13" t="str">
        <f>VLOOKUP(B84,[1]Kundenübersicht!$E$4:$AC$1003,MATCH(M$3,[1]Kundenübersicht!$E$3:$BA$3,FALSE),FALSE)</f>
        <v>G520510754</v>
      </c>
      <c r="N84" s="13" t="str">
        <f>VLOOKUP(B84,[1]Kundenübersicht!$E$4:$AC$1003,MATCH(N$3,[1]Kundenübersicht!$E$3:$BA$3,FALSE),FALSE)</f>
        <v>PG 2</v>
      </c>
      <c r="P84" s="9" t="s">
        <v>29</v>
      </c>
      <c r="R84" s="9" t="s">
        <v>30</v>
      </c>
      <c r="S84" s="14" t="s">
        <v>31</v>
      </c>
      <c r="U84" s="15">
        <f>IF(YEAR(C84)&lt;=2025,IFERROR(IF(I84="Hauswirtschaft",VLOOKUP($B84,[1]Kundenübersicht!$E$4:$BA$1003,MATCH("Hauswirtschaft [€/Stunde]",[1]Kundenübersicht!$E$3:$BA$3,FALSE),FALSE),VLOOKUP($B84,[1]Kundenübersicht!$E$4:$BA$1003,MATCH("Alltagsbegleitung [€/Stunde]",[1]Kundenübersicht!$E$3:$BA$3,FALSE),FALSE)),0),IFERROR(IF(I84="Hauswirtschaft",VLOOKUP($B84,[1]Kundenübersicht!$E$4:$BA$1003,MATCH("HW ab 2026 [€/Stunde]",[1]Kundenübersicht!$E$3:$BA$3,FALSE),FALSE),VLOOKUP($B84,[1]Kundenübersicht!$E$4:$BA$1003,MATCH("Alltagsbegleitung [€/Stunde]",[1]Kundenübersicht!$E$3:$BA$3,FALSE),FALSE)),0))</f>
        <v>32.75</v>
      </c>
      <c r="V84" s="16">
        <f t="shared" si="17"/>
        <v>24.5625</v>
      </c>
      <c r="W84" s="16">
        <f t="shared" si="12"/>
        <v>0</v>
      </c>
      <c r="X84" s="16" t="str">
        <f>VLOOKUP(B84,[1]Kundenübersicht!E:AG,MATCH($X$3,[1]Kundenübersicht!$E$3:$AY$3,0),FALSE)</f>
        <v>Alt</v>
      </c>
      <c r="Z84" s="20" t="s">
        <v>29</v>
      </c>
      <c r="AA84" s="19">
        <v>45950</v>
      </c>
      <c r="AC84" s="19">
        <v>45967</v>
      </c>
      <c r="AE84" s="9">
        <f t="shared" si="18"/>
        <v>2025</v>
      </c>
      <c r="AF84" s="17" t="str">
        <f t="shared" si="19"/>
        <v>08.2025</v>
      </c>
      <c r="AG84" s="17" t="str">
        <f t="shared" si="20"/>
        <v>Doreen Luzyna</v>
      </c>
      <c r="AH84" s="17" t="str">
        <f>IFERROR(VLOOKUP(B84,[1]Kundenübersicht!$E$4:$F$85,2,FALSE),"")</f>
        <v>Bernd Fischer</v>
      </c>
      <c r="AI84" s="17" t="str">
        <f t="shared" si="21"/>
        <v>Hauswirtschaft</v>
      </c>
      <c r="AJ84" s="17" t="str">
        <f t="shared" si="21"/>
        <v>Entlastungsleistung</v>
      </c>
      <c r="AL84" s="18">
        <f t="shared" si="13"/>
        <v>38</v>
      </c>
      <c r="AM84" s="18">
        <f t="shared" si="14"/>
        <v>28.5</v>
      </c>
      <c r="AN84" s="18">
        <f t="shared" si="15"/>
        <v>0</v>
      </c>
    </row>
    <row r="85" spans="2:40" x14ac:dyDescent="0.25">
      <c r="B85" s="30" t="s">
        <v>37</v>
      </c>
      <c r="C85" s="31">
        <v>45888</v>
      </c>
      <c r="D85" s="32">
        <v>0.35416666666666669</v>
      </c>
      <c r="E85" s="32">
        <v>0.4375</v>
      </c>
      <c r="F85" s="12">
        <f t="shared" si="16"/>
        <v>1.9999999999999996</v>
      </c>
      <c r="G85" s="12"/>
      <c r="H85" s="30" t="s">
        <v>55</v>
      </c>
      <c r="I85" s="30" t="s">
        <v>27</v>
      </c>
      <c r="J85" s="30" t="s">
        <v>28</v>
      </c>
      <c r="K85" s="9" t="str">
        <f>VLOOKUP($B85,[1]Kundenübersicht!$E$4:$AC$1003,MATCH(K$3,[1]Kundenübersicht!$E$3:$BA$3,FALSE),FALSE)</f>
        <v>IKK Classic</v>
      </c>
      <c r="L85" s="13" t="str">
        <f>VLOOKUP(B85,[1]Kundenübersicht!$E$4:$AC$1003,MATCH(L$3,[1]Kundenübersicht!$E$3:$BA$3,FALSE),FALSE)</f>
        <v>187202793</v>
      </c>
      <c r="M85" s="13" t="str">
        <f>VLOOKUP(B85,[1]Kundenübersicht!$E$4:$AC$1003,MATCH(M$3,[1]Kundenübersicht!$E$3:$BA$3,FALSE),FALSE)</f>
        <v>E434900220</v>
      </c>
      <c r="N85" s="13" t="str">
        <f>VLOOKUP(B85,[1]Kundenübersicht!$E$4:$AC$1003,MATCH(N$3,[1]Kundenübersicht!$E$3:$BA$3,FALSE),FALSE)</f>
        <v>PG 1</v>
      </c>
      <c r="P85" s="9" t="s">
        <v>29</v>
      </c>
      <c r="R85" s="9" t="s">
        <v>30</v>
      </c>
      <c r="S85" s="14" t="s">
        <v>31</v>
      </c>
      <c r="U85" s="15">
        <f>IF(YEAR(C85)&lt;=2025,IFERROR(IF(I85="Hauswirtschaft",VLOOKUP($B85,[1]Kundenübersicht!$E$4:$BA$1003,MATCH("Hauswirtschaft [€/Stunde]",[1]Kundenübersicht!$E$3:$BA$3,FALSE),FALSE),VLOOKUP($B85,[1]Kundenübersicht!$E$4:$BA$1003,MATCH("Alltagsbegleitung [€/Stunde]",[1]Kundenübersicht!$E$3:$BA$3,FALSE),FALSE)),0),IFERROR(IF(I85="Hauswirtschaft",VLOOKUP($B85,[1]Kundenübersicht!$E$4:$BA$1003,MATCH("HW ab 2026 [€/Stunde]",[1]Kundenübersicht!$E$3:$BA$3,FALSE),FALSE),VLOOKUP($B85,[1]Kundenübersicht!$E$4:$BA$1003,MATCH("Alltagsbegleitung [€/Stunde]",[1]Kundenübersicht!$E$3:$BA$3,FALSE),FALSE)),0))</f>
        <v>32.75</v>
      </c>
      <c r="V85" s="16">
        <f t="shared" si="17"/>
        <v>65.499999999999986</v>
      </c>
      <c r="W85" s="16">
        <f t="shared" si="12"/>
        <v>0</v>
      </c>
      <c r="X85" s="16" t="str">
        <f>VLOOKUP(B85,[1]Kundenübersicht!E:AG,MATCH($X$3,[1]Kundenübersicht!$E$3:$AY$3,0),FALSE)</f>
        <v>Alt</v>
      </c>
      <c r="Z85" s="20" t="s">
        <v>29</v>
      </c>
      <c r="AA85" s="19">
        <v>45950</v>
      </c>
      <c r="AC85" s="19">
        <v>45967</v>
      </c>
      <c r="AE85" s="9">
        <f t="shared" si="18"/>
        <v>2025</v>
      </c>
      <c r="AF85" s="17" t="str">
        <f t="shared" si="19"/>
        <v>08.2025</v>
      </c>
      <c r="AG85" s="17" t="str">
        <f t="shared" si="20"/>
        <v>Doreen Luzyna</v>
      </c>
      <c r="AH85" s="17" t="str">
        <f>IFERROR(VLOOKUP(B85,[1]Kundenübersicht!$E$4:$F$85,2,FALSE),"")</f>
        <v>Lothar Haufe</v>
      </c>
      <c r="AI85" s="17" t="str">
        <f t="shared" si="21"/>
        <v>Hauswirtschaft</v>
      </c>
      <c r="AJ85" s="17" t="str">
        <f t="shared" si="21"/>
        <v>Entlastungsleistung</v>
      </c>
      <c r="AL85" s="18">
        <f t="shared" si="13"/>
        <v>38</v>
      </c>
      <c r="AM85" s="18">
        <f t="shared" si="14"/>
        <v>75.999999999999986</v>
      </c>
      <c r="AN85" s="18">
        <f t="shared" si="15"/>
        <v>0</v>
      </c>
    </row>
    <row r="86" spans="2:40" x14ac:dyDescent="0.25">
      <c r="B86" s="30" t="s">
        <v>36</v>
      </c>
      <c r="C86" s="31">
        <v>45888</v>
      </c>
      <c r="D86" s="32">
        <v>0.4375</v>
      </c>
      <c r="E86" s="32">
        <v>0.52083333333333337</v>
      </c>
      <c r="F86" s="12">
        <f t="shared" si="16"/>
        <v>2.0000000000000009</v>
      </c>
      <c r="G86" s="12"/>
      <c r="H86" s="30" t="s">
        <v>55</v>
      </c>
      <c r="I86" s="30" t="s">
        <v>27</v>
      </c>
      <c r="J86" s="30" t="s">
        <v>28</v>
      </c>
      <c r="K86" s="9" t="str">
        <f>VLOOKUP($B86,[1]Kundenübersicht!$E$4:$AC$1003,MATCH(K$3,[1]Kundenübersicht!$E$3:$BA$3,FALSE),FALSE)</f>
        <v>IKK Classic</v>
      </c>
      <c r="L86" s="13" t="str">
        <f>VLOOKUP(B86,[1]Kundenübersicht!$E$4:$AC$1003,MATCH(L$3,[1]Kundenübersicht!$E$3:$BA$3,FALSE),FALSE)</f>
        <v>187202793</v>
      </c>
      <c r="M86" s="13" t="str">
        <f>VLOOKUP(B86,[1]Kundenübersicht!$E$4:$AC$1003,MATCH(M$3,[1]Kundenübersicht!$E$3:$BA$3,FALSE),FALSE)</f>
        <v>X365499146</v>
      </c>
      <c r="N86" s="13" t="str">
        <f>VLOOKUP(B86,[1]Kundenübersicht!$E$4:$AC$1003,MATCH(N$3,[1]Kundenübersicht!$E$3:$BA$3,FALSE),FALSE)</f>
        <v>PG 1</v>
      </c>
      <c r="P86" s="9" t="s">
        <v>29</v>
      </c>
      <c r="R86" s="9" t="s">
        <v>30</v>
      </c>
      <c r="S86" s="14" t="s">
        <v>31</v>
      </c>
      <c r="U86" s="15">
        <f>IF(YEAR(C86)&lt;=2025,IFERROR(IF(I86="Hauswirtschaft",VLOOKUP($B86,[1]Kundenübersicht!$E$4:$BA$1003,MATCH("Hauswirtschaft [€/Stunde]",[1]Kundenübersicht!$E$3:$BA$3,FALSE),FALSE),VLOOKUP($B86,[1]Kundenübersicht!$E$4:$BA$1003,MATCH("Alltagsbegleitung [€/Stunde]",[1]Kundenübersicht!$E$3:$BA$3,FALSE),FALSE)),0),IFERROR(IF(I86="Hauswirtschaft",VLOOKUP($B86,[1]Kundenübersicht!$E$4:$BA$1003,MATCH("HW ab 2026 [€/Stunde]",[1]Kundenübersicht!$E$3:$BA$3,FALSE),FALSE),VLOOKUP($B86,[1]Kundenübersicht!$E$4:$BA$1003,MATCH("Alltagsbegleitung [€/Stunde]",[1]Kundenübersicht!$E$3:$BA$3,FALSE),FALSE)),0))</f>
        <v>32.75</v>
      </c>
      <c r="V86" s="16">
        <f t="shared" si="17"/>
        <v>65.500000000000028</v>
      </c>
      <c r="W86" s="16">
        <f t="shared" si="12"/>
        <v>0</v>
      </c>
      <c r="X86" s="16" t="str">
        <f>VLOOKUP(B86,[1]Kundenübersicht!E:AG,MATCH($X$3,[1]Kundenübersicht!$E$3:$AY$3,0),FALSE)</f>
        <v>Alt</v>
      </c>
      <c r="Z86" s="20" t="s">
        <v>29</v>
      </c>
      <c r="AA86" s="19">
        <v>45950</v>
      </c>
      <c r="AC86" s="19">
        <v>45967</v>
      </c>
      <c r="AE86" s="9">
        <f t="shared" si="18"/>
        <v>2025</v>
      </c>
      <c r="AF86" s="17" t="str">
        <f t="shared" si="19"/>
        <v>08.2025</v>
      </c>
      <c r="AG86" s="17" t="str">
        <f t="shared" si="20"/>
        <v>Doreen Luzyna</v>
      </c>
      <c r="AH86" s="17" t="str">
        <f>IFERROR(VLOOKUP(B86,[1]Kundenübersicht!$E$4:$F$85,2,FALSE),"")</f>
        <v>Ingrid Haufe</v>
      </c>
      <c r="AI86" s="17" t="str">
        <f t="shared" si="21"/>
        <v>Hauswirtschaft</v>
      </c>
      <c r="AJ86" s="17" t="str">
        <f t="shared" si="21"/>
        <v>Entlastungsleistung</v>
      </c>
      <c r="AL86" s="18">
        <f t="shared" si="13"/>
        <v>38</v>
      </c>
      <c r="AM86" s="18">
        <f t="shared" si="14"/>
        <v>76.000000000000028</v>
      </c>
      <c r="AN86" s="18">
        <f t="shared" si="15"/>
        <v>0</v>
      </c>
    </row>
    <row r="87" spans="2:40" x14ac:dyDescent="0.25">
      <c r="B87" s="30" t="s">
        <v>52</v>
      </c>
      <c r="C87" s="31">
        <v>45888</v>
      </c>
      <c r="D87" s="32">
        <v>0.33333333333333331</v>
      </c>
      <c r="E87" s="32">
        <v>0.41666666666666669</v>
      </c>
      <c r="F87" s="12">
        <f t="shared" si="16"/>
        <v>2.0000000000000009</v>
      </c>
      <c r="G87" s="12"/>
      <c r="H87" s="30" t="s">
        <v>33</v>
      </c>
      <c r="I87" s="30" t="s">
        <v>27</v>
      </c>
      <c r="J87" s="30" t="s">
        <v>28</v>
      </c>
      <c r="K87" s="9" t="str">
        <f>VLOOKUP($B87,[1]Kundenübersicht!$E$4:$AC$1003,MATCH(K$3,[1]Kundenübersicht!$E$3:$BA$3,FALSE),FALSE)</f>
        <v>AOK PLUS</v>
      </c>
      <c r="L87" s="13">
        <f>VLOOKUP(B87,[1]Kundenübersicht!$E$4:$AC$1003,MATCH(L$3,[1]Kundenübersicht!$E$3:$BA$3,FALSE),FALSE)</f>
        <v>107299005</v>
      </c>
      <c r="M87" s="13" t="str">
        <f>VLOOKUP(B87,[1]Kundenübersicht!$E$4:$AC$1003,MATCH(M$3,[1]Kundenübersicht!$E$3:$BA$3,FALSE),FALSE)</f>
        <v>G562042888</v>
      </c>
      <c r="N87" s="13" t="str">
        <f>VLOOKUP(B87,[1]Kundenübersicht!$E$4:$AC$1003,MATCH(N$3,[1]Kundenübersicht!$E$3:$BA$3,FALSE),FALSE)</f>
        <v>PG 2</v>
      </c>
      <c r="P87" s="9" t="s">
        <v>29</v>
      </c>
      <c r="R87" s="9" t="s">
        <v>30</v>
      </c>
      <c r="S87" s="14" t="s">
        <v>31</v>
      </c>
      <c r="U87" s="15">
        <f>IF(YEAR(C87)&lt;=2025,IFERROR(IF(I87="Hauswirtschaft",VLOOKUP($B87,[1]Kundenübersicht!$E$4:$BA$1003,MATCH("Hauswirtschaft [€/Stunde]",[1]Kundenübersicht!$E$3:$BA$3,FALSE),FALSE),VLOOKUP($B87,[1]Kundenübersicht!$E$4:$BA$1003,MATCH("Alltagsbegleitung [€/Stunde]",[1]Kundenübersicht!$E$3:$BA$3,FALSE),FALSE)),0),IFERROR(IF(I87="Hauswirtschaft",VLOOKUP($B87,[1]Kundenübersicht!$E$4:$BA$1003,MATCH("HW ab 2026 [€/Stunde]",[1]Kundenübersicht!$E$3:$BA$3,FALSE),FALSE),VLOOKUP($B87,[1]Kundenübersicht!$E$4:$BA$1003,MATCH("Alltagsbegleitung [€/Stunde]",[1]Kundenübersicht!$E$3:$BA$3,FALSE),FALSE)),0))</f>
        <v>32.75</v>
      </c>
      <c r="V87" s="16">
        <f t="shared" si="17"/>
        <v>65.500000000000028</v>
      </c>
      <c r="W87" s="16">
        <f t="shared" si="12"/>
        <v>0</v>
      </c>
      <c r="X87" s="16" t="str">
        <f>VLOOKUP(B87,[1]Kundenübersicht!E:AG,MATCH($X$3,[1]Kundenübersicht!$E$3:$AY$3,0),FALSE)</f>
        <v>Alt</v>
      </c>
      <c r="Z87" s="20" t="s">
        <v>29</v>
      </c>
      <c r="AA87" s="19">
        <v>45922</v>
      </c>
      <c r="AC87" s="10">
        <v>46035</v>
      </c>
      <c r="AE87" s="9">
        <f t="shared" si="18"/>
        <v>2025</v>
      </c>
      <c r="AF87" s="17" t="str">
        <f t="shared" si="19"/>
        <v>08.2025</v>
      </c>
      <c r="AG87" s="17" t="str">
        <f t="shared" si="20"/>
        <v>Christiane Fiebag</v>
      </c>
      <c r="AH87" s="17" t="str">
        <f>IFERROR(VLOOKUP(B87,[1]Kundenübersicht!$E$4:$F$85,2,FALSE),"")</f>
        <v>Matthias Roß</v>
      </c>
      <c r="AI87" s="17" t="str">
        <f t="shared" si="21"/>
        <v>Hauswirtschaft</v>
      </c>
      <c r="AJ87" s="17" t="str">
        <f t="shared" si="21"/>
        <v>Entlastungsleistung</v>
      </c>
      <c r="AL87" s="18">
        <f t="shared" si="13"/>
        <v>38</v>
      </c>
      <c r="AM87" s="18">
        <f t="shared" si="14"/>
        <v>76.000000000000028</v>
      </c>
      <c r="AN87" s="18">
        <f t="shared" si="15"/>
        <v>0</v>
      </c>
    </row>
    <row r="88" spans="2:40" x14ac:dyDescent="0.25">
      <c r="B88" s="30" t="s">
        <v>60</v>
      </c>
      <c r="C88" s="31">
        <v>45889</v>
      </c>
      <c r="D88" s="32">
        <v>0.41666666666666669</v>
      </c>
      <c r="E88" s="32">
        <v>0.45833333333333331</v>
      </c>
      <c r="F88" s="12">
        <f t="shared" si="16"/>
        <v>0.99999999999999911</v>
      </c>
      <c r="G88" s="12"/>
      <c r="H88" s="30" t="s">
        <v>55</v>
      </c>
      <c r="I88" s="30" t="s">
        <v>27</v>
      </c>
      <c r="J88" s="30" t="s">
        <v>28</v>
      </c>
      <c r="K88" s="9" t="str">
        <f>VLOOKUP($B88,[1]Kundenübersicht!$E$4:$AC$1003,MATCH(K$3,[1]Kundenübersicht!$E$3:$BA$3,FALSE),FALSE)</f>
        <v>Techniker Krankenkasse</v>
      </c>
      <c r="L88" s="13">
        <f>VLOOKUP(B88,[1]Kundenübersicht!$E$4:$AC$1003,MATCH(L$3,[1]Kundenübersicht!$E$3:$BA$3,FALSE),FALSE)</f>
        <v>101575519</v>
      </c>
      <c r="M88" s="13" t="str">
        <f>VLOOKUP(B88,[1]Kundenübersicht!$E$4:$AC$1003,MATCH(M$3,[1]Kundenübersicht!$E$3:$BA$3,FALSE),FALSE)</f>
        <v>O824144952</v>
      </c>
      <c r="N88" s="13" t="str">
        <f>VLOOKUP(B88,[1]Kundenübersicht!$E$4:$AC$1003,MATCH(N$3,[1]Kundenübersicht!$E$3:$BA$3,FALSE),FALSE)</f>
        <v>PG 2</v>
      </c>
      <c r="P88" s="9" t="s">
        <v>29</v>
      </c>
      <c r="R88" s="9" t="s">
        <v>30</v>
      </c>
      <c r="S88" s="14" t="s">
        <v>31</v>
      </c>
      <c r="U88" s="15">
        <f>IF(YEAR(C88)&lt;=2025,IFERROR(IF(I88="Hauswirtschaft",VLOOKUP($B88,[1]Kundenübersicht!$E$4:$BA$1003,MATCH("Hauswirtschaft [€/Stunde]",[1]Kundenübersicht!$E$3:$BA$3,FALSE),FALSE),VLOOKUP($B88,[1]Kundenübersicht!$E$4:$BA$1003,MATCH("Alltagsbegleitung [€/Stunde]",[1]Kundenübersicht!$E$3:$BA$3,FALSE),FALSE)),0),IFERROR(IF(I88="Hauswirtschaft",VLOOKUP($B88,[1]Kundenübersicht!$E$4:$BA$1003,MATCH("HW ab 2026 [€/Stunde]",[1]Kundenübersicht!$E$3:$BA$3,FALSE),FALSE),VLOOKUP($B88,[1]Kundenübersicht!$E$4:$BA$1003,MATCH("Alltagsbegleitung [€/Stunde]",[1]Kundenübersicht!$E$3:$BA$3,FALSE),FALSE)),0))</f>
        <v>32.75</v>
      </c>
      <c r="V88" s="16">
        <f t="shared" si="17"/>
        <v>32.749999999999972</v>
      </c>
      <c r="W88" s="16">
        <f t="shared" si="12"/>
        <v>0</v>
      </c>
      <c r="X88" s="16" t="str">
        <f>VLOOKUP(B88,[1]Kundenübersicht!E:AG,MATCH($X$3,[1]Kundenübersicht!$E$3:$AY$3,0),FALSE)</f>
        <v>Alt</v>
      </c>
      <c r="Z88" s="20" t="s">
        <v>29</v>
      </c>
      <c r="AA88" s="19">
        <v>45950</v>
      </c>
      <c r="AC88" s="19">
        <v>45986</v>
      </c>
      <c r="AE88" s="9">
        <f t="shared" si="18"/>
        <v>2025</v>
      </c>
      <c r="AF88" s="17" t="str">
        <f t="shared" si="19"/>
        <v>08.2025</v>
      </c>
      <c r="AG88" s="17" t="str">
        <f t="shared" si="20"/>
        <v>Doreen Luzyna</v>
      </c>
      <c r="AH88" s="17" t="str">
        <f>IFERROR(VLOOKUP(B88,[1]Kundenübersicht!$E$4:$F$85,2,FALSE),"")</f>
        <v>Ellenore Lein</v>
      </c>
      <c r="AI88" s="17" t="str">
        <f t="shared" si="21"/>
        <v>Hauswirtschaft</v>
      </c>
      <c r="AJ88" s="17" t="str">
        <f t="shared" si="21"/>
        <v>Entlastungsleistung</v>
      </c>
      <c r="AL88" s="18">
        <f t="shared" si="13"/>
        <v>38</v>
      </c>
      <c r="AM88" s="18">
        <f t="shared" si="14"/>
        <v>37.999999999999964</v>
      </c>
      <c r="AN88" s="18">
        <f t="shared" si="15"/>
        <v>0</v>
      </c>
    </row>
    <row r="89" spans="2:40" x14ac:dyDescent="0.25">
      <c r="B89" s="30" t="s">
        <v>43</v>
      </c>
      <c r="C89" s="31">
        <v>45889</v>
      </c>
      <c r="D89" s="32">
        <v>0.33333333333333331</v>
      </c>
      <c r="E89" s="32">
        <v>0.375</v>
      </c>
      <c r="F89" s="12">
        <f t="shared" si="16"/>
        <v>1.0000000000000004</v>
      </c>
      <c r="G89" s="12"/>
      <c r="H89" s="30" t="s">
        <v>46</v>
      </c>
      <c r="I89" s="30" t="s">
        <v>27</v>
      </c>
      <c r="J89" s="30" t="s">
        <v>28</v>
      </c>
      <c r="K89" s="9" t="str">
        <f>VLOOKUP($B89,[1]Kundenübersicht!$E$4:$AC$1003,MATCH(K$3,[1]Kundenübersicht!$E$3:$BA$3,FALSE),FALSE)</f>
        <v>AOK PLUS</v>
      </c>
      <c r="L89" s="13">
        <f>VLOOKUP(B89,[1]Kundenübersicht!$E$4:$AC$1003,MATCH(L$3,[1]Kundenübersicht!$E$3:$BA$3,FALSE),FALSE)</f>
        <v>107299005</v>
      </c>
      <c r="M89" s="13" t="str">
        <f>VLOOKUP(B89,[1]Kundenübersicht!$E$4:$AC$1003,MATCH(M$3,[1]Kundenübersicht!$E$3:$BA$3,FALSE),FALSE)</f>
        <v>I323820679</v>
      </c>
      <c r="N89" s="13" t="str">
        <f>VLOOKUP(B89,[1]Kundenübersicht!$E$4:$AC$1003,MATCH(N$3,[1]Kundenübersicht!$E$3:$BA$3,FALSE),FALSE)</f>
        <v>PG 1</v>
      </c>
      <c r="P89" s="9" t="s">
        <v>29</v>
      </c>
      <c r="R89" s="9" t="s">
        <v>30</v>
      </c>
      <c r="S89" s="14" t="s">
        <v>31</v>
      </c>
      <c r="U89" s="15">
        <f>IF(YEAR(C89)&lt;=2025,IFERROR(IF(I89="Hauswirtschaft",VLOOKUP($B89,[1]Kundenübersicht!$E$4:$BA$1003,MATCH("Hauswirtschaft [€/Stunde]",[1]Kundenübersicht!$E$3:$BA$3,FALSE),FALSE),VLOOKUP($B89,[1]Kundenübersicht!$E$4:$BA$1003,MATCH("Alltagsbegleitung [€/Stunde]",[1]Kundenübersicht!$E$3:$BA$3,FALSE),FALSE)),0),IFERROR(IF(I89="Hauswirtschaft",VLOOKUP($B89,[1]Kundenübersicht!$E$4:$BA$1003,MATCH("HW ab 2026 [€/Stunde]",[1]Kundenübersicht!$E$3:$BA$3,FALSE),FALSE),VLOOKUP($B89,[1]Kundenübersicht!$E$4:$BA$1003,MATCH("Alltagsbegleitung [€/Stunde]",[1]Kundenübersicht!$E$3:$BA$3,FALSE),FALSE)),0))</f>
        <v>32.75</v>
      </c>
      <c r="V89" s="16">
        <f t="shared" si="17"/>
        <v>32.750000000000014</v>
      </c>
      <c r="W89" s="16">
        <f t="shared" si="12"/>
        <v>0</v>
      </c>
      <c r="X89" s="16" t="str">
        <f>VLOOKUP(B89,[1]Kundenübersicht!E:AG,MATCH($X$3,[1]Kundenübersicht!$E$3:$AY$3,0),FALSE)</f>
        <v>Alt</v>
      </c>
      <c r="Z89" s="20" t="s">
        <v>29</v>
      </c>
      <c r="AA89" s="19">
        <v>45922</v>
      </c>
      <c r="AC89" s="10">
        <v>46035</v>
      </c>
      <c r="AE89" s="9">
        <f t="shared" si="18"/>
        <v>2025</v>
      </c>
      <c r="AF89" s="17" t="str">
        <f t="shared" si="19"/>
        <v>08.2025</v>
      </c>
      <c r="AG89" s="17" t="str">
        <f t="shared" si="20"/>
        <v>Manuela Richter</v>
      </c>
      <c r="AH89" s="17" t="str">
        <f>IFERROR(VLOOKUP(B89,[1]Kundenübersicht!$E$4:$F$85,2,FALSE),"")</f>
        <v>Inge Leupold</v>
      </c>
      <c r="AI89" s="17" t="str">
        <f t="shared" si="21"/>
        <v>Hauswirtschaft</v>
      </c>
      <c r="AJ89" s="17" t="str">
        <f t="shared" si="21"/>
        <v>Entlastungsleistung</v>
      </c>
      <c r="AL89" s="18">
        <f t="shared" si="13"/>
        <v>38</v>
      </c>
      <c r="AM89" s="18">
        <f t="shared" si="14"/>
        <v>38.000000000000014</v>
      </c>
      <c r="AN89" s="18">
        <f t="shared" si="15"/>
        <v>0</v>
      </c>
    </row>
    <row r="90" spans="2:40" x14ac:dyDescent="0.25">
      <c r="B90" s="30" t="s">
        <v>45</v>
      </c>
      <c r="C90" s="31">
        <v>45890</v>
      </c>
      <c r="D90" s="32">
        <v>0.60416666666666663</v>
      </c>
      <c r="E90" s="32">
        <v>0.66666666666666663</v>
      </c>
      <c r="F90" s="12">
        <f t="shared" si="16"/>
        <v>1.5</v>
      </c>
      <c r="G90" s="12"/>
      <c r="H90" s="30" t="s">
        <v>46</v>
      </c>
      <c r="I90" s="30" t="s">
        <v>27</v>
      </c>
      <c r="J90" s="30" t="s">
        <v>28</v>
      </c>
      <c r="K90" s="28" t="s">
        <v>47</v>
      </c>
      <c r="L90" s="29">
        <v>109990508</v>
      </c>
      <c r="M90" s="29" t="s">
        <v>48</v>
      </c>
      <c r="N90" s="13" t="str">
        <f>VLOOKUP(B90,[1]Kundenübersicht!$E$4:$AC$1003,MATCH(N$3,[1]Kundenübersicht!$E$3:$BA$3,FALSE),FALSE)</f>
        <v>PG 1</v>
      </c>
      <c r="P90" s="9" t="s">
        <v>29</v>
      </c>
      <c r="R90" s="9" t="s">
        <v>30</v>
      </c>
      <c r="S90" s="14" t="s">
        <v>31</v>
      </c>
      <c r="U90" s="15">
        <f>IF(YEAR(C90)&lt;=2025,IFERROR(IF(I90="Hauswirtschaft",VLOOKUP($B90,[1]Kundenübersicht!$E$4:$BA$1003,MATCH("Hauswirtschaft [€/Stunde]",[1]Kundenübersicht!$E$3:$BA$3,FALSE),FALSE),VLOOKUP($B90,[1]Kundenübersicht!$E$4:$BA$1003,MATCH("Alltagsbegleitung [€/Stunde]",[1]Kundenübersicht!$E$3:$BA$3,FALSE),FALSE)),0),IFERROR(IF(I90="Hauswirtschaft",VLOOKUP($B90,[1]Kundenübersicht!$E$4:$BA$1003,MATCH("HW ab 2026 [€/Stunde]",[1]Kundenübersicht!$E$3:$BA$3,FALSE),FALSE),VLOOKUP($B90,[1]Kundenübersicht!$E$4:$BA$1003,MATCH("Alltagsbegleitung [€/Stunde]",[1]Kundenübersicht!$E$3:$BA$3,FALSE),FALSE)),0))</f>
        <v>32.75</v>
      </c>
      <c r="V90" s="16">
        <f t="shared" si="17"/>
        <v>49.125</v>
      </c>
      <c r="W90" s="16">
        <f t="shared" si="12"/>
        <v>0</v>
      </c>
      <c r="X90" s="16" t="str">
        <f>VLOOKUP(B90,[1]Kundenübersicht!E:AG,MATCH($X$3,[1]Kundenübersicht!$E$3:$AY$3,0),FALSE)</f>
        <v>Alt</v>
      </c>
      <c r="Z90" s="20" t="s">
        <v>29</v>
      </c>
      <c r="AA90" s="19"/>
      <c r="AC90" s="19"/>
      <c r="AE90" s="9">
        <f t="shared" si="18"/>
        <v>2025</v>
      </c>
      <c r="AF90" s="17" t="str">
        <f t="shared" si="19"/>
        <v>08.2025</v>
      </c>
      <c r="AG90" s="17" t="str">
        <f t="shared" si="20"/>
        <v>Manuela Richter</v>
      </c>
      <c r="AH90" s="17" t="str">
        <f>IFERROR(VLOOKUP(B90,[1]Kundenübersicht!$E$4:$F$85,2,FALSE),"")</f>
        <v>Hella Reißig</v>
      </c>
      <c r="AI90" s="17" t="str">
        <f t="shared" si="21"/>
        <v>Hauswirtschaft</v>
      </c>
      <c r="AJ90" s="17" t="str">
        <f t="shared" si="21"/>
        <v>Entlastungsleistung</v>
      </c>
      <c r="AL90" s="18">
        <f t="shared" si="13"/>
        <v>38</v>
      </c>
      <c r="AM90" s="18">
        <f t="shared" si="14"/>
        <v>57</v>
      </c>
      <c r="AN90" s="18">
        <f t="shared" si="15"/>
        <v>0</v>
      </c>
    </row>
    <row r="91" spans="2:40" x14ac:dyDescent="0.25">
      <c r="B91" s="30" t="s">
        <v>50</v>
      </c>
      <c r="C91" s="31">
        <v>45891</v>
      </c>
      <c r="D91" s="32">
        <v>0.58333333333333337</v>
      </c>
      <c r="E91" s="32">
        <v>0.66666666666666663</v>
      </c>
      <c r="F91" s="12">
        <f t="shared" si="16"/>
        <v>1.9999999999999982</v>
      </c>
      <c r="G91" s="12"/>
      <c r="H91" s="30" t="s">
        <v>46</v>
      </c>
      <c r="I91" s="30" t="s">
        <v>27</v>
      </c>
      <c r="J91" s="30" t="s">
        <v>28</v>
      </c>
      <c r="K91" s="9" t="str">
        <f>VLOOKUP($B91,[1]Kundenübersicht!$E$4:$AC$1003,MATCH(K$3,[1]Kundenübersicht!$E$3:$BA$3,FALSE),FALSE)</f>
        <v>AOK PLUS</v>
      </c>
      <c r="L91" s="13">
        <f>VLOOKUP(B91,[1]Kundenübersicht!$E$4:$AC$1003,MATCH(L$3,[1]Kundenübersicht!$E$3:$BA$3,FALSE),FALSE)</f>
        <v>107299005</v>
      </c>
      <c r="M91" s="13" t="str">
        <f>VLOOKUP(B91,[1]Kundenübersicht!$E$4:$AC$1003,MATCH(M$3,[1]Kundenübersicht!$E$3:$BA$3,FALSE),FALSE)</f>
        <v>L212281967</v>
      </c>
      <c r="N91" s="13" t="str">
        <f>VLOOKUP(B91,[1]Kundenübersicht!$E$4:$AC$1003,MATCH(N$3,[1]Kundenübersicht!$E$3:$BA$3,FALSE),FALSE)</f>
        <v>PG 1</v>
      </c>
      <c r="P91" s="9" t="s">
        <v>29</v>
      </c>
      <c r="R91" s="9" t="s">
        <v>30</v>
      </c>
      <c r="S91" s="14" t="s">
        <v>31</v>
      </c>
      <c r="U91" s="15">
        <f>IF(YEAR(C91)&lt;=2025,IFERROR(IF(I91="Hauswirtschaft",VLOOKUP($B91,[1]Kundenübersicht!$E$4:$BA$1003,MATCH("Hauswirtschaft [€/Stunde]",[1]Kundenübersicht!$E$3:$BA$3,FALSE),FALSE),VLOOKUP($B91,[1]Kundenübersicht!$E$4:$BA$1003,MATCH("Alltagsbegleitung [€/Stunde]",[1]Kundenübersicht!$E$3:$BA$3,FALSE),FALSE)),0),IFERROR(IF(I91="Hauswirtschaft",VLOOKUP($B91,[1]Kundenübersicht!$E$4:$BA$1003,MATCH("HW ab 2026 [€/Stunde]",[1]Kundenübersicht!$E$3:$BA$3,FALSE),FALSE),VLOOKUP($B91,[1]Kundenübersicht!$E$4:$BA$1003,MATCH("Alltagsbegleitung [€/Stunde]",[1]Kundenübersicht!$E$3:$BA$3,FALSE),FALSE)),0))</f>
        <v>32.75</v>
      </c>
      <c r="V91" s="16">
        <f t="shared" si="17"/>
        <v>65.499999999999943</v>
      </c>
      <c r="W91" s="16">
        <f t="shared" si="12"/>
        <v>0</v>
      </c>
      <c r="X91" s="16" t="str">
        <f>VLOOKUP(B91,[1]Kundenübersicht!E:AG,MATCH($X$3,[1]Kundenübersicht!$E$3:$AY$3,0),FALSE)</f>
        <v>Alt</v>
      </c>
      <c r="Z91" s="20" t="s">
        <v>29</v>
      </c>
      <c r="AA91" s="19">
        <v>45922</v>
      </c>
      <c r="AC91" s="10">
        <v>46035</v>
      </c>
      <c r="AE91" s="9">
        <f t="shared" si="18"/>
        <v>2025</v>
      </c>
      <c r="AF91" s="17" t="str">
        <f t="shared" si="19"/>
        <v>08.2025</v>
      </c>
      <c r="AG91" s="17" t="str">
        <f t="shared" si="20"/>
        <v>Manuela Richter</v>
      </c>
      <c r="AH91" s="17" t="str">
        <f>IFERROR(VLOOKUP(B91,[1]Kundenübersicht!$E$4:$F$85,2,FALSE),"")</f>
        <v>Lothar Krawalski</v>
      </c>
      <c r="AI91" s="17" t="str">
        <f t="shared" si="21"/>
        <v>Hauswirtschaft</v>
      </c>
      <c r="AJ91" s="17" t="str">
        <f t="shared" si="21"/>
        <v>Entlastungsleistung</v>
      </c>
      <c r="AL91" s="18">
        <f t="shared" si="13"/>
        <v>38</v>
      </c>
      <c r="AM91" s="18">
        <f t="shared" si="14"/>
        <v>75.999999999999929</v>
      </c>
      <c r="AN91" s="18">
        <f t="shared" si="15"/>
        <v>0</v>
      </c>
    </row>
    <row r="92" spans="2:40" x14ac:dyDescent="0.25">
      <c r="B92" s="30" t="s">
        <v>56</v>
      </c>
      <c r="C92" s="31">
        <v>45895</v>
      </c>
      <c r="D92" s="32">
        <v>0.375</v>
      </c>
      <c r="E92" s="32">
        <v>0.5</v>
      </c>
      <c r="F92" s="12">
        <f t="shared" si="16"/>
        <v>3</v>
      </c>
      <c r="G92" s="12"/>
      <c r="H92" s="30" t="s">
        <v>55</v>
      </c>
      <c r="I92" s="30" t="s">
        <v>27</v>
      </c>
      <c r="J92" s="30" t="s">
        <v>28</v>
      </c>
      <c r="K92" s="9" t="str">
        <f>VLOOKUP($B92,[1]Kundenübersicht!$E$4:$AC$1003,MATCH(K$3,[1]Kundenübersicht!$E$3:$BA$3,FALSE),FALSE)</f>
        <v>Barmer Pflegekasse</v>
      </c>
      <c r="L92" s="13">
        <f>VLOOKUP(B92,[1]Kundenübersicht!$E$4:$AC$1003,MATCH(L$3,[1]Kundenübersicht!$E$3:$BA$3,FALSE),FALSE)</f>
        <v>184940005</v>
      </c>
      <c r="M92" s="13" t="str">
        <f>VLOOKUP(B92,[1]Kundenübersicht!$E$4:$AC$1003,MATCH(M$3,[1]Kundenübersicht!$E$3:$BA$3,FALSE),FALSE)</f>
        <v>F006688944</v>
      </c>
      <c r="N92" s="13" t="str">
        <f>VLOOKUP(B92,[1]Kundenübersicht!$E$4:$AC$1003,MATCH(N$3,[1]Kundenübersicht!$E$3:$BA$3,FALSE),FALSE)</f>
        <v>PG 1</v>
      </c>
      <c r="P92" s="9" t="s">
        <v>29</v>
      </c>
      <c r="R92" s="9" t="s">
        <v>30</v>
      </c>
      <c r="S92" s="14" t="s">
        <v>31</v>
      </c>
      <c r="U92" s="15">
        <f>IF(YEAR(C92)&lt;=2025,IFERROR(IF(I92="Hauswirtschaft",VLOOKUP($B92,[1]Kundenübersicht!$E$4:$BA$1003,MATCH("Hauswirtschaft [€/Stunde]",[1]Kundenübersicht!$E$3:$BA$3,FALSE),FALSE),VLOOKUP($B92,[1]Kundenübersicht!$E$4:$BA$1003,MATCH("Alltagsbegleitung [€/Stunde]",[1]Kundenübersicht!$E$3:$BA$3,FALSE),FALSE)),0),IFERROR(IF(I92="Hauswirtschaft",VLOOKUP($B92,[1]Kundenübersicht!$E$4:$BA$1003,MATCH("HW ab 2026 [€/Stunde]",[1]Kundenübersicht!$E$3:$BA$3,FALSE),FALSE),VLOOKUP($B92,[1]Kundenübersicht!$E$4:$BA$1003,MATCH("Alltagsbegleitung [€/Stunde]",[1]Kundenübersicht!$E$3:$BA$3,FALSE),FALSE)),0))</f>
        <v>32.75</v>
      </c>
      <c r="V92" s="16">
        <f t="shared" si="17"/>
        <v>98.25</v>
      </c>
      <c r="W92" s="16">
        <f t="shared" si="12"/>
        <v>0</v>
      </c>
      <c r="X92" s="16" t="str">
        <f>VLOOKUP(B92,[1]Kundenübersicht!E:AG,MATCH($X$3,[1]Kundenübersicht!$E$3:$AY$3,0),FALSE)</f>
        <v>Alt</v>
      </c>
      <c r="Z92" s="20" t="s">
        <v>29</v>
      </c>
      <c r="AA92" s="19">
        <v>45959</v>
      </c>
      <c r="AC92" s="19"/>
      <c r="AE92" s="9">
        <f t="shared" si="18"/>
        <v>2025</v>
      </c>
      <c r="AF92" s="17" t="str">
        <f t="shared" si="19"/>
        <v>08.2025</v>
      </c>
      <c r="AG92" s="17" t="str">
        <f t="shared" si="20"/>
        <v>Doreen Luzyna</v>
      </c>
      <c r="AH92" s="17" t="str">
        <f>IFERROR(VLOOKUP(B92,[1]Kundenübersicht!$E$4:$F$85,2,FALSE),"")</f>
        <v>Gudrun Hentschel</v>
      </c>
      <c r="AI92" s="17" t="str">
        <f t="shared" si="21"/>
        <v>Hauswirtschaft</v>
      </c>
      <c r="AJ92" s="17" t="str">
        <f t="shared" si="21"/>
        <v>Entlastungsleistung</v>
      </c>
      <c r="AL92" s="18">
        <f t="shared" si="13"/>
        <v>38</v>
      </c>
      <c r="AM92" s="18">
        <f t="shared" si="14"/>
        <v>114</v>
      </c>
      <c r="AN92" s="18">
        <f t="shared" si="15"/>
        <v>0</v>
      </c>
    </row>
    <row r="93" spans="2:40" x14ac:dyDescent="0.25">
      <c r="B93" s="30" t="s">
        <v>61</v>
      </c>
      <c r="C93" s="31">
        <v>45895</v>
      </c>
      <c r="D93" s="32">
        <v>0.39583333333333331</v>
      </c>
      <c r="E93" s="32">
        <v>0.4375</v>
      </c>
      <c r="F93" s="12">
        <f t="shared" si="16"/>
        <v>1.0000000000000004</v>
      </c>
      <c r="G93" s="12"/>
      <c r="H93" s="30" t="s">
        <v>55</v>
      </c>
      <c r="I93" s="30" t="s">
        <v>27</v>
      </c>
      <c r="J93" s="30" t="s">
        <v>28</v>
      </c>
      <c r="K93" s="9" t="str">
        <f>VLOOKUP($B93,[1]Kundenübersicht!$E$4:$AC$1003,MATCH(K$3,[1]Kundenübersicht!$E$3:$BA$3,FALSE),FALSE)</f>
        <v>AOK PLUS</v>
      </c>
      <c r="L93" s="13">
        <f>VLOOKUP(B93,[1]Kundenübersicht!$E$4:$AC$1003,MATCH(L$3,[1]Kundenübersicht!$E$3:$BA$3,FALSE),FALSE)</f>
        <v>107299005</v>
      </c>
      <c r="M93" s="13" t="str">
        <f>VLOOKUP(B93,[1]Kundenübersicht!$E$4:$AC$1003,MATCH(M$3,[1]Kundenübersicht!$E$3:$BA$3,FALSE),FALSE)</f>
        <v>F038854351</v>
      </c>
      <c r="N93" s="13" t="str">
        <f>VLOOKUP(B93,[1]Kundenübersicht!$E$4:$AC$1003,MATCH(N$3,[1]Kundenübersicht!$E$3:$BA$3,FALSE),FALSE)</f>
        <v>PG 3</v>
      </c>
      <c r="P93" s="9" t="s">
        <v>29</v>
      </c>
      <c r="R93" s="9" t="s">
        <v>30</v>
      </c>
      <c r="S93" s="14" t="s">
        <v>31</v>
      </c>
      <c r="U93" s="15">
        <f>IF(YEAR(C93)&lt;=2025,IFERROR(IF(I93="Hauswirtschaft",VLOOKUP($B93,[1]Kundenübersicht!$E$4:$BA$1003,MATCH("Hauswirtschaft [€/Stunde]",[1]Kundenübersicht!$E$3:$BA$3,FALSE),FALSE),VLOOKUP($B93,[1]Kundenübersicht!$E$4:$BA$1003,MATCH("Alltagsbegleitung [€/Stunde]",[1]Kundenübersicht!$E$3:$BA$3,FALSE),FALSE)),0),IFERROR(IF(I93="Hauswirtschaft",VLOOKUP($B93,[1]Kundenübersicht!$E$4:$BA$1003,MATCH("HW ab 2026 [€/Stunde]",[1]Kundenübersicht!$E$3:$BA$3,FALSE),FALSE),VLOOKUP($B93,[1]Kundenübersicht!$E$4:$BA$1003,MATCH("Alltagsbegleitung [€/Stunde]",[1]Kundenübersicht!$E$3:$BA$3,FALSE),FALSE)),0))</f>
        <v>32.75</v>
      </c>
      <c r="V93" s="16">
        <f t="shared" si="17"/>
        <v>32.750000000000014</v>
      </c>
      <c r="W93" s="16">
        <f t="shared" si="12"/>
        <v>0</v>
      </c>
      <c r="X93" s="16" t="str">
        <f>VLOOKUP(B93,[1]Kundenübersicht!E:AG,MATCH($X$3,[1]Kundenübersicht!$E$3:$AY$3,0),FALSE)</f>
        <v>Alt</v>
      </c>
      <c r="Z93" s="20" t="s">
        <v>29</v>
      </c>
      <c r="AA93" s="19">
        <v>45922</v>
      </c>
      <c r="AC93" s="10">
        <v>46035</v>
      </c>
      <c r="AE93" s="9">
        <f t="shared" si="18"/>
        <v>2025</v>
      </c>
      <c r="AF93" s="17" t="str">
        <f t="shared" si="19"/>
        <v>08.2025</v>
      </c>
      <c r="AG93" s="17" t="str">
        <f t="shared" si="20"/>
        <v>Doreen Luzyna</v>
      </c>
      <c r="AH93" s="17" t="str">
        <f>IFERROR(VLOOKUP(B93,[1]Kundenübersicht!$E$4:$F$85,2,FALSE),"")</f>
        <v>Elke Mühle</v>
      </c>
      <c r="AI93" s="17" t="str">
        <f t="shared" si="21"/>
        <v>Hauswirtschaft</v>
      </c>
      <c r="AJ93" s="17" t="str">
        <f t="shared" si="21"/>
        <v>Entlastungsleistung</v>
      </c>
      <c r="AL93" s="18">
        <f t="shared" si="13"/>
        <v>38</v>
      </c>
      <c r="AM93" s="18">
        <f t="shared" si="14"/>
        <v>38.000000000000014</v>
      </c>
      <c r="AN93" s="18">
        <f t="shared" si="15"/>
        <v>0</v>
      </c>
    </row>
    <row r="94" spans="2:40" x14ac:dyDescent="0.25">
      <c r="B94" s="30" t="s">
        <v>39</v>
      </c>
      <c r="C94" s="31">
        <v>45895</v>
      </c>
      <c r="D94" s="32">
        <v>0.63541666666666663</v>
      </c>
      <c r="E94" s="32">
        <v>0.67708333333333337</v>
      </c>
      <c r="F94" s="12">
        <f t="shared" si="16"/>
        <v>1.0000000000000018</v>
      </c>
      <c r="G94" s="12"/>
      <c r="H94" s="30" t="s">
        <v>40</v>
      </c>
      <c r="I94" s="30" t="s">
        <v>41</v>
      </c>
      <c r="J94" s="30" t="s">
        <v>28</v>
      </c>
      <c r="K94" s="9" t="str">
        <f>VLOOKUP($B94,[1]Kundenübersicht!$E$4:$AC$1003,MATCH(K$3,[1]Kundenübersicht!$E$3:$BA$3,FALSE),FALSE)</f>
        <v>AOK PLUS</v>
      </c>
      <c r="L94" s="13">
        <f>VLOOKUP(B94,[1]Kundenübersicht!$E$4:$AC$1003,MATCH(L$3,[1]Kundenübersicht!$E$3:$BA$3,FALSE),FALSE)</f>
        <v>107299005</v>
      </c>
      <c r="M94" s="13" t="str">
        <f>VLOOKUP(B94,[1]Kundenübersicht!$E$4:$AC$1003,MATCH(M$3,[1]Kundenübersicht!$E$3:$BA$3,FALSE),FALSE)</f>
        <v>Q445657677</v>
      </c>
      <c r="N94" s="13" t="str">
        <f>VLOOKUP(B94,[1]Kundenübersicht!$E$4:$AC$1003,MATCH(N$3,[1]Kundenübersicht!$E$3:$BA$3,FALSE),FALSE)</f>
        <v>PG 2</v>
      </c>
      <c r="P94" s="9" t="s">
        <v>29</v>
      </c>
      <c r="R94" s="9" t="s">
        <v>30</v>
      </c>
      <c r="S94" s="14" t="s">
        <v>31</v>
      </c>
      <c r="U94" s="15">
        <f>IF(YEAR(C94)&lt;=2025,IFERROR(IF(I94="Hauswirtschaft",VLOOKUP($B94,[1]Kundenübersicht!$E$4:$BA$1003,MATCH("Hauswirtschaft [€/Stunde]",[1]Kundenübersicht!$E$3:$BA$3,FALSE),FALSE),VLOOKUP($B94,[1]Kundenübersicht!$E$4:$BA$1003,MATCH("Alltagsbegleitung [€/Stunde]",[1]Kundenübersicht!$E$3:$BA$3,FALSE),FALSE)),0),IFERROR(IF(I94="Hauswirtschaft",VLOOKUP($B94,[1]Kundenübersicht!$E$4:$BA$1003,MATCH("HW ab 2026 [€/Stunde]",[1]Kundenübersicht!$E$3:$BA$3,FALSE),FALSE),VLOOKUP($B94,[1]Kundenübersicht!$E$4:$BA$1003,MATCH("Alltagsbegleitung [€/Stunde]",[1]Kundenübersicht!$E$3:$BA$3,FALSE),FALSE)),0))</f>
        <v>42</v>
      </c>
      <c r="V94" s="16">
        <f t="shared" si="17"/>
        <v>42.000000000000071</v>
      </c>
      <c r="W94" s="16">
        <f t="shared" si="12"/>
        <v>0</v>
      </c>
      <c r="X94" s="16" t="str">
        <f>VLOOKUP(B94,[1]Kundenübersicht!E:AG,MATCH($X$3,[1]Kundenübersicht!$E$3:$AY$3,0),FALSE)</f>
        <v>Alt</v>
      </c>
      <c r="Z94" s="20" t="s">
        <v>29</v>
      </c>
      <c r="AA94" s="19">
        <v>45922</v>
      </c>
      <c r="AC94" s="10">
        <v>46035</v>
      </c>
      <c r="AE94" s="9">
        <f t="shared" si="18"/>
        <v>2025</v>
      </c>
      <c r="AF94" s="17" t="str">
        <f t="shared" si="19"/>
        <v>08.2025</v>
      </c>
      <c r="AG94" s="17" t="str">
        <f t="shared" si="20"/>
        <v>Franziska Wächtler</v>
      </c>
      <c r="AH94" s="17" t="str">
        <f>IFERROR(VLOOKUP(B94,[1]Kundenübersicht!$E$4:$F$85,2,FALSE),"")</f>
        <v>Helga Dienelt</v>
      </c>
      <c r="AI94" s="17" t="str">
        <f t="shared" si="21"/>
        <v>Alltagsbegleitung</v>
      </c>
      <c r="AJ94" s="17" t="str">
        <f t="shared" si="21"/>
        <v>Entlastungsleistung</v>
      </c>
      <c r="AL94" s="18">
        <f t="shared" si="13"/>
        <v>42</v>
      </c>
      <c r="AM94" s="18">
        <f t="shared" si="14"/>
        <v>42.000000000000071</v>
      </c>
      <c r="AN94" s="18">
        <f t="shared" si="15"/>
        <v>0</v>
      </c>
    </row>
    <row r="95" spans="2:40" x14ac:dyDescent="0.25">
      <c r="B95" s="30" t="s">
        <v>62</v>
      </c>
      <c r="C95" s="31">
        <v>45896</v>
      </c>
      <c r="D95" s="32">
        <v>0.375</v>
      </c>
      <c r="E95" s="32">
        <v>0.45833333333333331</v>
      </c>
      <c r="F95" s="12">
        <f t="shared" si="16"/>
        <v>1.9999999999999996</v>
      </c>
      <c r="G95" s="12"/>
      <c r="H95" s="30" t="s">
        <v>55</v>
      </c>
      <c r="I95" s="30" t="s">
        <v>27</v>
      </c>
      <c r="J95" s="30" t="s">
        <v>28</v>
      </c>
      <c r="K95" s="9" t="str">
        <f>VLOOKUP($B95,[1]Kundenübersicht!$E$4:$AC$1003,MATCH(K$3,[1]Kundenübersicht!$E$3:$BA$3,FALSE),FALSE)</f>
        <v>IKK Classic</v>
      </c>
      <c r="L95" s="13">
        <f>VLOOKUP(B95,[1]Kundenübersicht!$E$4:$AC$1003,MATCH(L$3,[1]Kundenübersicht!$E$3:$BA$3,FALSE),FALSE)</f>
        <v>187202793</v>
      </c>
      <c r="M95" s="13" t="str">
        <f>VLOOKUP(B95,[1]Kundenübersicht!$E$4:$AC$1003,MATCH(M$3,[1]Kundenübersicht!$E$3:$BA$3,FALSE),FALSE)</f>
        <v>D629015744</v>
      </c>
      <c r="N95" s="13" t="str">
        <f>VLOOKUP(B95,[1]Kundenübersicht!$E$4:$AC$1003,MATCH(N$3,[1]Kundenübersicht!$E$3:$BA$3,FALSE),FALSE)</f>
        <v>PG 2</v>
      </c>
      <c r="P95" s="9" t="s">
        <v>29</v>
      </c>
      <c r="R95" s="9" t="s">
        <v>30</v>
      </c>
      <c r="S95" s="14" t="s">
        <v>31</v>
      </c>
      <c r="U95" s="15">
        <f>IF(YEAR(C95)&lt;=2025,IFERROR(IF(I95="Hauswirtschaft",VLOOKUP($B95,[1]Kundenübersicht!$E$4:$BA$1003,MATCH("Hauswirtschaft [€/Stunde]",[1]Kundenübersicht!$E$3:$BA$3,FALSE),FALSE),VLOOKUP($B95,[1]Kundenübersicht!$E$4:$BA$1003,MATCH("Alltagsbegleitung [€/Stunde]",[1]Kundenübersicht!$E$3:$BA$3,FALSE),FALSE)),0),IFERROR(IF(I95="Hauswirtschaft",VLOOKUP($B95,[1]Kundenübersicht!$E$4:$BA$1003,MATCH("HW ab 2026 [€/Stunde]",[1]Kundenübersicht!$E$3:$BA$3,FALSE),FALSE),VLOOKUP($B95,[1]Kundenübersicht!$E$4:$BA$1003,MATCH("Alltagsbegleitung [€/Stunde]",[1]Kundenübersicht!$E$3:$BA$3,FALSE),FALSE)),0))</f>
        <v>32.75</v>
      </c>
      <c r="V95" s="16">
        <f t="shared" si="17"/>
        <v>65.499999999999986</v>
      </c>
      <c r="W95" s="16">
        <f t="shared" si="12"/>
        <v>0</v>
      </c>
      <c r="X95" s="16" t="str">
        <f>VLOOKUP(B95,[1]Kundenübersicht!E:AG,MATCH($X$3,[1]Kundenübersicht!$E$3:$AY$3,0),FALSE)</f>
        <v>Alt</v>
      </c>
      <c r="Z95" s="20" t="s">
        <v>29</v>
      </c>
      <c r="AA95" s="19">
        <v>45950</v>
      </c>
      <c r="AC95" s="19">
        <v>45967</v>
      </c>
      <c r="AE95" s="9">
        <f t="shared" si="18"/>
        <v>2025</v>
      </c>
      <c r="AF95" s="17" t="str">
        <f t="shared" si="19"/>
        <v>08.2025</v>
      </c>
      <c r="AG95" s="17" t="str">
        <f t="shared" si="20"/>
        <v>Doreen Luzyna</v>
      </c>
      <c r="AH95" s="17" t="str">
        <f>IFERROR(VLOOKUP(B95,[1]Kundenübersicht!$E$4:$F$85,2,FALSE),"")</f>
        <v>Hannelore Köhler</v>
      </c>
      <c r="AI95" s="17" t="str">
        <f t="shared" si="21"/>
        <v>Hauswirtschaft</v>
      </c>
      <c r="AJ95" s="17" t="str">
        <f t="shared" si="21"/>
        <v>Entlastungsleistung</v>
      </c>
      <c r="AL95" s="18">
        <f t="shared" si="13"/>
        <v>38</v>
      </c>
      <c r="AM95" s="18">
        <f t="shared" si="14"/>
        <v>75.999999999999986</v>
      </c>
      <c r="AN95" s="18">
        <f t="shared" si="15"/>
        <v>0</v>
      </c>
    </row>
    <row r="96" spans="2:40" x14ac:dyDescent="0.25">
      <c r="B96" s="30" t="s">
        <v>49</v>
      </c>
      <c r="C96" s="31">
        <v>45897</v>
      </c>
      <c r="D96" s="32">
        <v>0.60416666666666663</v>
      </c>
      <c r="E96" s="32">
        <v>0.64583333333333337</v>
      </c>
      <c r="F96" s="12">
        <f t="shared" si="16"/>
        <v>1.0000000000000018</v>
      </c>
      <c r="G96" s="12"/>
      <c r="H96" s="30" t="s">
        <v>46</v>
      </c>
      <c r="I96" s="30" t="s">
        <v>27</v>
      </c>
      <c r="J96" s="30" t="s">
        <v>28</v>
      </c>
      <c r="K96" s="9" t="str">
        <f>VLOOKUP($B96,[1]Kundenübersicht!$E$4:$AC$1003,MATCH(K$3,[1]Kundenübersicht!$E$3:$BA$3,FALSE),FALSE)</f>
        <v>AOK PLUS</v>
      </c>
      <c r="L96" s="13">
        <f>VLOOKUP(B96,[1]Kundenübersicht!$E$4:$AC$1003,MATCH(L$3,[1]Kundenübersicht!$E$3:$BA$3,FALSE),FALSE)</f>
        <v>107299005</v>
      </c>
      <c r="M96" s="13" t="str">
        <f>VLOOKUP(B96,[1]Kundenübersicht!$E$4:$AC$1003,MATCH(M$3,[1]Kundenübersicht!$E$3:$BA$3,FALSE),FALSE)</f>
        <v>T309560658</v>
      </c>
      <c r="N96" s="13" t="str">
        <f>VLOOKUP(B96,[1]Kundenübersicht!$E$4:$AC$1003,MATCH(N$3,[1]Kundenübersicht!$E$3:$BA$3,FALSE),FALSE)</f>
        <v>PG 2</v>
      </c>
      <c r="P96" s="9" t="s">
        <v>29</v>
      </c>
      <c r="R96" s="9" t="s">
        <v>30</v>
      </c>
      <c r="S96" s="14" t="s">
        <v>31</v>
      </c>
      <c r="U96" s="15">
        <f>IF(YEAR(C96)&lt;=2025,IFERROR(IF(I96="Hauswirtschaft",VLOOKUP($B96,[1]Kundenübersicht!$E$4:$BA$1003,MATCH("Hauswirtschaft [€/Stunde]",[1]Kundenübersicht!$E$3:$BA$3,FALSE),FALSE),VLOOKUP($B96,[1]Kundenübersicht!$E$4:$BA$1003,MATCH("Alltagsbegleitung [€/Stunde]",[1]Kundenübersicht!$E$3:$BA$3,FALSE),FALSE)),0),IFERROR(IF(I96="Hauswirtschaft",VLOOKUP($B96,[1]Kundenübersicht!$E$4:$BA$1003,MATCH("HW ab 2026 [€/Stunde]",[1]Kundenübersicht!$E$3:$BA$3,FALSE),FALSE),VLOOKUP($B96,[1]Kundenübersicht!$E$4:$BA$1003,MATCH("Alltagsbegleitung [€/Stunde]",[1]Kundenübersicht!$E$3:$BA$3,FALSE),FALSE)),0))</f>
        <v>32.75</v>
      </c>
      <c r="V96" s="16">
        <f t="shared" si="17"/>
        <v>32.750000000000057</v>
      </c>
      <c r="W96" s="16">
        <f t="shared" si="12"/>
        <v>0</v>
      </c>
      <c r="X96" s="16" t="str">
        <f>VLOOKUP(B96,[1]Kundenübersicht!E:AG,MATCH($X$3,[1]Kundenübersicht!$E$3:$AY$3,0),FALSE)</f>
        <v>Alt</v>
      </c>
      <c r="Z96" s="20" t="s">
        <v>29</v>
      </c>
      <c r="AA96" s="19">
        <v>45922</v>
      </c>
      <c r="AC96" s="33">
        <v>46045</v>
      </c>
      <c r="AE96" s="9">
        <f t="shared" si="18"/>
        <v>2025</v>
      </c>
      <c r="AF96" s="17" t="str">
        <f t="shared" si="19"/>
        <v>08.2025</v>
      </c>
      <c r="AG96" s="17" t="str">
        <f t="shared" si="20"/>
        <v>Manuela Richter</v>
      </c>
      <c r="AH96" s="17" t="str">
        <f>IFERROR(VLOOKUP(B96,[1]Kundenübersicht!$E$4:$F$85,2,FALSE),"")</f>
        <v>Rita Neubert</v>
      </c>
      <c r="AI96" s="17" t="str">
        <f t="shared" si="21"/>
        <v>Hauswirtschaft</v>
      </c>
      <c r="AJ96" s="17" t="str">
        <f t="shared" si="21"/>
        <v>Entlastungsleistung</v>
      </c>
      <c r="AL96" s="18">
        <f t="shared" si="13"/>
        <v>38</v>
      </c>
      <c r="AM96" s="18">
        <f t="shared" si="14"/>
        <v>38.000000000000071</v>
      </c>
      <c r="AN96" s="18">
        <f t="shared" si="15"/>
        <v>0</v>
      </c>
    </row>
    <row r="97" spans="2:40" x14ac:dyDescent="0.25">
      <c r="B97" s="30" t="s">
        <v>45</v>
      </c>
      <c r="C97" s="31">
        <v>45897</v>
      </c>
      <c r="D97" s="32">
        <v>0.65625</v>
      </c>
      <c r="E97" s="32">
        <v>0.71875</v>
      </c>
      <c r="F97" s="12">
        <f t="shared" si="16"/>
        <v>1.5</v>
      </c>
      <c r="G97" s="12"/>
      <c r="H97" s="30" t="s">
        <v>46</v>
      </c>
      <c r="I97" s="30" t="s">
        <v>27</v>
      </c>
      <c r="J97" s="30" t="s">
        <v>28</v>
      </c>
      <c r="K97" s="28" t="s">
        <v>47</v>
      </c>
      <c r="L97" s="29">
        <v>109990508</v>
      </c>
      <c r="M97" s="29" t="s">
        <v>48</v>
      </c>
      <c r="N97" s="13" t="str">
        <f>VLOOKUP(B97,[1]Kundenübersicht!$E$4:$AC$1003,MATCH(N$3,[1]Kundenübersicht!$E$3:$BA$3,FALSE),FALSE)</f>
        <v>PG 1</v>
      </c>
      <c r="P97" s="9" t="s">
        <v>29</v>
      </c>
      <c r="R97" s="9" t="s">
        <v>30</v>
      </c>
      <c r="S97" s="14" t="s">
        <v>31</v>
      </c>
      <c r="U97" s="15">
        <f>IF(YEAR(C97)&lt;=2025,IFERROR(IF(I97="Hauswirtschaft",VLOOKUP($B97,[1]Kundenübersicht!$E$4:$BA$1003,MATCH("Hauswirtschaft [€/Stunde]",[1]Kundenübersicht!$E$3:$BA$3,FALSE),FALSE),VLOOKUP($B97,[1]Kundenübersicht!$E$4:$BA$1003,MATCH("Alltagsbegleitung [€/Stunde]",[1]Kundenübersicht!$E$3:$BA$3,FALSE),FALSE)),0),IFERROR(IF(I97="Hauswirtschaft",VLOOKUP($B97,[1]Kundenübersicht!$E$4:$BA$1003,MATCH("HW ab 2026 [€/Stunde]",[1]Kundenübersicht!$E$3:$BA$3,FALSE),FALSE),VLOOKUP($B97,[1]Kundenübersicht!$E$4:$BA$1003,MATCH("Alltagsbegleitung [€/Stunde]",[1]Kundenübersicht!$E$3:$BA$3,FALSE),FALSE)),0))</f>
        <v>32.75</v>
      </c>
      <c r="V97" s="16">
        <f t="shared" si="17"/>
        <v>49.125</v>
      </c>
      <c r="W97" s="16">
        <f t="shared" si="12"/>
        <v>0</v>
      </c>
      <c r="X97" s="16" t="str">
        <f>VLOOKUP(B97,[1]Kundenübersicht!E:AG,MATCH($X$3,[1]Kundenübersicht!$E$3:$AY$3,0),FALSE)</f>
        <v>Alt</v>
      </c>
      <c r="Z97" s="20" t="s">
        <v>29</v>
      </c>
      <c r="AA97" s="19"/>
      <c r="AC97" s="19"/>
      <c r="AE97" s="9">
        <f t="shared" si="18"/>
        <v>2025</v>
      </c>
      <c r="AF97" s="17" t="str">
        <f t="shared" si="19"/>
        <v>08.2025</v>
      </c>
      <c r="AG97" s="17" t="str">
        <f t="shared" si="20"/>
        <v>Manuela Richter</v>
      </c>
      <c r="AH97" s="17" t="str">
        <f>IFERROR(VLOOKUP(B97,[1]Kundenübersicht!$E$4:$F$85,2,FALSE),"")</f>
        <v>Hella Reißig</v>
      </c>
      <c r="AI97" s="17" t="str">
        <f t="shared" si="21"/>
        <v>Hauswirtschaft</v>
      </c>
      <c r="AJ97" s="17" t="str">
        <f t="shared" si="21"/>
        <v>Entlastungsleistung</v>
      </c>
      <c r="AL97" s="18">
        <f t="shared" si="13"/>
        <v>38</v>
      </c>
      <c r="AM97" s="18">
        <f t="shared" si="14"/>
        <v>57</v>
      </c>
      <c r="AN97" s="18">
        <f t="shared" si="15"/>
        <v>0</v>
      </c>
    </row>
    <row r="98" spans="2:40" x14ac:dyDescent="0.25">
      <c r="B98" s="30" t="s">
        <v>63</v>
      </c>
      <c r="C98" s="31">
        <v>45898</v>
      </c>
      <c r="D98" s="32">
        <v>0.375</v>
      </c>
      <c r="E98" s="32">
        <v>0.45833333333333331</v>
      </c>
      <c r="F98" s="12">
        <f t="shared" si="16"/>
        <v>1.9999999999999996</v>
      </c>
      <c r="G98" s="12"/>
      <c r="H98" s="30" t="s">
        <v>55</v>
      </c>
      <c r="I98" s="30" t="s">
        <v>27</v>
      </c>
      <c r="J98" s="30" t="s">
        <v>28</v>
      </c>
      <c r="K98" s="9" t="str">
        <f>VLOOKUP($B98,[1]Kundenübersicht!$E$4:$AC$1003,MATCH(K$3,[1]Kundenübersicht!$E$3:$BA$3,FALSE),FALSE)</f>
        <v>Techniker Krankenkasse</v>
      </c>
      <c r="L98" s="13">
        <f>VLOOKUP(B98,[1]Kundenübersicht!$E$4:$AC$1003,MATCH(L$3,[1]Kundenübersicht!$E$3:$BA$3,FALSE),FALSE)</f>
        <v>101575519</v>
      </c>
      <c r="M98" s="13" t="str">
        <f>VLOOKUP(B98,[1]Kundenübersicht!$E$4:$AC$1003,MATCH(M$3,[1]Kundenübersicht!$E$3:$BA$3,FALSE),FALSE)</f>
        <v>O816601650</v>
      </c>
      <c r="N98" s="13" t="str">
        <f>VLOOKUP(B98,[1]Kundenübersicht!$E$4:$AC$1003,MATCH(N$3,[1]Kundenübersicht!$E$3:$BA$3,FALSE),FALSE)</f>
        <v>PG 2</v>
      </c>
      <c r="P98" s="9" t="s">
        <v>29</v>
      </c>
      <c r="R98" s="9" t="s">
        <v>30</v>
      </c>
      <c r="S98" s="14" t="s">
        <v>31</v>
      </c>
      <c r="U98" s="15">
        <f>IF(YEAR(C98)&lt;=2025,IFERROR(IF(I98="Hauswirtschaft",VLOOKUP($B98,[1]Kundenübersicht!$E$4:$BA$1003,MATCH("Hauswirtschaft [€/Stunde]",[1]Kundenübersicht!$E$3:$BA$3,FALSE),FALSE),VLOOKUP($B98,[1]Kundenübersicht!$E$4:$BA$1003,MATCH("Alltagsbegleitung [€/Stunde]",[1]Kundenübersicht!$E$3:$BA$3,FALSE),FALSE)),0),IFERROR(IF(I98="Hauswirtschaft",VLOOKUP($B98,[1]Kundenübersicht!$E$4:$BA$1003,MATCH("HW ab 2026 [€/Stunde]",[1]Kundenübersicht!$E$3:$BA$3,FALSE),FALSE),VLOOKUP($B98,[1]Kundenübersicht!$E$4:$BA$1003,MATCH("Alltagsbegleitung [€/Stunde]",[1]Kundenübersicht!$E$3:$BA$3,FALSE),FALSE)),0))</f>
        <v>32.75</v>
      </c>
      <c r="V98" s="16">
        <f t="shared" si="17"/>
        <v>65.499999999999986</v>
      </c>
      <c r="W98" s="16">
        <f t="shared" si="12"/>
        <v>0</v>
      </c>
      <c r="X98" s="16" t="str">
        <f>VLOOKUP(B98,[1]Kundenübersicht!E:AG,MATCH($X$3,[1]Kundenübersicht!$E$3:$AY$3,0),FALSE)</f>
        <v>Alt</v>
      </c>
      <c r="Z98" s="20" t="s">
        <v>29</v>
      </c>
      <c r="AA98" s="19">
        <v>45950</v>
      </c>
      <c r="AC98" s="19">
        <v>45986</v>
      </c>
      <c r="AE98" s="9">
        <f t="shared" si="18"/>
        <v>2025</v>
      </c>
      <c r="AF98" s="17" t="str">
        <f t="shared" si="19"/>
        <v>08.2025</v>
      </c>
      <c r="AG98" s="17" t="str">
        <f t="shared" si="20"/>
        <v>Doreen Luzyna</v>
      </c>
      <c r="AH98" s="17" t="str">
        <f>IFERROR(VLOOKUP(B98,[1]Kundenübersicht!$E$4:$F$85,2,FALSE),"")</f>
        <v>Joachim Röder</v>
      </c>
      <c r="AI98" s="17" t="str">
        <f t="shared" si="21"/>
        <v>Hauswirtschaft</v>
      </c>
      <c r="AJ98" s="17" t="str">
        <f t="shared" si="21"/>
        <v>Entlastungsleistung</v>
      </c>
      <c r="AL98" s="18">
        <f t="shared" si="13"/>
        <v>38</v>
      </c>
      <c r="AM98" s="18">
        <f t="shared" si="14"/>
        <v>75.999999999999986</v>
      </c>
      <c r="AN98" s="18">
        <f t="shared" si="15"/>
        <v>0</v>
      </c>
    </row>
    <row r="99" spans="2:40" x14ac:dyDescent="0.25">
      <c r="B99" s="30" t="s">
        <v>50</v>
      </c>
      <c r="C99" s="31">
        <v>45898</v>
      </c>
      <c r="D99" s="32">
        <v>0.58333333333333337</v>
      </c>
      <c r="E99" s="32">
        <v>0.66666666666666663</v>
      </c>
      <c r="F99" s="12">
        <f t="shared" si="16"/>
        <v>1.9999999999999982</v>
      </c>
      <c r="G99" s="12"/>
      <c r="H99" s="30" t="s">
        <v>46</v>
      </c>
      <c r="I99" s="30" t="s">
        <v>27</v>
      </c>
      <c r="J99" s="30" t="s">
        <v>28</v>
      </c>
      <c r="K99" s="9" t="str">
        <f>VLOOKUP($B99,[1]Kundenübersicht!$E$4:$AC$1003,MATCH(K$3,[1]Kundenübersicht!$E$3:$BA$3,FALSE),FALSE)</f>
        <v>AOK PLUS</v>
      </c>
      <c r="L99" s="13">
        <f>VLOOKUP(B99,[1]Kundenübersicht!$E$4:$AC$1003,MATCH(L$3,[1]Kundenübersicht!$E$3:$BA$3,FALSE),FALSE)</f>
        <v>107299005</v>
      </c>
      <c r="M99" s="13" t="str">
        <f>VLOOKUP(B99,[1]Kundenübersicht!$E$4:$AC$1003,MATCH(M$3,[1]Kundenübersicht!$E$3:$BA$3,FALSE),FALSE)</f>
        <v>L212281967</v>
      </c>
      <c r="N99" s="13" t="str">
        <f>VLOOKUP(B99,[1]Kundenübersicht!$E$4:$AC$1003,MATCH(N$3,[1]Kundenübersicht!$E$3:$BA$3,FALSE),FALSE)</f>
        <v>PG 1</v>
      </c>
      <c r="P99" s="9" t="s">
        <v>29</v>
      </c>
      <c r="R99" s="9" t="s">
        <v>30</v>
      </c>
      <c r="S99" s="14" t="s">
        <v>31</v>
      </c>
      <c r="U99" s="15">
        <f>IF(YEAR(C99)&lt;=2025,IFERROR(IF(I99="Hauswirtschaft",VLOOKUP($B99,[1]Kundenübersicht!$E$4:$BA$1003,MATCH("Hauswirtschaft [€/Stunde]",[1]Kundenübersicht!$E$3:$BA$3,FALSE),FALSE),VLOOKUP($B99,[1]Kundenübersicht!$E$4:$BA$1003,MATCH("Alltagsbegleitung [€/Stunde]",[1]Kundenübersicht!$E$3:$BA$3,FALSE),FALSE)),0),IFERROR(IF(I99="Hauswirtschaft",VLOOKUP($B99,[1]Kundenübersicht!$E$4:$BA$1003,MATCH("HW ab 2026 [€/Stunde]",[1]Kundenübersicht!$E$3:$BA$3,FALSE),FALSE),VLOOKUP($B99,[1]Kundenübersicht!$E$4:$BA$1003,MATCH("Alltagsbegleitung [€/Stunde]",[1]Kundenübersicht!$E$3:$BA$3,FALSE),FALSE)),0))</f>
        <v>32.75</v>
      </c>
      <c r="V99" s="16">
        <f t="shared" si="17"/>
        <v>65.499999999999943</v>
      </c>
      <c r="W99" s="16">
        <f t="shared" si="12"/>
        <v>0</v>
      </c>
      <c r="X99" s="16" t="str">
        <f>VLOOKUP(B99,[1]Kundenübersicht!E:AG,MATCH($X$3,[1]Kundenübersicht!$E$3:$AY$3,0),FALSE)</f>
        <v>Alt</v>
      </c>
      <c r="Z99" s="20" t="s">
        <v>29</v>
      </c>
      <c r="AA99" s="19">
        <v>45922</v>
      </c>
      <c r="AC99" s="10">
        <v>46035</v>
      </c>
      <c r="AE99" s="9">
        <f t="shared" si="18"/>
        <v>2025</v>
      </c>
      <c r="AF99" s="17" t="str">
        <f t="shared" si="19"/>
        <v>08.2025</v>
      </c>
      <c r="AG99" s="17" t="str">
        <f t="shared" si="20"/>
        <v>Manuela Richter</v>
      </c>
      <c r="AH99" s="17" t="str">
        <f>IFERROR(VLOOKUP(B99,[1]Kundenübersicht!$E$4:$F$85,2,FALSE),"")</f>
        <v>Lothar Krawalski</v>
      </c>
      <c r="AI99" s="17" t="str">
        <f t="shared" si="21"/>
        <v>Hauswirtschaft</v>
      </c>
      <c r="AJ99" s="17" t="str">
        <f t="shared" si="21"/>
        <v>Entlastungsleistung</v>
      </c>
      <c r="AL99" s="18">
        <f t="shared" si="13"/>
        <v>38</v>
      </c>
      <c r="AM99" s="18">
        <f t="shared" si="14"/>
        <v>75.999999999999929</v>
      </c>
      <c r="AN99" s="18">
        <f t="shared" si="15"/>
        <v>0</v>
      </c>
    </row>
    <row r="100" spans="2:40" x14ac:dyDescent="0.25">
      <c r="B100" s="30" t="s">
        <v>38</v>
      </c>
      <c r="C100" s="31">
        <v>45901</v>
      </c>
      <c r="D100" s="32">
        <v>0.375</v>
      </c>
      <c r="E100" s="32">
        <v>0.4375</v>
      </c>
      <c r="F100" s="12">
        <f t="shared" si="16"/>
        <v>1.5</v>
      </c>
      <c r="G100" s="12"/>
      <c r="H100" s="30" t="s">
        <v>33</v>
      </c>
      <c r="I100" s="30" t="s">
        <v>27</v>
      </c>
      <c r="J100" s="30" t="s">
        <v>28</v>
      </c>
      <c r="K100" s="9" t="str">
        <f>VLOOKUP($B100,[1]Kundenübersicht!$E$4:$AC$1003,MATCH(K$3,[1]Kundenübersicht!$E$3:$BA$3,FALSE),FALSE)</f>
        <v>AOK PLUS</v>
      </c>
      <c r="L100" s="13">
        <f>VLOOKUP(B100,[1]Kundenübersicht!$E$4:$AC$1003,MATCH(L$3,[1]Kundenübersicht!$E$3:$BA$3,FALSE),FALSE)</f>
        <v>107299005</v>
      </c>
      <c r="M100" s="13" t="str">
        <f>VLOOKUP(B100,[1]Kundenübersicht!$E$4:$AC$1003,MATCH(M$3,[1]Kundenübersicht!$E$3:$BA$3,FALSE),FALSE)</f>
        <v>R782602114</v>
      </c>
      <c r="N100" s="13" t="str">
        <f>VLOOKUP(B100,[1]Kundenübersicht!$E$4:$AC$1003,MATCH(N$3,[1]Kundenübersicht!$E$3:$BA$3,FALSE),FALSE)</f>
        <v>PG 1</v>
      </c>
      <c r="P100" s="9" t="s">
        <v>29</v>
      </c>
      <c r="R100" s="9" t="s">
        <v>30</v>
      </c>
      <c r="S100" s="14" t="s">
        <v>31</v>
      </c>
      <c r="U100" s="15">
        <f>IF(YEAR(C100)&lt;=2025,IFERROR(IF(I100="Hauswirtschaft",VLOOKUP($B100,[1]Kundenübersicht!$E$4:$BA$1003,MATCH("Hauswirtschaft [€/Stunde]",[1]Kundenübersicht!$E$3:$BA$3,FALSE),FALSE),VLOOKUP($B100,[1]Kundenübersicht!$E$4:$BA$1003,MATCH("Alltagsbegleitung [€/Stunde]",[1]Kundenübersicht!$E$3:$BA$3,FALSE),FALSE)),0),IFERROR(IF(I100="Hauswirtschaft",VLOOKUP($B100,[1]Kundenübersicht!$E$4:$BA$1003,MATCH("HW ab 2026 [€/Stunde]",[1]Kundenübersicht!$E$3:$BA$3,FALSE),FALSE),VLOOKUP($B100,[1]Kundenübersicht!$E$4:$BA$1003,MATCH("Alltagsbegleitung [€/Stunde]",[1]Kundenübersicht!$E$3:$BA$3,FALSE),FALSE)),0))</f>
        <v>32.75</v>
      </c>
      <c r="V100" s="16">
        <f t="shared" si="17"/>
        <v>49.125</v>
      </c>
      <c r="W100" s="16">
        <f t="shared" si="12"/>
        <v>0</v>
      </c>
      <c r="X100" s="16" t="str">
        <f>VLOOKUP(B100,[1]Kundenübersicht!E:AG,MATCH($X$3,[1]Kundenübersicht!$E$3:$AY$3,0),FALSE)</f>
        <v>Alt</v>
      </c>
      <c r="Z100" s="20" t="str">
        <f t="shared" ref="Z100:Z163" si="22">IF(AA100&lt;&gt;"","Ja","Nein")</f>
        <v>Ja</v>
      </c>
      <c r="AA100" s="19">
        <v>45950</v>
      </c>
      <c r="AC100" s="19">
        <v>45975</v>
      </c>
      <c r="AE100" s="9">
        <f t="shared" si="18"/>
        <v>2025</v>
      </c>
      <c r="AF100" s="17" t="str">
        <f t="shared" si="19"/>
        <v>09.2025</v>
      </c>
      <c r="AG100" s="17" t="str">
        <f t="shared" si="20"/>
        <v>Christiane Fiebag</v>
      </c>
      <c r="AH100" s="17" t="str">
        <f>IFERROR(VLOOKUP(B100,[1]Kundenübersicht!$E$4:$F$85,2,FALSE),"")</f>
        <v>Christian Jungnickel</v>
      </c>
      <c r="AI100" s="17" t="str">
        <f t="shared" ref="AI100:AJ131" si="23">IF(I100="","",I100)</f>
        <v>Hauswirtschaft</v>
      </c>
      <c r="AJ100" s="17" t="str">
        <f t="shared" si="23"/>
        <v>Entlastungsleistung</v>
      </c>
      <c r="AL100" s="18">
        <f t="shared" si="13"/>
        <v>38</v>
      </c>
      <c r="AM100" s="18">
        <f t="shared" si="14"/>
        <v>57</v>
      </c>
      <c r="AN100" s="18">
        <f t="shared" si="15"/>
        <v>0</v>
      </c>
    </row>
    <row r="101" spans="2:40" x14ac:dyDescent="0.25">
      <c r="B101" s="30" t="s">
        <v>34</v>
      </c>
      <c r="C101" s="31">
        <v>45901</v>
      </c>
      <c r="D101" s="32">
        <v>0.45833333333333331</v>
      </c>
      <c r="E101" s="32">
        <v>0.54166666666666663</v>
      </c>
      <c r="F101" s="12">
        <f t="shared" si="16"/>
        <v>1.9999999999999996</v>
      </c>
      <c r="G101" s="12"/>
      <c r="H101" s="30" t="s">
        <v>33</v>
      </c>
      <c r="I101" s="30" t="s">
        <v>27</v>
      </c>
      <c r="J101" s="30" t="s">
        <v>28</v>
      </c>
      <c r="K101" s="9" t="str">
        <f>VLOOKUP($B101,[1]Kundenübersicht!$E$4:$AC$1003,MATCH(K$3,[1]Kundenübersicht!$E$3:$BA$3,FALSE),FALSE)</f>
        <v>AOK PLUS</v>
      </c>
      <c r="L101" s="13">
        <f>VLOOKUP(B101,[1]Kundenübersicht!$E$4:$AC$1003,MATCH(L$3,[1]Kundenübersicht!$E$3:$BA$3,FALSE),FALSE)</f>
        <v>107299005</v>
      </c>
      <c r="M101" s="13" t="str">
        <f>VLOOKUP(B101,[1]Kundenübersicht!$E$4:$AC$1003,MATCH(M$3,[1]Kundenübersicht!$E$3:$BA$3,FALSE),FALSE)</f>
        <v>R234942678</v>
      </c>
      <c r="N101" s="13" t="str">
        <f>VLOOKUP(B101,[1]Kundenübersicht!$E$4:$AC$1003,MATCH(N$3,[1]Kundenübersicht!$E$3:$BA$3,FALSE),FALSE)</f>
        <v>PG 2</v>
      </c>
      <c r="P101" s="9" t="s">
        <v>29</v>
      </c>
      <c r="R101" s="9" t="s">
        <v>30</v>
      </c>
      <c r="S101" s="14" t="s">
        <v>31</v>
      </c>
      <c r="U101" s="15">
        <f>IF(YEAR(C101)&lt;=2025,IFERROR(IF(I101="Hauswirtschaft",VLOOKUP($B101,[1]Kundenübersicht!$E$4:$BA$1003,MATCH("Hauswirtschaft [€/Stunde]",[1]Kundenübersicht!$E$3:$BA$3,FALSE),FALSE),VLOOKUP($B101,[1]Kundenübersicht!$E$4:$BA$1003,MATCH("Alltagsbegleitung [€/Stunde]",[1]Kundenübersicht!$E$3:$BA$3,FALSE),FALSE)),0),IFERROR(IF(I101="Hauswirtschaft",VLOOKUP($B101,[1]Kundenübersicht!$E$4:$BA$1003,MATCH("HW ab 2026 [€/Stunde]",[1]Kundenübersicht!$E$3:$BA$3,FALSE),FALSE),VLOOKUP($B101,[1]Kundenübersicht!$E$4:$BA$1003,MATCH("Alltagsbegleitung [€/Stunde]",[1]Kundenübersicht!$E$3:$BA$3,FALSE),FALSE)),0))</f>
        <v>32.75</v>
      </c>
      <c r="V101" s="16">
        <f t="shared" si="17"/>
        <v>65.499999999999986</v>
      </c>
      <c r="W101" s="16">
        <f t="shared" si="12"/>
        <v>0</v>
      </c>
      <c r="X101" s="16" t="str">
        <f>VLOOKUP(B101,[1]Kundenübersicht!E:AG,MATCH($X$3,[1]Kundenübersicht!$E$3:$AY$3,0),FALSE)</f>
        <v>Alt</v>
      </c>
      <c r="Z101" s="20" t="str">
        <f t="shared" si="22"/>
        <v>Ja</v>
      </c>
      <c r="AA101" s="19">
        <v>45950</v>
      </c>
      <c r="AC101" s="19">
        <v>45975</v>
      </c>
      <c r="AE101" s="9">
        <f t="shared" si="18"/>
        <v>2025</v>
      </c>
      <c r="AF101" s="17" t="str">
        <f t="shared" si="19"/>
        <v>09.2025</v>
      </c>
      <c r="AG101" s="17" t="str">
        <f t="shared" si="20"/>
        <v>Christiane Fiebag</v>
      </c>
      <c r="AH101" s="17" t="str">
        <f>IFERROR(VLOOKUP(B101,[1]Kundenübersicht!$E$4:$F$85,2,FALSE),"")</f>
        <v>Dieter Berghold</v>
      </c>
      <c r="AI101" s="17" t="str">
        <f t="shared" si="23"/>
        <v>Hauswirtschaft</v>
      </c>
      <c r="AJ101" s="17" t="str">
        <f t="shared" si="23"/>
        <v>Entlastungsleistung</v>
      </c>
      <c r="AL101" s="18">
        <f t="shared" si="13"/>
        <v>38</v>
      </c>
      <c r="AM101" s="18">
        <f t="shared" si="14"/>
        <v>75.999999999999986</v>
      </c>
      <c r="AN101" s="18">
        <f t="shared" si="15"/>
        <v>0</v>
      </c>
    </row>
    <row r="102" spans="2:40" x14ac:dyDescent="0.25">
      <c r="B102" s="30" t="s">
        <v>57</v>
      </c>
      <c r="C102" s="31">
        <v>45901</v>
      </c>
      <c r="D102" s="32">
        <v>0.375</v>
      </c>
      <c r="E102" s="32">
        <v>0.4375</v>
      </c>
      <c r="F102" s="12">
        <f t="shared" si="16"/>
        <v>1.5</v>
      </c>
      <c r="G102" s="12"/>
      <c r="H102" s="30" t="s">
        <v>55</v>
      </c>
      <c r="I102" s="30" t="s">
        <v>27</v>
      </c>
      <c r="J102" s="30" t="s">
        <v>28</v>
      </c>
      <c r="K102" s="9" t="str">
        <f>VLOOKUP($B102,[1]Kundenübersicht!$E$4:$AC$1003,MATCH(K$3,[1]Kundenübersicht!$E$3:$BA$3,FALSE),FALSE)</f>
        <v>AOK PLUS</v>
      </c>
      <c r="L102" s="13">
        <f>VLOOKUP(B102,[1]Kundenübersicht!$E$4:$AC$1003,MATCH(L$3,[1]Kundenübersicht!$E$3:$BA$3,FALSE),FALSE)</f>
        <v>107299005</v>
      </c>
      <c r="M102" s="13" t="str">
        <f>VLOOKUP(B102,[1]Kundenübersicht!$E$4:$AC$1003,MATCH(M$3,[1]Kundenübersicht!$E$3:$BA$3,FALSE),FALSE)</f>
        <v>N303904545</v>
      </c>
      <c r="N102" s="13" t="str">
        <f>VLOOKUP(B102,[1]Kundenübersicht!$E$4:$AC$1003,MATCH(N$3,[1]Kundenübersicht!$E$3:$BA$3,FALSE),FALSE)</f>
        <v>PG 1</v>
      </c>
      <c r="P102" s="9" t="s">
        <v>29</v>
      </c>
      <c r="R102" s="9" t="s">
        <v>30</v>
      </c>
      <c r="S102" s="14" t="s">
        <v>31</v>
      </c>
      <c r="U102" s="15">
        <f>IF(YEAR(C102)&lt;=2025,IFERROR(IF(I102="Hauswirtschaft",VLOOKUP($B102,[1]Kundenübersicht!$E$4:$BA$1003,MATCH("Hauswirtschaft [€/Stunde]",[1]Kundenübersicht!$E$3:$BA$3,FALSE),FALSE),VLOOKUP($B102,[1]Kundenübersicht!$E$4:$BA$1003,MATCH("Alltagsbegleitung [€/Stunde]",[1]Kundenübersicht!$E$3:$BA$3,FALSE),FALSE)),0),IFERROR(IF(I102="Hauswirtschaft",VLOOKUP($B102,[1]Kundenübersicht!$E$4:$BA$1003,MATCH("HW ab 2026 [€/Stunde]",[1]Kundenübersicht!$E$3:$BA$3,FALSE),FALSE),VLOOKUP($B102,[1]Kundenübersicht!$E$4:$BA$1003,MATCH("Alltagsbegleitung [€/Stunde]",[1]Kundenübersicht!$E$3:$BA$3,FALSE),FALSE)),0))</f>
        <v>32.75</v>
      </c>
      <c r="V102" s="16">
        <f t="shared" si="17"/>
        <v>49.125</v>
      </c>
      <c r="W102" s="16">
        <f t="shared" si="12"/>
        <v>0</v>
      </c>
      <c r="X102" s="16" t="str">
        <f>VLOOKUP(B102,[1]Kundenübersicht!E:AG,MATCH($X$3,[1]Kundenübersicht!$E$3:$AY$3,0),FALSE)</f>
        <v>Alt</v>
      </c>
      <c r="Z102" s="20" t="str">
        <f t="shared" si="22"/>
        <v>Ja</v>
      </c>
      <c r="AA102" s="19">
        <v>45950</v>
      </c>
      <c r="AC102" s="19">
        <v>45975</v>
      </c>
      <c r="AE102" s="9">
        <f t="shared" si="18"/>
        <v>2025</v>
      </c>
      <c r="AF102" s="17" t="str">
        <f t="shared" si="19"/>
        <v>09.2025</v>
      </c>
      <c r="AG102" s="17" t="str">
        <f t="shared" si="20"/>
        <v>Doreen Luzyna</v>
      </c>
      <c r="AH102" s="17" t="str">
        <f>IFERROR(VLOOKUP(B102,[1]Kundenübersicht!$E$4:$F$85,2,FALSE),"")</f>
        <v>Egon Bochmann</v>
      </c>
      <c r="AI102" s="17" t="str">
        <f t="shared" si="23"/>
        <v>Hauswirtschaft</v>
      </c>
      <c r="AJ102" s="17" t="str">
        <f t="shared" si="23"/>
        <v>Entlastungsleistung</v>
      </c>
      <c r="AL102" s="18">
        <f t="shared" si="13"/>
        <v>38</v>
      </c>
      <c r="AM102" s="18">
        <f t="shared" si="14"/>
        <v>57</v>
      </c>
      <c r="AN102" s="18">
        <f t="shared" si="15"/>
        <v>0</v>
      </c>
    </row>
    <row r="103" spans="2:40" x14ac:dyDescent="0.25">
      <c r="B103" s="30" t="s">
        <v>58</v>
      </c>
      <c r="C103" s="31">
        <v>45901</v>
      </c>
      <c r="D103" s="32">
        <v>0.45833333333333331</v>
      </c>
      <c r="E103" s="32">
        <v>0.48958333333333331</v>
      </c>
      <c r="F103" s="12">
        <f t="shared" si="16"/>
        <v>0.75</v>
      </c>
      <c r="G103" s="12"/>
      <c r="H103" s="30" t="s">
        <v>55</v>
      </c>
      <c r="I103" s="30" t="s">
        <v>27</v>
      </c>
      <c r="J103" s="30" t="s">
        <v>28</v>
      </c>
      <c r="K103" s="9" t="str">
        <f>VLOOKUP($B103,[1]Kundenübersicht!$E$4:$AC$1003,MATCH(K$3,[1]Kundenübersicht!$E$3:$BA$3,FALSE),FALSE)</f>
        <v>IKK Classic</v>
      </c>
      <c r="L103" s="13">
        <f>VLOOKUP(B103,[1]Kundenübersicht!$E$4:$AC$1003,MATCH(L$3,[1]Kundenübersicht!$E$3:$BA$3,FALSE),FALSE)</f>
        <v>187202793</v>
      </c>
      <c r="M103" s="13" t="str">
        <f>VLOOKUP(B103,[1]Kundenübersicht!$E$4:$AC$1003,MATCH(M$3,[1]Kundenübersicht!$E$3:$BA$3,FALSE),FALSE)</f>
        <v>G520510754</v>
      </c>
      <c r="N103" s="13" t="str">
        <f>VLOOKUP(B103,[1]Kundenübersicht!$E$4:$AC$1003,MATCH(N$3,[1]Kundenübersicht!$E$3:$BA$3,FALSE),FALSE)</f>
        <v>PG 2</v>
      </c>
      <c r="P103" s="9" t="s">
        <v>29</v>
      </c>
      <c r="R103" s="9" t="s">
        <v>30</v>
      </c>
      <c r="S103" s="14" t="s">
        <v>31</v>
      </c>
      <c r="U103" s="15">
        <f>IF(YEAR(C103)&lt;=2025,IFERROR(IF(I103="Hauswirtschaft",VLOOKUP($B103,[1]Kundenübersicht!$E$4:$BA$1003,MATCH("Hauswirtschaft [€/Stunde]",[1]Kundenübersicht!$E$3:$BA$3,FALSE),FALSE),VLOOKUP($B103,[1]Kundenübersicht!$E$4:$BA$1003,MATCH("Alltagsbegleitung [€/Stunde]",[1]Kundenübersicht!$E$3:$BA$3,FALSE),FALSE)),0),IFERROR(IF(I103="Hauswirtschaft",VLOOKUP($B103,[1]Kundenübersicht!$E$4:$BA$1003,MATCH("HW ab 2026 [€/Stunde]",[1]Kundenübersicht!$E$3:$BA$3,FALSE),FALSE),VLOOKUP($B103,[1]Kundenübersicht!$E$4:$BA$1003,MATCH("Alltagsbegleitung [€/Stunde]",[1]Kundenübersicht!$E$3:$BA$3,FALSE),FALSE)),0))</f>
        <v>32.75</v>
      </c>
      <c r="V103" s="16">
        <f t="shared" si="17"/>
        <v>24.5625</v>
      </c>
      <c r="W103" s="16">
        <f t="shared" si="12"/>
        <v>0</v>
      </c>
      <c r="X103" s="16" t="str">
        <f>VLOOKUP(B103,[1]Kundenübersicht!E:AG,MATCH($X$3,[1]Kundenübersicht!$E$3:$AY$3,0),FALSE)</f>
        <v>Alt</v>
      </c>
      <c r="Z103" s="20" t="str">
        <f t="shared" si="22"/>
        <v>Ja</v>
      </c>
      <c r="AA103" s="19">
        <v>45950</v>
      </c>
      <c r="AC103" s="19">
        <v>45967</v>
      </c>
      <c r="AE103" s="9">
        <f t="shared" si="18"/>
        <v>2025</v>
      </c>
      <c r="AF103" s="17" t="str">
        <f t="shared" si="19"/>
        <v>09.2025</v>
      </c>
      <c r="AG103" s="17" t="str">
        <f t="shared" si="20"/>
        <v>Doreen Luzyna</v>
      </c>
      <c r="AH103" s="17" t="str">
        <f>IFERROR(VLOOKUP(B103,[1]Kundenübersicht!$E$4:$F$85,2,FALSE),"")</f>
        <v>Bernd Fischer</v>
      </c>
      <c r="AI103" s="17" t="str">
        <f t="shared" si="23"/>
        <v>Hauswirtschaft</v>
      </c>
      <c r="AJ103" s="17" t="str">
        <f t="shared" si="23"/>
        <v>Entlastungsleistung</v>
      </c>
      <c r="AL103" s="18">
        <f t="shared" si="13"/>
        <v>38</v>
      </c>
      <c r="AM103" s="18">
        <f t="shared" si="14"/>
        <v>28.5</v>
      </c>
      <c r="AN103" s="18">
        <f t="shared" si="15"/>
        <v>0</v>
      </c>
    </row>
    <row r="104" spans="2:40" x14ac:dyDescent="0.25">
      <c r="B104" s="30" t="s">
        <v>59</v>
      </c>
      <c r="C104" s="31">
        <v>45901</v>
      </c>
      <c r="D104" s="32">
        <v>0.48958333333333331</v>
      </c>
      <c r="E104" s="32">
        <v>0.52083333333333337</v>
      </c>
      <c r="F104" s="12">
        <f t="shared" si="16"/>
        <v>0.75000000000000133</v>
      </c>
      <c r="G104" s="12"/>
      <c r="H104" s="30" t="s">
        <v>55</v>
      </c>
      <c r="I104" s="30" t="s">
        <v>27</v>
      </c>
      <c r="J104" s="30" t="s">
        <v>28</v>
      </c>
      <c r="K104" s="9" t="str">
        <f>VLOOKUP($B104,[1]Kundenübersicht!$E$4:$AC$1003,MATCH(K$3,[1]Kundenübersicht!$E$3:$BA$3,FALSE),FALSE)</f>
        <v>IKK Classic</v>
      </c>
      <c r="L104" s="13">
        <f>VLOOKUP(B104,[1]Kundenübersicht!$E$4:$AC$1003,MATCH(L$3,[1]Kundenübersicht!$E$3:$BA$3,FALSE),FALSE)</f>
        <v>187202793</v>
      </c>
      <c r="M104" s="13" t="str">
        <f>VLOOKUP(B104,[1]Kundenübersicht!$E$4:$AC$1003,MATCH(M$3,[1]Kundenübersicht!$E$3:$BA$3,FALSE),FALSE)</f>
        <v>E747849508</v>
      </c>
      <c r="N104" s="13" t="str">
        <f>VLOOKUP(B104,[1]Kundenübersicht!$E$4:$AC$1003,MATCH(N$3,[1]Kundenübersicht!$E$3:$BA$3,FALSE),FALSE)</f>
        <v>PG 3</v>
      </c>
      <c r="P104" s="9" t="s">
        <v>29</v>
      </c>
      <c r="R104" s="9" t="s">
        <v>30</v>
      </c>
      <c r="S104" s="14" t="s">
        <v>31</v>
      </c>
      <c r="U104" s="15">
        <f>IF(YEAR(C104)&lt;=2025,IFERROR(IF(I104="Hauswirtschaft",VLOOKUP($B104,[1]Kundenübersicht!$E$4:$BA$1003,MATCH("Hauswirtschaft [€/Stunde]",[1]Kundenübersicht!$E$3:$BA$3,FALSE),FALSE),VLOOKUP($B104,[1]Kundenübersicht!$E$4:$BA$1003,MATCH("Alltagsbegleitung [€/Stunde]",[1]Kundenübersicht!$E$3:$BA$3,FALSE),FALSE)),0),IFERROR(IF(I104="Hauswirtschaft",VLOOKUP($B104,[1]Kundenübersicht!$E$4:$BA$1003,MATCH("HW ab 2026 [€/Stunde]",[1]Kundenübersicht!$E$3:$BA$3,FALSE),FALSE),VLOOKUP($B104,[1]Kundenübersicht!$E$4:$BA$1003,MATCH("Alltagsbegleitung [€/Stunde]",[1]Kundenübersicht!$E$3:$BA$3,FALSE),FALSE)),0))</f>
        <v>32.75</v>
      </c>
      <c r="V104" s="16">
        <f t="shared" si="17"/>
        <v>24.562500000000043</v>
      </c>
      <c r="W104" s="16">
        <f t="shared" si="12"/>
        <v>0</v>
      </c>
      <c r="X104" s="16" t="str">
        <f>VLOOKUP(B104,[1]Kundenübersicht!E:AG,MATCH($X$3,[1]Kundenübersicht!$E$3:$AY$3,0),FALSE)</f>
        <v>Alt</v>
      </c>
      <c r="Z104" s="20" t="str">
        <f t="shared" si="22"/>
        <v>Ja</v>
      </c>
      <c r="AA104" s="19">
        <v>45950</v>
      </c>
      <c r="AC104" s="19">
        <v>45967</v>
      </c>
      <c r="AE104" s="9">
        <f t="shared" si="18"/>
        <v>2025</v>
      </c>
      <c r="AF104" s="17" t="str">
        <f t="shared" si="19"/>
        <v>09.2025</v>
      </c>
      <c r="AG104" s="17" t="str">
        <f t="shared" si="20"/>
        <v>Doreen Luzyna</v>
      </c>
      <c r="AH104" s="17" t="str">
        <f>IFERROR(VLOOKUP(B104,[1]Kundenübersicht!$E$4:$F$85,2,FALSE),"")</f>
        <v>Anita Fischer</v>
      </c>
      <c r="AI104" s="17" t="str">
        <f t="shared" si="23"/>
        <v>Hauswirtschaft</v>
      </c>
      <c r="AJ104" s="17" t="str">
        <f t="shared" si="23"/>
        <v>Entlastungsleistung</v>
      </c>
      <c r="AL104" s="18">
        <f t="shared" si="13"/>
        <v>38</v>
      </c>
      <c r="AM104" s="18">
        <f t="shared" si="14"/>
        <v>28.50000000000005</v>
      </c>
      <c r="AN104" s="18">
        <f t="shared" si="15"/>
        <v>0</v>
      </c>
    </row>
    <row r="105" spans="2:40" x14ac:dyDescent="0.25">
      <c r="B105" s="30" t="s">
        <v>62</v>
      </c>
      <c r="C105" s="31">
        <v>45902</v>
      </c>
      <c r="D105" s="32">
        <v>0.375</v>
      </c>
      <c r="E105" s="32">
        <v>0.45833333333333331</v>
      </c>
      <c r="F105" s="12">
        <f t="shared" si="16"/>
        <v>1.9999999999999996</v>
      </c>
      <c r="G105" s="12"/>
      <c r="H105" s="30" t="s">
        <v>55</v>
      </c>
      <c r="I105" s="30" t="s">
        <v>27</v>
      </c>
      <c r="J105" s="30" t="s">
        <v>28</v>
      </c>
      <c r="K105" s="9" t="str">
        <f>VLOOKUP($B105,[1]Kundenübersicht!$E$4:$AC$1003,MATCH(K$3,[1]Kundenübersicht!$E$3:$BA$3,FALSE),FALSE)</f>
        <v>IKK Classic</v>
      </c>
      <c r="L105" s="13">
        <f>VLOOKUP(B105,[1]Kundenübersicht!$E$4:$AC$1003,MATCH(L$3,[1]Kundenübersicht!$E$3:$BA$3,FALSE),FALSE)</f>
        <v>187202793</v>
      </c>
      <c r="M105" s="13" t="str">
        <f>VLOOKUP(B105,[1]Kundenübersicht!$E$4:$AC$1003,MATCH(M$3,[1]Kundenübersicht!$E$3:$BA$3,FALSE),FALSE)</f>
        <v>D629015744</v>
      </c>
      <c r="N105" s="13" t="str">
        <f>VLOOKUP(B105,[1]Kundenübersicht!$E$4:$AC$1003,MATCH(N$3,[1]Kundenübersicht!$E$3:$BA$3,FALSE),FALSE)</f>
        <v>PG 2</v>
      </c>
      <c r="P105" s="9" t="s">
        <v>29</v>
      </c>
      <c r="R105" s="9" t="s">
        <v>30</v>
      </c>
      <c r="S105" s="14" t="s">
        <v>31</v>
      </c>
      <c r="U105" s="15">
        <f>IF(YEAR(C105)&lt;=2025,IFERROR(IF(I105="Hauswirtschaft",VLOOKUP($B105,[1]Kundenübersicht!$E$4:$BA$1003,MATCH("Hauswirtschaft [€/Stunde]",[1]Kundenübersicht!$E$3:$BA$3,FALSE),FALSE),VLOOKUP($B105,[1]Kundenübersicht!$E$4:$BA$1003,MATCH("Alltagsbegleitung [€/Stunde]",[1]Kundenübersicht!$E$3:$BA$3,FALSE),FALSE)),0),IFERROR(IF(I105="Hauswirtschaft",VLOOKUP($B105,[1]Kundenübersicht!$E$4:$BA$1003,MATCH("HW ab 2026 [€/Stunde]",[1]Kundenübersicht!$E$3:$BA$3,FALSE),FALSE),VLOOKUP($B105,[1]Kundenübersicht!$E$4:$BA$1003,MATCH("Alltagsbegleitung [€/Stunde]",[1]Kundenübersicht!$E$3:$BA$3,FALSE),FALSE)),0))</f>
        <v>32.75</v>
      </c>
      <c r="V105" s="16">
        <f t="shared" si="17"/>
        <v>65.499999999999986</v>
      </c>
      <c r="W105" s="16">
        <f t="shared" si="12"/>
        <v>0</v>
      </c>
      <c r="X105" s="16" t="str">
        <f>VLOOKUP(B105,[1]Kundenübersicht!E:AG,MATCH($X$3,[1]Kundenübersicht!$E$3:$AY$3,0),FALSE)</f>
        <v>Alt</v>
      </c>
      <c r="Z105" s="20" t="str">
        <f t="shared" si="22"/>
        <v>Ja</v>
      </c>
      <c r="AA105" s="19">
        <v>45950</v>
      </c>
      <c r="AC105" s="19">
        <v>45967</v>
      </c>
      <c r="AE105" s="9">
        <f t="shared" si="18"/>
        <v>2025</v>
      </c>
      <c r="AF105" s="17" t="str">
        <f t="shared" si="19"/>
        <v>09.2025</v>
      </c>
      <c r="AG105" s="17" t="str">
        <f t="shared" si="20"/>
        <v>Doreen Luzyna</v>
      </c>
      <c r="AH105" s="17" t="str">
        <f>IFERROR(VLOOKUP(B105,[1]Kundenübersicht!$E$4:$F$85,2,FALSE),"")</f>
        <v>Hannelore Köhler</v>
      </c>
      <c r="AI105" s="17" t="str">
        <f t="shared" si="23"/>
        <v>Hauswirtschaft</v>
      </c>
      <c r="AJ105" s="17" t="str">
        <f t="shared" si="23"/>
        <v>Entlastungsleistung</v>
      </c>
      <c r="AL105" s="18">
        <f t="shared" si="13"/>
        <v>38</v>
      </c>
      <c r="AM105" s="18">
        <f t="shared" si="14"/>
        <v>75.999999999999986</v>
      </c>
      <c r="AN105" s="18">
        <f t="shared" si="15"/>
        <v>0</v>
      </c>
    </row>
    <row r="106" spans="2:40" x14ac:dyDescent="0.25">
      <c r="B106" s="30" t="s">
        <v>43</v>
      </c>
      <c r="C106" s="31">
        <v>45903</v>
      </c>
      <c r="D106" s="32">
        <v>0.33333333333333331</v>
      </c>
      <c r="E106" s="32">
        <v>0.375</v>
      </c>
      <c r="F106" s="12">
        <f t="shared" si="16"/>
        <v>1.0000000000000004</v>
      </c>
      <c r="G106" s="12"/>
      <c r="H106" s="30" t="s">
        <v>46</v>
      </c>
      <c r="I106" s="30" t="s">
        <v>27</v>
      </c>
      <c r="J106" s="30" t="s">
        <v>28</v>
      </c>
      <c r="K106" s="9" t="str">
        <f>VLOOKUP($B106,[1]Kundenübersicht!$E$4:$AC$1003,MATCH(K$3,[1]Kundenübersicht!$E$3:$BA$3,FALSE),FALSE)</f>
        <v>AOK PLUS</v>
      </c>
      <c r="L106" s="13">
        <f>VLOOKUP(B106,[1]Kundenübersicht!$E$4:$AC$1003,MATCH(L$3,[1]Kundenübersicht!$E$3:$BA$3,FALSE),FALSE)</f>
        <v>107299005</v>
      </c>
      <c r="M106" s="13" t="str">
        <f>VLOOKUP(B106,[1]Kundenübersicht!$E$4:$AC$1003,MATCH(M$3,[1]Kundenübersicht!$E$3:$BA$3,FALSE),FALSE)</f>
        <v>I323820679</v>
      </c>
      <c r="N106" s="13" t="str">
        <f>VLOOKUP(B106,[1]Kundenübersicht!$E$4:$AC$1003,MATCH(N$3,[1]Kundenübersicht!$E$3:$BA$3,FALSE),FALSE)</f>
        <v>PG 1</v>
      </c>
      <c r="P106" s="9" t="s">
        <v>29</v>
      </c>
      <c r="R106" s="9" t="s">
        <v>30</v>
      </c>
      <c r="S106" s="14" t="s">
        <v>31</v>
      </c>
      <c r="U106" s="15">
        <f>IF(YEAR(C106)&lt;=2025,IFERROR(IF(I106="Hauswirtschaft",VLOOKUP($B106,[1]Kundenübersicht!$E$4:$BA$1003,MATCH("Hauswirtschaft [€/Stunde]",[1]Kundenübersicht!$E$3:$BA$3,FALSE),FALSE),VLOOKUP($B106,[1]Kundenübersicht!$E$4:$BA$1003,MATCH("Alltagsbegleitung [€/Stunde]",[1]Kundenübersicht!$E$3:$BA$3,FALSE),FALSE)),0),IFERROR(IF(I106="Hauswirtschaft",VLOOKUP($B106,[1]Kundenübersicht!$E$4:$BA$1003,MATCH("HW ab 2026 [€/Stunde]",[1]Kundenübersicht!$E$3:$BA$3,FALSE),FALSE),VLOOKUP($B106,[1]Kundenübersicht!$E$4:$BA$1003,MATCH("Alltagsbegleitung [€/Stunde]",[1]Kundenübersicht!$E$3:$BA$3,FALSE),FALSE)),0))</f>
        <v>32.75</v>
      </c>
      <c r="V106" s="16">
        <f t="shared" si="17"/>
        <v>32.750000000000014</v>
      </c>
      <c r="W106" s="16">
        <f t="shared" si="12"/>
        <v>0</v>
      </c>
      <c r="X106" s="16" t="str">
        <f>VLOOKUP(B106,[1]Kundenübersicht!E:AG,MATCH($X$3,[1]Kundenübersicht!$E$3:$AY$3,0),FALSE)</f>
        <v>Alt</v>
      </c>
      <c r="Z106" s="20" t="str">
        <f t="shared" si="22"/>
        <v>Ja</v>
      </c>
      <c r="AA106" s="19">
        <v>45950</v>
      </c>
      <c r="AC106" s="19">
        <v>45975</v>
      </c>
      <c r="AE106" s="9">
        <f t="shared" si="18"/>
        <v>2025</v>
      </c>
      <c r="AF106" s="17" t="str">
        <f t="shared" si="19"/>
        <v>09.2025</v>
      </c>
      <c r="AG106" s="17" t="str">
        <f t="shared" si="20"/>
        <v>Manuela Richter</v>
      </c>
      <c r="AH106" s="17" t="str">
        <f>IFERROR(VLOOKUP(B106,[1]Kundenübersicht!$E$4:$F$85,2,FALSE),"")</f>
        <v>Inge Leupold</v>
      </c>
      <c r="AI106" s="17" t="str">
        <f t="shared" si="23"/>
        <v>Hauswirtschaft</v>
      </c>
      <c r="AJ106" s="17" t="str">
        <f t="shared" si="23"/>
        <v>Entlastungsleistung</v>
      </c>
      <c r="AL106" s="18">
        <f t="shared" si="13"/>
        <v>38</v>
      </c>
      <c r="AM106" s="18">
        <f t="shared" si="14"/>
        <v>38.000000000000014</v>
      </c>
      <c r="AN106" s="18">
        <f t="shared" si="15"/>
        <v>0</v>
      </c>
    </row>
    <row r="107" spans="2:40" x14ac:dyDescent="0.25">
      <c r="B107" s="30" t="s">
        <v>52</v>
      </c>
      <c r="C107" s="31">
        <v>45903</v>
      </c>
      <c r="D107" s="32">
        <v>0.33333333333333331</v>
      </c>
      <c r="E107" s="32">
        <v>0.41666666666666669</v>
      </c>
      <c r="F107" s="12">
        <f t="shared" si="16"/>
        <v>2.0000000000000009</v>
      </c>
      <c r="G107" s="12"/>
      <c r="H107" s="30" t="s">
        <v>33</v>
      </c>
      <c r="I107" s="30" t="s">
        <v>27</v>
      </c>
      <c r="J107" s="30" t="s">
        <v>28</v>
      </c>
      <c r="K107" s="9" t="str">
        <f>VLOOKUP($B107,[1]Kundenübersicht!$E$4:$AC$1003,MATCH(K$3,[1]Kundenübersicht!$E$3:$BA$3,FALSE),FALSE)</f>
        <v>AOK PLUS</v>
      </c>
      <c r="L107" s="13">
        <f>VLOOKUP(B107,[1]Kundenübersicht!$E$4:$AC$1003,MATCH(L$3,[1]Kundenübersicht!$E$3:$BA$3,FALSE),FALSE)</f>
        <v>107299005</v>
      </c>
      <c r="M107" s="13" t="str">
        <f>VLOOKUP(B107,[1]Kundenübersicht!$E$4:$AC$1003,MATCH(M$3,[1]Kundenübersicht!$E$3:$BA$3,FALSE),FALSE)</f>
        <v>G562042888</v>
      </c>
      <c r="N107" s="13" t="str">
        <f>VLOOKUP(B107,[1]Kundenübersicht!$E$4:$AC$1003,MATCH(N$3,[1]Kundenübersicht!$E$3:$BA$3,FALSE),FALSE)</f>
        <v>PG 2</v>
      </c>
      <c r="P107" s="9" t="s">
        <v>29</v>
      </c>
      <c r="R107" s="9" t="s">
        <v>30</v>
      </c>
      <c r="S107" s="14" t="s">
        <v>31</v>
      </c>
      <c r="U107" s="15">
        <f>IF(YEAR(C107)&lt;=2025,IFERROR(IF(I107="Hauswirtschaft",VLOOKUP($B107,[1]Kundenübersicht!$E$4:$BA$1003,MATCH("Hauswirtschaft [€/Stunde]",[1]Kundenübersicht!$E$3:$BA$3,FALSE),FALSE),VLOOKUP($B107,[1]Kundenübersicht!$E$4:$BA$1003,MATCH("Alltagsbegleitung [€/Stunde]",[1]Kundenübersicht!$E$3:$BA$3,FALSE),FALSE)),0),IFERROR(IF(I107="Hauswirtschaft",VLOOKUP($B107,[1]Kundenübersicht!$E$4:$BA$1003,MATCH("HW ab 2026 [€/Stunde]",[1]Kundenübersicht!$E$3:$BA$3,FALSE),FALSE),VLOOKUP($B107,[1]Kundenübersicht!$E$4:$BA$1003,MATCH("Alltagsbegleitung [€/Stunde]",[1]Kundenübersicht!$E$3:$BA$3,FALSE),FALSE)),0))</f>
        <v>32.75</v>
      </c>
      <c r="V107" s="16">
        <f t="shared" si="17"/>
        <v>65.500000000000028</v>
      </c>
      <c r="W107" s="16">
        <f t="shared" si="12"/>
        <v>0</v>
      </c>
      <c r="X107" s="16" t="str">
        <f>VLOOKUP(B107,[1]Kundenübersicht!E:AG,MATCH($X$3,[1]Kundenübersicht!$E$3:$AY$3,0),FALSE)</f>
        <v>Alt</v>
      </c>
      <c r="Z107" s="20" t="str">
        <f t="shared" si="22"/>
        <v>Ja</v>
      </c>
      <c r="AA107" s="19">
        <v>45950</v>
      </c>
      <c r="AC107" s="19">
        <v>45975</v>
      </c>
      <c r="AE107" s="9">
        <f t="shared" si="18"/>
        <v>2025</v>
      </c>
      <c r="AF107" s="17" t="str">
        <f t="shared" si="19"/>
        <v>09.2025</v>
      </c>
      <c r="AG107" s="17" t="str">
        <f t="shared" si="20"/>
        <v>Christiane Fiebag</v>
      </c>
      <c r="AH107" s="17" t="str">
        <f>IFERROR(VLOOKUP(B107,[1]Kundenübersicht!$E$4:$F$85,2,FALSE),"")</f>
        <v>Matthias Roß</v>
      </c>
      <c r="AI107" s="17" t="str">
        <f t="shared" si="23"/>
        <v>Hauswirtschaft</v>
      </c>
      <c r="AJ107" s="17" t="str">
        <f t="shared" si="23"/>
        <v>Entlastungsleistung</v>
      </c>
      <c r="AL107" s="18">
        <f t="shared" si="13"/>
        <v>38</v>
      </c>
      <c r="AM107" s="18">
        <f t="shared" si="14"/>
        <v>76.000000000000028</v>
      </c>
      <c r="AN107" s="18">
        <f t="shared" si="15"/>
        <v>0</v>
      </c>
    </row>
    <row r="108" spans="2:40" x14ac:dyDescent="0.25">
      <c r="B108" s="30" t="s">
        <v>60</v>
      </c>
      <c r="C108" s="31">
        <v>45903</v>
      </c>
      <c r="D108" s="32">
        <v>0.43055555555555558</v>
      </c>
      <c r="E108" s="32">
        <v>0.49305555555555558</v>
      </c>
      <c r="F108" s="12">
        <f t="shared" si="16"/>
        <v>1.5</v>
      </c>
      <c r="G108" s="12"/>
      <c r="H108" s="30" t="s">
        <v>64</v>
      </c>
      <c r="I108" s="30" t="s">
        <v>27</v>
      </c>
      <c r="J108" s="30" t="s">
        <v>28</v>
      </c>
      <c r="K108" s="9" t="str">
        <f>VLOOKUP($B108,[1]Kundenübersicht!$E$4:$AC$1003,MATCH(K$3,[1]Kundenübersicht!$E$3:$BA$3,FALSE),FALSE)</f>
        <v>Techniker Krankenkasse</v>
      </c>
      <c r="L108" s="13">
        <f>VLOOKUP(B108,[1]Kundenübersicht!$E$4:$AC$1003,MATCH(L$3,[1]Kundenübersicht!$E$3:$BA$3,FALSE),FALSE)</f>
        <v>101575519</v>
      </c>
      <c r="M108" s="13" t="str">
        <f>VLOOKUP(B108,[1]Kundenübersicht!$E$4:$AC$1003,MATCH(M$3,[1]Kundenübersicht!$E$3:$BA$3,FALSE),FALSE)</f>
        <v>O824144952</v>
      </c>
      <c r="N108" s="13" t="str">
        <f>VLOOKUP(B108,[1]Kundenübersicht!$E$4:$AC$1003,MATCH(N$3,[1]Kundenübersicht!$E$3:$BA$3,FALSE),FALSE)</f>
        <v>PG 2</v>
      </c>
      <c r="P108" s="9" t="s">
        <v>29</v>
      </c>
      <c r="R108" s="9" t="s">
        <v>30</v>
      </c>
      <c r="S108" s="14" t="s">
        <v>31</v>
      </c>
      <c r="U108" s="15">
        <f>IF(YEAR(C108)&lt;=2025,IFERROR(IF(I108="Hauswirtschaft",VLOOKUP($B108,[1]Kundenübersicht!$E$4:$BA$1003,MATCH("Hauswirtschaft [€/Stunde]",[1]Kundenübersicht!$E$3:$BA$3,FALSE),FALSE),VLOOKUP($B108,[1]Kundenübersicht!$E$4:$BA$1003,MATCH("Alltagsbegleitung [€/Stunde]",[1]Kundenübersicht!$E$3:$BA$3,FALSE),FALSE)),0),IFERROR(IF(I108="Hauswirtschaft",VLOOKUP($B108,[1]Kundenübersicht!$E$4:$BA$1003,MATCH("HW ab 2026 [€/Stunde]",[1]Kundenübersicht!$E$3:$BA$3,FALSE),FALSE),VLOOKUP($B108,[1]Kundenübersicht!$E$4:$BA$1003,MATCH("Alltagsbegleitung [€/Stunde]",[1]Kundenübersicht!$E$3:$BA$3,FALSE),FALSE)),0))</f>
        <v>32.75</v>
      </c>
      <c r="V108" s="16">
        <f t="shared" si="17"/>
        <v>49.125</v>
      </c>
      <c r="W108" s="16">
        <f t="shared" si="12"/>
        <v>0</v>
      </c>
      <c r="X108" s="16" t="str">
        <f>VLOOKUP(B108,[1]Kundenübersicht!E:AG,MATCH($X$3,[1]Kundenübersicht!$E$3:$AY$3,0),FALSE)</f>
        <v>Alt</v>
      </c>
      <c r="Z108" s="20" t="str">
        <f t="shared" si="22"/>
        <v>Ja</v>
      </c>
      <c r="AA108" s="19">
        <v>45950</v>
      </c>
      <c r="AC108" s="19">
        <v>45986</v>
      </c>
      <c r="AE108" s="9">
        <f t="shared" si="18"/>
        <v>2025</v>
      </c>
      <c r="AF108" s="17" t="str">
        <f t="shared" si="19"/>
        <v>09.2025</v>
      </c>
      <c r="AG108" s="17" t="str">
        <f t="shared" si="20"/>
        <v>Ursula Ullmann</v>
      </c>
      <c r="AH108" s="17" t="str">
        <f>IFERROR(VLOOKUP(B108,[1]Kundenübersicht!$E$4:$F$85,2,FALSE),"")</f>
        <v>Ellenore Lein</v>
      </c>
      <c r="AI108" s="17" t="str">
        <f t="shared" si="23"/>
        <v>Hauswirtschaft</v>
      </c>
      <c r="AJ108" s="17" t="str">
        <f t="shared" si="23"/>
        <v>Entlastungsleistung</v>
      </c>
      <c r="AL108" s="18">
        <f t="shared" si="13"/>
        <v>38</v>
      </c>
      <c r="AM108" s="18">
        <f t="shared" si="14"/>
        <v>57</v>
      </c>
      <c r="AN108" s="18">
        <f t="shared" si="15"/>
        <v>0</v>
      </c>
    </row>
    <row r="109" spans="2:40" x14ac:dyDescent="0.25">
      <c r="B109" s="30" t="s">
        <v>49</v>
      </c>
      <c r="C109" s="31">
        <v>45904</v>
      </c>
      <c r="D109" s="32">
        <v>0.60416666666666663</v>
      </c>
      <c r="E109" s="32">
        <v>0.64583333333333337</v>
      </c>
      <c r="F109" s="12">
        <f t="shared" si="16"/>
        <v>1.0000000000000018</v>
      </c>
      <c r="G109" s="12"/>
      <c r="H109" s="30" t="s">
        <v>46</v>
      </c>
      <c r="I109" s="30" t="s">
        <v>27</v>
      </c>
      <c r="J109" s="30" t="s">
        <v>28</v>
      </c>
      <c r="K109" s="9" t="str">
        <f>VLOOKUP($B109,[1]Kundenübersicht!$E$4:$AC$1003,MATCH(K$3,[1]Kundenübersicht!$E$3:$BA$3,FALSE),FALSE)</f>
        <v>AOK PLUS</v>
      </c>
      <c r="L109" s="13">
        <f>VLOOKUP(B109,[1]Kundenübersicht!$E$4:$AC$1003,MATCH(L$3,[1]Kundenübersicht!$E$3:$BA$3,FALSE),FALSE)</f>
        <v>107299005</v>
      </c>
      <c r="M109" s="13" t="str">
        <f>VLOOKUP(B109,[1]Kundenübersicht!$E$4:$AC$1003,MATCH(M$3,[1]Kundenübersicht!$E$3:$BA$3,FALSE),FALSE)</f>
        <v>T309560658</v>
      </c>
      <c r="N109" s="13" t="str">
        <f>VLOOKUP(B109,[1]Kundenübersicht!$E$4:$AC$1003,MATCH(N$3,[1]Kundenübersicht!$E$3:$BA$3,FALSE),FALSE)</f>
        <v>PG 2</v>
      </c>
      <c r="P109" s="9" t="s">
        <v>29</v>
      </c>
      <c r="R109" s="9" t="s">
        <v>30</v>
      </c>
      <c r="S109" s="14" t="s">
        <v>31</v>
      </c>
      <c r="U109" s="15">
        <f>IF(YEAR(C109)&lt;=2025,IFERROR(IF(I109="Hauswirtschaft",VLOOKUP($B109,[1]Kundenübersicht!$E$4:$BA$1003,MATCH("Hauswirtschaft [€/Stunde]",[1]Kundenübersicht!$E$3:$BA$3,FALSE),FALSE),VLOOKUP($B109,[1]Kundenübersicht!$E$4:$BA$1003,MATCH("Alltagsbegleitung [€/Stunde]",[1]Kundenübersicht!$E$3:$BA$3,FALSE),FALSE)),0),IFERROR(IF(I109="Hauswirtschaft",VLOOKUP($B109,[1]Kundenübersicht!$E$4:$BA$1003,MATCH("HW ab 2026 [€/Stunde]",[1]Kundenübersicht!$E$3:$BA$3,FALSE),FALSE),VLOOKUP($B109,[1]Kundenübersicht!$E$4:$BA$1003,MATCH("Alltagsbegleitung [€/Stunde]",[1]Kundenübersicht!$E$3:$BA$3,FALSE),FALSE)),0))</f>
        <v>32.75</v>
      </c>
      <c r="V109" s="16">
        <f t="shared" si="17"/>
        <v>32.750000000000057</v>
      </c>
      <c r="W109" s="16">
        <f t="shared" si="12"/>
        <v>0</v>
      </c>
      <c r="X109" s="16" t="str">
        <f>VLOOKUP(B109,[1]Kundenübersicht!E:AG,MATCH($X$3,[1]Kundenübersicht!$E$3:$AY$3,0),FALSE)</f>
        <v>Alt</v>
      </c>
      <c r="Z109" s="20" t="str">
        <f t="shared" si="22"/>
        <v>Ja</v>
      </c>
      <c r="AA109" s="19">
        <v>45950</v>
      </c>
      <c r="AC109" s="19">
        <v>45975</v>
      </c>
      <c r="AE109" s="9">
        <f t="shared" si="18"/>
        <v>2025</v>
      </c>
      <c r="AF109" s="17" t="str">
        <f t="shared" si="19"/>
        <v>09.2025</v>
      </c>
      <c r="AG109" s="17" t="str">
        <f t="shared" si="20"/>
        <v>Manuela Richter</v>
      </c>
      <c r="AH109" s="17" t="str">
        <f>IFERROR(VLOOKUP(B109,[1]Kundenübersicht!$E$4:$F$85,2,FALSE),"")</f>
        <v>Rita Neubert</v>
      </c>
      <c r="AI109" s="17" t="str">
        <f t="shared" si="23"/>
        <v>Hauswirtschaft</v>
      </c>
      <c r="AJ109" s="17" t="str">
        <f t="shared" si="23"/>
        <v>Entlastungsleistung</v>
      </c>
      <c r="AL109" s="18">
        <f t="shared" si="13"/>
        <v>38</v>
      </c>
      <c r="AM109" s="18">
        <f t="shared" si="14"/>
        <v>38.000000000000071</v>
      </c>
      <c r="AN109" s="18">
        <f t="shared" si="15"/>
        <v>0</v>
      </c>
    </row>
    <row r="110" spans="2:40" x14ac:dyDescent="0.25">
      <c r="B110" s="30" t="s">
        <v>45</v>
      </c>
      <c r="C110" s="31">
        <v>45904</v>
      </c>
      <c r="D110" s="32">
        <v>0.64583333333333337</v>
      </c>
      <c r="E110" s="32">
        <v>0.70833333333333337</v>
      </c>
      <c r="F110" s="12">
        <f t="shared" si="16"/>
        <v>1.5</v>
      </c>
      <c r="G110" s="12"/>
      <c r="H110" s="30" t="s">
        <v>46</v>
      </c>
      <c r="I110" s="30" t="s">
        <v>27</v>
      </c>
      <c r="J110" s="30" t="s">
        <v>28</v>
      </c>
      <c r="K110" s="28" t="s">
        <v>47</v>
      </c>
      <c r="L110" s="29">
        <v>109990508</v>
      </c>
      <c r="M110" s="29" t="s">
        <v>48</v>
      </c>
      <c r="N110" s="13" t="str">
        <f>VLOOKUP(B110,[1]Kundenübersicht!$E$4:$AC$1003,MATCH(N$3,[1]Kundenübersicht!$E$3:$BA$3,FALSE),FALSE)</f>
        <v>PG 1</v>
      </c>
      <c r="P110" s="9" t="s">
        <v>29</v>
      </c>
      <c r="R110" s="9" t="s">
        <v>30</v>
      </c>
      <c r="S110" s="14" t="s">
        <v>31</v>
      </c>
      <c r="U110" s="15">
        <f>IF(YEAR(C110)&lt;=2025,IFERROR(IF(I110="Hauswirtschaft",VLOOKUP($B110,[1]Kundenübersicht!$E$4:$BA$1003,MATCH("Hauswirtschaft [€/Stunde]",[1]Kundenübersicht!$E$3:$BA$3,FALSE),FALSE),VLOOKUP($B110,[1]Kundenübersicht!$E$4:$BA$1003,MATCH("Alltagsbegleitung [€/Stunde]",[1]Kundenübersicht!$E$3:$BA$3,FALSE),FALSE)),0),IFERROR(IF(I110="Hauswirtschaft",VLOOKUP($B110,[1]Kundenübersicht!$E$4:$BA$1003,MATCH("HW ab 2026 [€/Stunde]",[1]Kundenübersicht!$E$3:$BA$3,FALSE),FALSE),VLOOKUP($B110,[1]Kundenübersicht!$E$4:$BA$1003,MATCH("Alltagsbegleitung [€/Stunde]",[1]Kundenübersicht!$E$3:$BA$3,FALSE),FALSE)),0))</f>
        <v>32.75</v>
      </c>
      <c r="V110" s="16">
        <f t="shared" si="17"/>
        <v>49.125</v>
      </c>
      <c r="W110" s="16">
        <f t="shared" si="12"/>
        <v>0</v>
      </c>
      <c r="X110" s="16" t="str">
        <f>VLOOKUP(B110,[1]Kundenübersicht!E:AG,MATCH($X$3,[1]Kundenübersicht!$E$3:$AY$3,0),FALSE)</f>
        <v>Alt</v>
      </c>
      <c r="Z110" s="20" t="str">
        <f t="shared" si="22"/>
        <v>Ja</v>
      </c>
      <c r="AA110" s="19">
        <v>45950</v>
      </c>
      <c r="AC110" s="10">
        <v>45966</v>
      </c>
      <c r="AE110" s="9">
        <f t="shared" si="18"/>
        <v>2025</v>
      </c>
      <c r="AF110" s="17" t="str">
        <f t="shared" si="19"/>
        <v>09.2025</v>
      </c>
      <c r="AG110" s="17" t="str">
        <f t="shared" si="20"/>
        <v>Manuela Richter</v>
      </c>
      <c r="AH110" s="17" t="str">
        <f>IFERROR(VLOOKUP(B110,[1]Kundenübersicht!$E$4:$F$85,2,FALSE),"")</f>
        <v>Hella Reißig</v>
      </c>
      <c r="AI110" s="17" t="str">
        <f t="shared" si="23"/>
        <v>Hauswirtschaft</v>
      </c>
      <c r="AJ110" s="17" t="str">
        <f t="shared" si="23"/>
        <v>Entlastungsleistung</v>
      </c>
      <c r="AL110" s="18">
        <f t="shared" si="13"/>
        <v>38</v>
      </c>
      <c r="AM110" s="18">
        <f t="shared" si="14"/>
        <v>57</v>
      </c>
      <c r="AN110" s="18">
        <f t="shared" si="15"/>
        <v>0</v>
      </c>
    </row>
    <row r="111" spans="2:40" x14ac:dyDescent="0.25">
      <c r="B111" s="30" t="s">
        <v>32</v>
      </c>
      <c r="C111" s="31">
        <v>45905</v>
      </c>
      <c r="D111" s="32">
        <v>0.32291666666666669</v>
      </c>
      <c r="E111" s="32">
        <v>0.38541666666666669</v>
      </c>
      <c r="F111" s="12">
        <f t="shared" si="16"/>
        <v>1.5</v>
      </c>
      <c r="G111" s="12"/>
      <c r="H111" s="30" t="s">
        <v>33</v>
      </c>
      <c r="I111" s="30" t="s">
        <v>27</v>
      </c>
      <c r="J111" s="30" t="s">
        <v>28</v>
      </c>
      <c r="K111" s="9" t="str">
        <f>VLOOKUP($B111,[1]Kundenübersicht!$E$4:$AC$1003,MATCH(K$3,[1]Kundenübersicht!$E$3:$BA$3,FALSE),FALSE)</f>
        <v>IKK Classic</v>
      </c>
      <c r="L111" s="13" t="str">
        <f>VLOOKUP(B111,[1]Kundenübersicht!$E$4:$AC$1003,MATCH(L$3,[1]Kundenübersicht!$E$3:$BA$3,FALSE),FALSE)</f>
        <v>187202793</v>
      </c>
      <c r="M111" s="13" t="str">
        <f>VLOOKUP(B111,[1]Kundenübersicht!$E$4:$AC$1003,MATCH(M$3,[1]Kundenübersicht!$E$3:$BA$3,FALSE),FALSE)</f>
        <v>A268233642</v>
      </c>
      <c r="N111" s="13" t="str">
        <f>VLOOKUP(B111,[1]Kundenübersicht!$E$4:$AC$1003,MATCH(N$3,[1]Kundenübersicht!$E$3:$BA$3,FALSE),FALSE)</f>
        <v>PG 2</v>
      </c>
      <c r="P111" s="9" t="s">
        <v>29</v>
      </c>
      <c r="R111" s="9" t="s">
        <v>30</v>
      </c>
      <c r="S111" s="14" t="s">
        <v>31</v>
      </c>
      <c r="U111" s="15">
        <f>IF(YEAR(C111)&lt;=2025,IFERROR(IF(I111="Hauswirtschaft",VLOOKUP($B111,[1]Kundenübersicht!$E$4:$BA$1003,MATCH("Hauswirtschaft [€/Stunde]",[1]Kundenübersicht!$E$3:$BA$3,FALSE),FALSE),VLOOKUP($B111,[1]Kundenübersicht!$E$4:$BA$1003,MATCH("Alltagsbegleitung [€/Stunde]",[1]Kundenübersicht!$E$3:$BA$3,FALSE),FALSE)),0),IFERROR(IF(I111="Hauswirtschaft",VLOOKUP($B111,[1]Kundenübersicht!$E$4:$BA$1003,MATCH("HW ab 2026 [€/Stunde]",[1]Kundenübersicht!$E$3:$BA$3,FALSE),FALSE),VLOOKUP($B111,[1]Kundenübersicht!$E$4:$BA$1003,MATCH("Alltagsbegleitung [€/Stunde]",[1]Kundenübersicht!$E$3:$BA$3,FALSE),FALSE)),0))</f>
        <v>32.75</v>
      </c>
      <c r="V111" s="16">
        <f t="shared" si="17"/>
        <v>49.125</v>
      </c>
      <c r="W111" s="16">
        <f t="shared" si="12"/>
        <v>0</v>
      </c>
      <c r="X111" s="16" t="str">
        <f>VLOOKUP(B111,[1]Kundenübersicht!E:AG,MATCH($X$3,[1]Kundenübersicht!$E$3:$AY$3,0),FALSE)</f>
        <v>Alt</v>
      </c>
      <c r="Z111" s="20" t="str">
        <f t="shared" si="22"/>
        <v>Ja</v>
      </c>
      <c r="AA111" s="19">
        <v>45950</v>
      </c>
      <c r="AC111" s="19">
        <v>45967</v>
      </c>
      <c r="AE111" s="9">
        <f t="shared" si="18"/>
        <v>2025</v>
      </c>
      <c r="AF111" s="17" t="str">
        <f t="shared" si="19"/>
        <v>09.2025</v>
      </c>
      <c r="AG111" s="17" t="str">
        <f t="shared" si="20"/>
        <v>Christiane Fiebag</v>
      </c>
      <c r="AH111" s="17" t="str">
        <f>IFERROR(VLOOKUP(B111,[1]Kundenübersicht!$E$4:$F$85,2,FALSE),"")</f>
        <v>Wolfgang Nagler</v>
      </c>
      <c r="AI111" s="17" t="str">
        <f t="shared" si="23"/>
        <v>Hauswirtschaft</v>
      </c>
      <c r="AJ111" s="17" t="str">
        <f t="shared" si="23"/>
        <v>Entlastungsleistung</v>
      </c>
      <c r="AL111" s="18">
        <f t="shared" si="13"/>
        <v>38</v>
      </c>
      <c r="AM111" s="18">
        <f t="shared" si="14"/>
        <v>57</v>
      </c>
      <c r="AN111" s="18">
        <f t="shared" si="15"/>
        <v>0</v>
      </c>
    </row>
    <row r="112" spans="2:40" x14ac:dyDescent="0.25">
      <c r="B112" s="30" t="s">
        <v>65</v>
      </c>
      <c r="C112" s="31">
        <v>45905</v>
      </c>
      <c r="D112" s="32">
        <v>0.47916666666666669</v>
      </c>
      <c r="E112" s="32">
        <v>0.60416666666666663</v>
      </c>
      <c r="F112" s="12">
        <f t="shared" si="16"/>
        <v>2.9999999999999987</v>
      </c>
      <c r="G112" s="12"/>
      <c r="H112" s="30" t="s">
        <v>33</v>
      </c>
      <c r="I112" s="30" t="s">
        <v>27</v>
      </c>
      <c r="J112" s="30" t="s">
        <v>28</v>
      </c>
      <c r="K112" s="9" t="str">
        <f>VLOOKUP($B112,[1]Kundenübersicht!$E$4:$AC$1003,MATCH(K$3,[1]Kundenübersicht!$E$3:$BA$3,FALSE),FALSE)</f>
        <v>IKK Südwest</v>
      </c>
      <c r="L112" s="13">
        <f>VLOOKUP(B112,[1]Kundenübersicht!$E$4:$AC$1003,MATCH(L$3,[1]Kundenübersicht!$E$3:$BA$3,FALSE),FALSE)</f>
        <v>109303301</v>
      </c>
      <c r="M112" s="13" t="str">
        <f>VLOOKUP(B112,[1]Kundenübersicht!$E$4:$AC$1003,MATCH(M$3,[1]Kundenübersicht!$E$3:$BA$3,FALSE),FALSE)</f>
        <v>Y341093341</v>
      </c>
      <c r="N112" s="13" t="str">
        <f>VLOOKUP(B112,[1]Kundenübersicht!$E$4:$AC$1003,MATCH(N$3,[1]Kundenübersicht!$E$3:$BA$3,FALSE),FALSE)</f>
        <v>PG 1</v>
      </c>
      <c r="P112" s="9" t="s">
        <v>29</v>
      </c>
      <c r="R112" s="9" t="s">
        <v>30</v>
      </c>
      <c r="S112" s="14" t="s">
        <v>31</v>
      </c>
      <c r="U112" s="15">
        <f>IF(YEAR(C112)&lt;=2025,IFERROR(IF(I112="Hauswirtschaft",VLOOKUP($B112,[1]Kundenübersicht!$E$4:$BA$1003,MATCH("Hauswirtschaft [€/Stunde]",[1]Kundenübersicht!$E$3:$BA$3,FALSE),FALSE),VLOOKUP($B112,[1]Kundenübersicht!$E$4:$BA$1003,MATCH("Alltagsbegleitung [€/Stunde]",[1]Kundenübersicht!$E$3:$BA$3,FALSE),FALSE)),0),IFERROR(IF(I112="Hauswirtschaft",VLOOKUP($B112,[1]Kundenübersicht!$E$4:$BA$1003,MATCH("HW ab 2026 [€/Stunde]",[1]Kundenübersicht!$E$3:$BA$3,FALSE),FALSE),VLOOKUP($B112,[1]Kundenübersicht!$E$4:$BA$1003,MATCH("Alltagsbegleitung [€/Stunde]",[1]Kundenübersicht!$E$3:$BA$3,FALSE),FALSE)),0))</f>
        <v>38</v>
      </c>
      <c r="V112" s="16">
        <f t="shared" si="17"/>
        <v>113.99999999999994</v>
      </c>
      <c r="W112" s="16">
        <f t="shared" si="12"/>
        <v>0</v>
      </c>
      <c r="X112" s="16" t="str">
        <f>VLOOKUP(B112,[1]Kundenübersicht!E:AG,MATCH($X$3,[1]Kundenübersicht!$E$3:$AY$3,0),FALSE)</f>
        <v>Neu</v>
      </c>
      <c r="Z112" s="20" t="str">
        <f t="shared" si="22"/>
        <v>Ja</v>
      </c>
      <c r="AA112" s="19">
        <v>45979</v>
      </c>
      <c r="AC112" s="19">
        <v>45988</v>
      </c>
      <c r="AE112" s="9">
        <f t="shared" si="18"/>
        <v>2025</v>
      </c>
      <c r="AF112" s="17" t="str">
        <f t="shared" si="19"/>
        <v>09.2025</v>
      </c>
      <c r="AG112" s="17" t="str">
        <f t="shared" si="20"/>
        <v>Christiane Fiebag</v>
      </c>
      <c r="AH112" s="17" t="str">
        <f>IFERROR(VLOOKUP(B112,[1]Kundenübersicht!$E$4:$F$85,2,FALSE),"")</f>
        <v>Beate Konradt</v>
      </c>
      <c r="AI112" s="17" t="str">
        <f t="shared" si="23"/>
        <v>Hauswirtschaft</v>
      </c>
      <c r="AJ112" s="17" t="str">
        <f t="shared" si="23"/>
        <v>Entlastungsleistung</v>
      </c>
      <c r="AL112" s="18">
        <f t="shared" si="13"/>
        <v>38</v>
      </c>
      <c r="AM112" s="18">
        <f t="shared" si="14"/>
        <v>113.99999999999994</v>
      </c>
      <c r="AN112" s="18">
        <f t="shared" si="15"/>
        <v>0</v>
      </c>
    </row>
    <row r="113" spans="2:40" x14ac:dyDescent="0.25">
      <c r="B113" s="30" t="s">
        <v>34</v>
      </c>
      <c r="C113" s="31">
        <v>45908</v>
      </c>
      <c r="D113" s="32">
        <v>0.45833333333333331</v>
      </c>
      <c r="E113" s="32">
        <v>0.54166666666666663</v>
      </c>
      <c r="F113" s="12">
        <f t="shared" si="16"/>
        <v>1.9999999999999996</v>
      </c>
      <c r="G113" s="12"/>
      <c r="H113" s="30" t="s">
        <v>33</v>
      </c>
      <c r="I113" s="30" t="s">
        <v>27</v>
      </c>
      <c r="J113" s="30" t="s">
        <v>28</v>
      </c>
      <c r="K113" s="9" t="str">
        <f>VLOOKUP($B113,[1]Kundenübersicht!$E$4:$AC$1003,MATCH(K$3,[1]Kundenübersicht!$E$3:$BA$3,FALSE),FALSE)</f>
        <v>AOK PLUS</v>
      </c>
      <c r="L113" s="13">
        <f>VLOOKUP(B113,[1]Kundenübersicht!$E$4:$AC$1003,MATCH(L$3,[1]Kundenübersicht!$E$3:$BA$3,FALSE),FALSE)</f>
        <v>107299005</v>
      </c>
      <c r="M113" s="13" t="str">
        <f>VLOOKUP(B113,[1]Kundenübersicht!$E$4:$AC$1003,MATCH(M$3,[1]Kundenübersicht!$E$3:$BA$3,FALSE),FALSE)</f>
        <v>R234942678</v>
      </c>
      <c r="N113" s="13" t="str">
        <f>VLOOKUP(B113,[1]Kundenübersicht!$E$4:$AC$1003,MATCH(N$3,[1]Kundenübersicht!$E$3:$BA$3,FALSE),FALSE)</f>
        <v>PG 2</v>
      </c>
      <c r="P113" s="9" t="s">
        <v>29</v>
      </c>
      <c r="R113" s="9" t="s">
        <v>30</v>
      </c>
      <c r="S113" s="14" t="s">
        <v>31</v>
      </c>
      <c r="U113" s="15">
        <f>IF(YEAR(C113)&lt;=2025,IFERROR(IF(I113="Hauswirtschaft",VLOOKUP($B113,[1]Kundenübersicht!$E$4:$BA$1003,MATCH("Hauswirtschaft [€/Stunde]",[1]Kundenübersicht!$E$3:$BA$3,FALSE),FALSE),VLOOKUP($B113,[1]Kundenübersicht!$E$4:$BA$1003,MATCH("Alltagsbegleitung [€/Stunde]",[1]Kundenübersicht!$E$3:$BA$3,FALSE),FALSE)),0),IFERROR(IF(I113="Hauswirtschaft",VLOOKUP($B113,[1]Kundenübersicht!$E$4:$BA$1003,MATCH("HW ab 2026 [€/Stunde]",[1]Kundenübersicht!$E$3:$BA$3,FALSE),FALSE),VLOOKUP($B113,[1]Kundenübersicht!$E$4:$BA$1003,MATCH("Alltagsbegleitung [€/Stunde]",[1]Kundenübersicht!$E$3:$BA$3,FALSE),FALSE)),0))</f>
        <v>32.75</v>
      </c>
      <c r="V113" s="16">
        <f t="shared" si="17"/>
        <v>65.499999999999986</v>
      </c>
      <c r="W113" s="16">
        <f t="shared" si="12"/>
        <v>0</v>
      </c>
      <c r="X113" s="16" t="str">
        <f>VLOOKUP(B113,[1]Kundenübersicht!E:AG,MATCH($X$3,[1]Kundenübersicht!$E$3:$AY$3,0),FALSE)</f>
        <v>Alt</v>
      </c>
      <c r="Z113" s="20" t="str">
        <f t="shared" si="22"/>
        <v>Ja</v>
      </c>
      <c r="AA113" s="19">
        <v>45950</v>
      </c>
      <c r="AC113" s="19">
        <v>45975</v>
      </c>
      <c r="AE113" s="9">
        <f t="shared" si="18"/>
        <v>2025</v>
      </c>
      <c r="AF113" s="17" t="str">
        <f t="shared" si="19"/>
        <v>09.2025</v>
      </c>
      <c r="AG113" s="17" t="str">
        <f t="shared" si="20"/>
        <v>Christiane Fiebag</v>
      </c>
      <c r="AH113" s="17" t="str">
        <f>IFERROR(VLOOKUP(B113,[1]Kundenübersicht!$E$4:$F$85,2,FALSE),"")</f>
        <v>Dieter Berghold</v>
      </c>
      <c r="AI113" s="17" t="str">
        <f t="shared" si="23"/>
        <v>Hauswirtschaft</v>
      </c>
      <c r="AJ113" s="17" t="str">
        <f t="shared" si="23"/>
        <v>Entlastungsleistung</v>
      </c>
      <c r="AL113" s="18">
        <f t="shared" si="13"/>
        <v>38</v>
      </c>
      <c r="AM113" s="18">
        <f t="shared" si="14"/>
        <v>75.999999999999986</v>
      </c>
      <c r="AN113" s="18">
        <f t="shared" si="15"/>
        <v>0</v>
      </c>
    </row>
    <row r="114" spans="2:40" x14ac:dyDescent="0.25">
      <c r="B114" s="30" t="s">
        <v>44</v>
      </c>
      <c r="C114" s="31">
        <v>45908</v>
      </c>
      <c r="D114" s="32">
        <v>0.5625</v>
      </c>
      <c r="E114" s="32">
        <v>0.61458333333333337</v>
      </c>
      <c r="F114" s="12">
        <f t="shared" si="16"/>
        <v>1.2500000000000009</v>
      </c>
      <c r="G114" s="12"/>
      <c r="H114" s="30" t="s">
        <v>33</v>
      </c>
      <c r="I114" s="30" t="s">
        <v>27</v>
      </c>
      <c r="J114" s="30" t="s">
        <v>28</v>
      </c>
      <c r="K114" s="9" t="str">
        <f>VLOOKUP($B114,[1]Kundenübersicht!$E$4:$AC$1003,MATCH(K$3,[1]Kundenübersicht!$E$3:$BA$3,FALSE),FALSE)</f>
        <v>Barmer Pflegekasse</v>
      </c>
      <c r="L114" s="13">
        <f>VLOOKUP(B114,[1]Kundenübersicht!$E$4:$AC$1003,MATCH(L$3,[1]Kundenübersicht!$E$3:$BA$3,FALSE),FALSE)</f>
        <v>184940005</v>
      </c>
      <c r="M114" s="13" t="str">
        <f>VLOOKUP(B114,[1]Kundenübersicht!$E$4:$AC$1003,MATCH(M$3,[1]Kundenübersicht!$E$3:$BA$3,FALSE),FALSE)</f>
        <v>Y800652371</v>
      </c>
      <c r="N114" s="13" t="str">
        <f>VLOOKUP(B114,[1]Kundenübersicht!$E$4:$AC$1003,MATCH(N$3,[1]Kundenübersicht!$E$3:$BA$3,FALSE),FALSE)</f>
        <v>PG 1</v>
      </c>
      <c r="P114" s="9" t="s">
        <v>29</v>
      </c>
      <c r="R114" s="9" t="s">
        <v>30</v>
      </c>
      <c r="S114" s="14" t="s">
        <v>31</v>
      </c>
      <c r="U114" s="15">
        <f>IF(YEAR(C114)&lt;=2025,IFERROR(IF(I114="Hauswirtschaft",VLOOKUP($B114,[1]Kundenübersicht!$E$4:$BA$1003,MATCH("Hauswirtschaft [€/Stunde]",[1]Kundenübersicht!$E$3:$BA$3,FALSE),FALSE),VLOOKUP($B114,[1]Kundenübersicht!$E$4:$BA$1003,MATCH("Alltagsbegleitung [€/Stunde]",[1]Kundenübersicht!$E$3:$BA$3,FALSE),FALSE)),0),IFERROR(IF(I114="Hauswirtschaft",VLOOKUP($B114,[1]Kundenübersicht!$E$4:$BA$1003,MATCH("HW ab 2026 [€/Stunde]",[1]Kundenübersicht!$E$3:$BA$3,FALSE),FALSE),VLOOKUP($B114,[1]Kundenübersicht!$E$4:$BA$1003,MATCH("Alltagsbegleitung [€/Stunde]",[1]Kundenübersicht!$E$3:$BA$3,FALSE),FALSE)),0))</f>
        <v>32.75</v>
      </c>
      <c r="V114" s="16">
        <f t="shared" si="17"/>
        <v>40.937500000000028</v>
      </c>
      <c r="W114" s="16">
        <f t="shared" si="12"/>
        <v>0</v>
      </c>
      <c r="X114" s="16" t="str">
        <f>VLOOKUP(B114,[1]Kundenübersicht!E:AG,MATCH($X$3,[1]Kundenübersicht!$E$3:$AY$3,0),FALSE)</f>
        <v>Alt</v>
      </c>
      <c r="Z114" s="20" t="str">
        <f t="shared" si="22"/>
        <v>Ja</v>
      </c>
      <c r="AA114" s="19">
        <v>45959</v>
      </c>
      <c r="AC114" s="19">
        <v>46031</v>
      </c>
      <c r="AE114" s="9">
        <f t="shared" si="18"/>
        <v>2025</v>
      </c>
      <c r="AF114" s="17" t="str">
        <f t="shared" si="19"/>
        <v>09.2025</v>
      </c>
      <c r="AG114" s="17" t="str">
        <f t="shared" si="20"/>
        <v>Christiane Fiebag</v>
      </c>
      <c r="AH114" s="17" t="str">
        <f>IFERROR(VLOOKUP(B114,[1]Kundenübersicht!$E$4:$F$85,2,FALSE),"")</f>
        <v>Dieter Kraft</v>
      </c>
      <c r="AI114" s="17" t="str">
        <f t="shared" si="23"/>
        <v>Hauswirtschaft</v>
      </c>
      <c r="AJ114" s="17" t="str">
        <f t="shared" si="23"/>
        <v>Entlastungsleistung</v>
      </c>
      <c r="AL114" s="18">
        <f t="shared" si="13"/>
        <v>38</v>
      </c>
      <c r="AM114" s="18">
        <f t="shared" si="14"/>
        <v>47.500000000000036</v>
      </c>
      <c r="AN114" s="18">
        <f t="shared" si="15"/>
        <v>0</v>
      </c>
    </row>
    <row r="115" spans="2:40" x14ac:dyDescent="0.25">
      <c r="B115" s="30" t="s">
        <v>61</v>
      </c>
      <c r="C115" s="31">
        <v>45909</v>
      </c>
      <c r="D115" s="32">
        <v>0.39583333333333331</v>
      </c>
      <c r="E115" s="32">
        <v>0.4375</v>
      </c>
      <c r="F115" s="12">
        <f t="shared" si="16"/>
        <v>1.0000000000000004</v>
      </c>
      <c r="G115" s="12"/>
      <c r="H115" s="30" t="s">
        <v>55</v>
      </c>
      <c r="I115" s="30" t="s">
        <v>27</v>
      </c>
      <c r="J115" s="30" t="s">
        <v>28</v>
      </c>
      <c r="K115" s="9" t="str">
        <f>VLOOKUP($B115,[1]Kundenübersicht!$E$4:$AC$1003,MATCH(K$3,[1]Kundenübersicht!$E$3:$BA$3,FALSE),FALSE)</f>
        <v>AOK PLUS</v>
      </c>
      <c r="L115" s="13">
        <f>VLOOKUP(B115,[1]Kundenübersicht!$E$4:$AC$1003,MATCH(L$3,[1]Kundenübersicht!$E$3:$BA$3,FALSE),FALSE)</f>
        <v>107299005</v>
      </c>
      <c r="M115" s="13" t="str">
        <f>VLOOKUP(B115,[1]Kundenübersicht!$E$4:$AC$1003,MATCH(M$3,[1]Kundenübersicht!$E$3:$BA$3,FALSE),FALSE)</f>
        <v>F038854351</v>
      </c>
      <c r="N115" s="13" t="str">
        <f>VLOOKUP(B115,[1]Kundenübersicht!$E$4:$AC$1003,MATCH(N$3,[1]Kundenübersicht!$E$3:$BA$3,FALSE),FALSE)</f>
        <v>PG 3</v>
      </c>
      <c r="P115" s="9" t="s">
        <v>29</v>
      </c>
      <c r="R115" s="9" t="s">
        <v>30</v>
      </c>
      <c r="S115" s="14" t="s">
        <v>31</v>
      </c>
      <c r="U115" s="15">
        <f>IF(YEAR(C115)&lt;=2025,IFERROR(IF(I115="Hauswirtschaft",VLOOKUP($B115,[1]Kundenübersicht!$E$4:$BA$1003,MATCH("Hauswirtschaft [€/Stunde]",[1]Kundenübersicht!$E$3:$BA$3,FALSE),FALSE),VLOOKUP($B115,[1]Kundenübersicht!$E$4:$BA$1003,MATCH("Alltagsbegleitung [€/Stunde]",[1]Kundenübersicht!$E$3:$BA$3,FALSE),FALSE)),0),IFERROR(IF(I115="Hauswirtschaft",VLOOKUP($B115,[1]Kundenübersicht!$E$4:$BA$1003,MATCH("HW ab 2026 [€/Stunde]",[1]Kundenübersicht!$E$3:$BA$3,FALSE),FALSE),VLOOKUP($B115,[1]Kundenübersicht!$E$4:$BA$1003,MATCH("Alltagsbegleitung [€/Stunde]",[1]Kundenübersicht!$E$3:$BA$3,FALSE),FALSE)),0))</f>
        <v>32.75</v>
      </c>
      <c r="V115" s="16">
        <f t="shared" si="17"/>
        <v>32.750000000000014</v>
      </c>
      <c r="W115" s="16">
        <f t="shared" si="12"/>
        <v>0</v>
      </c>
      <c r="X115" s="16" t="str">
        <f>VLOOKUP(B115,[1]Kundenübersicht!E:AG,MATCH($X$3,[1]Kundenübersicht!$E$3:$AY$3,0),FALSE)</f>
        <v>Alt</v>
      </c>
      <c r="Z115" s="20" t="str">
        <f t="shared" si="22"/>
        <v>Ja</v>
      </c>
      <c r="AA115" s="19">
        <v>45950</v>
      </c>
      <c r="AC115" s="19">
        <v>45975</v>
      </c>
      <c r="AE115" s="9">
        <f t="shared" si="18"/>
        <v>2025</v>
      </c>
      <c r="AF115" s="17" t="str">
        <f t="shared" si="19"/>
        <v>09.2025</v>
      </c>
      <c r="AG115" s="17" t="str">
        <f t="shared" si="20"/>
        <v>Doreen Luzyna</v>
      </c>
      <c r="AH115" s="17" t="str">
        <f>IFERROR(VLOOKUP(B115,[1]Kundenübersicht!$E$4:$F$85,2,FALSE),"")</f>
        <v>Elke Mühle</v>
      </c>
      <c r="AI115" s="17" t="str">
        <f t="shared" si="23"/>
        <v>Hauswirtschaft</v>
      </c>
      <c r="AJ115" s="17" t="str">
        <f t="shared" si="23"/>
        <v>Entlastungsleistung</v>
      </c>
      <c r="AL115" s="18">
        <f t="shared" si="13"/>
        <v>38</v>
      </c>
      <c r="AM115" s="18">
        <f t="shared" si="14"/>
        <v>38.000000000000014</v>
      </c>
      <c r="AN115" s="18">
        <f t="shared" si="15"/>
        <v>0</v>
      </c>
    </row>
    <row r="116" spans="2:40" x14ac:dyDescent="0.25">
      <c r="B116" s="30" t="s">
        <v>58</v>
      </c>
      <c r="C116" s="31">
        <v>45909</v>
      </c>
      <c r="D116" s="32">
        <v>0.45833333333333331</v>
      </c>
      <c r="E116" s="32">
        <v>0.52083333333333337</v>
      </c>
      <c r="F116" s="12">
        <f t="shared" si="16"/>
        <v>1.5000000000000013</v>
      </c>
      <c r="G116" s="12"/>
      <c r="H116" s="30" t="s">
        <v>55</v>
      </c>
      <c r="I116" s="30" t="s">
        <v>27</v>
      </c>
      <c r="J116" s="30" t="s">
        <v>28</v>
      </c>
      <c r="K116" s="9" t="str">
        <f>VLOOKUP($B116,[1]Kundenübersicht!$E$4:$AC$1003,MATCH(K$3,[1]Kundenübersicht!$E$3:$BA$3,FALSE),FALSE)</f>
        <v>IKK Classic</v>
      </c>
      <c r="L116" s="13">
        <f>VLOOKUP(B116,[1]Kundenübersicht!$E$4:$AC$1003,MATCH(L$3,[1]Kundenübersicht!$E$3:$BA$3,FALSE),FALSE)</f>
        <v>187202793</v>
      </c>
      <c r="M116" s="13" t="str">
        <f>VLOOKUP(B116,[1]Kundenübersicht!$E$4:$AC$1003,MATCH(M$3,[1]Kundenübersicht!$E$3:$BA$3,FALSE),FALSE)</f>
        <v>G520510754</v>
      </c>
      <c r="N116" s="13" t="str">
        <f>VLOOKUP(B116,[1]Kundenübersicht!$E$4:$AC$1003,MATCH(N$3,[1]Kundenübersicht!$E$3:$BA$3,FALSE),FALSE)</f>
        <v>PG 2</v>
      </c>
      <c r="P116" s="9" t="s">
        <v>29</v>
      </c>
      <c r="R116" s="9" t="s">
        <v>30</v>
      </c>
      <c r="S116" s="14" t="s">
        <v>31</v>
      </c>
      <c r="U116" s="15">
        <f>IF(YEAR(C116)&lt;=2025,IFERROR(IF(I116="Hauswirtschaft",VLOOKUP($B116,[1]Kundenübersicht!$E$4:$BA$1003,MATCH("Hauswirtschaft [€/Stunde]",[1]Kundenübersicht!$E$3:$BA$3,FALSE),FALSE),VLOOKUP($B116,[1]Kundenübersicht!$E$4:$BA$1003,MATCH("Alltagsbegleitung [€/Stunde]",[1]Kundenübersicht!$E$3:$BA$3,FALSE),FALSE)),0),IFERROR(IF(I116="Hauswirtschaft",VLOOKUP($B116,[1]Kundenübersicht!$E$4:$BA$1003,MATCH("HW ab 2026 [€/Stunde]",[1]Kundenübersicht!$E$3:$BA$3,FALSE),FALSE),VLOOKUP($B116,[1]Kundenübersicht!$E$4:$BA$1003,MATCH("Alltagsbegleitung [€/Stunde]",[1]Kundenübersicht!$E$3:$BA$3,FALSE),FALSE)),0))</f>
        <v>32.75</v>
      </c>
      <c r="V116" s="16">
        <f t="shared" si="17"/>
        <v>49.125000000000043</v>
      </c>
      <c r="W116" s="16">
        <f t="shared" si="12"/>
        <v>0</v>
      </c>
      <c r="X116" s="16" t="str">
        <f>VLOOKUP(B116,[1]Kundenübersicht!E:AG,MATCH($X$3,[1]Kundenübersicht!$E$3:$AY$3,0),FALSE)</f>
        <v>Alt</v>
      </c>
      <c r="Z116" s="20" t="str">
        <f t="shared" si="22"/>
        <v>Ja</v>
      </c>
      <c r="AA116" s="19">
        <v>45950</v>
      </c>
      <c r="AC116" s="19">
        <v>45967</v>
      </c>
      <c r="AE116" s="9">
        <f t="shared" si="18"/>
        <v>2025</v>
      </c>
      <c r="AF116" s="17" t="str">
        <f t="shared" si="19"/>
        <v>09.2025</v>
      </c>
      <c r="AG116" s="17" t="str">
        <f t="shared" si="20"/>
        <v>Doreen Luzyna</v>
      </c>
      <c r="AH116" s="17" t="str">
        <f>IFERROR(VLOOKUP(B116,[1]Kundenübersicht!$E$4:$F$85,2,FALSE),"")</f>
        <v>Bernd Fischer</v>
      </c>
      <c r="AI116" s="17" t="str">
        <f t="shared" si="23"/>
        <v>Hauswirtschaft</v>
      </c>
      <c r="AJ116" s="17" t="str">
        <f t="shared" si="23"/>
        <v>Entlastungsleistung</v>
      </c>
      <c r="AL116" s="18">
        <f t="shared" si="13"/>
        <v>38</v>
      </c>
      <c r="AM116" s="18">
        <f t="shared" si="14"/>
        <v>57.00000000000005</v>
      </c>
      <c r="AN116" s="18">
        <f t="shared" si="15"/>
        <v>0</v>
      </c>
    </row>
    <row r="117" spans="2:40" x14ac:dyDescent="0.25">
      <c r="B117" s="30" t="s">
        <v>43</v>
      </c>
      <c r="C117" s="31">
        <v>45910</v>
      </c>
      <c r="D117" s="32">
        <v>0.33333333333333331</v>
      </c>
      <c r="E117" s="32">
        <v>0.375</v>
      </c>
      <c r="F117" s="12">
        <f t="shared" si="16"/>
        <v>1.0000000000000004</v>
      </c>
      <c r="G117" s="12"/>
      <c r="H117" s="30" t="s">
        <v>46</v>
      </c>
      <c r="I117" s="30" t="s">
        <v>27</v>
      </c>
      <c r="J117" s="30" t="s">
        <v>28</v>
      </c>
      <c r="K117" s="9" t="str">
        <f>VLOOKUP($B117,[1]Kundenübersicht!$E$4:$AC$1003,MATCH(K$3,[1]Kundenübersicht!$E$3:$BA$3,FALSE),FALSE)</f>
        <v>AOK PLUS</v>
      </c>
      <c r="L117" s="13">
        <f>VLOOKUP(B117,[1]Kundenübersicht!$E$4:$AC$1003,MATCH(L$3,[1]Kundenübersicht!$E$3:$BA$3,FALSE),FALSE)</f>
        <v>107299005</v>
      </c>
      <c r="M117" s="13" t="str">
        <f>VLOOKUP(B117,[1]Kundenübersicht!$E$4:$AC$1003,MATCH(M$3,[1]Kundenübersicht!$E$3:$BA$3,FALSE),FALSE)</f>
        <v>I323820679</v>
      </c>
      <c r="N117" s="13" t="str">
        <f>VLOOKUP(B117,[1]Kundenübersicht!$E$4:$AC$1003,MATCH(N$3,[1]Kundenübersicht!$E$3:$BA$3,FALSE),FALSE)</f>
        <v>PG 1</v>
      </c>
      <c r="P117" s="9" t="s">
        <v>29</v>
      </c>
      <c r="R117" s="9" t="s">
        <v>30</v>
      </c>
      <c r="S117" s="14" t="s">
        <v>31</v>
      </c>
      <c r="U117" s="15">
        <f>IF(YEAR(C117)&lt;=2025,IFERROR(IF(I117="Hauswirtschaft",VLOOKUP($B117,[1]Kundenübersicht!$E$4:$BA$1003,MATCH("Hauswirtschaft [€/Stunde]",[1]Kundenübersicht!$E$3:$BA$3,FALSE),FALSE),VLOOKUP($B117,[1]Kundenübersicht!$E$4:$BA$1003,MATCH("Alltagsbegleitung [€/Stunde]",[1]Kundenübersicht!$E$3:$BA$3,FALSE),FALSE)),0),IFERROR(IF(I117="Hauswirtschaft",VLOOKUP($B117,[1]Kundenübersicht!$E$4:$BA$1003,MATCH("HW ab 2026 [€/Stunde]",[1]Kundenübersicht!$E$3:$BA$3,FALSE),FALSE),VLOOKUP($B117,[1]Kundenübersicht!$E$4:$BA$1003,MATCH("Alltagsbegleitung [€/Stunde]",[1]Kundenübersicht!$E$3:$BA$3,FALSE),FALSE)),0))</f>
        <v>32.75</v>
      </c>
      <c r="V117" s="16">
        <f t="shared" si="17"/>
        <v>32.750000000000014</v>
      </c>
      <c r="W117" s="16">
        <f t="shared" si="12"/>
        <v>0</v>
      </c>
      <c r="X117" s="16" t="str">
        <f>VLOOKUP(B117,[1]Kundenübersicht!E:AG,MATCH($X$3,[1]Kundenübersicht!$E$3:$AY$3,0),FALSE)</f>
        <v>Alt</v>
      </c>
      <c r="Z117" s="20" t="str">
        <f t="shared" si="22"/>
        <v>Ja</v>
      </c>
      <c r="AA117" s="19">
        <v>45950</v>
      </c>
      <c r="AC117" s="19">
        <v>45975</v>
      </c>
      <c r="AE117" s="9">
        <f t="shared" si="18"/>
        <v>2025</v>
      </c>
      <c r="AF117" s="17" t="str">
        <f t="shared" si="19"/>
        <v>09.2025</v>
      </c>
      <c r="AG117" s="17" t="str">
        <f t="shared" si="20"/>
        <v>Manuela Richter</v>
      </c>
      <c r="AH117" s="17" t="str">
        <f>IFERROR(VLOOKUP(B117,[1]Kundenübersicht!$E$4:$F$85,2,FALSE),"")</f>
        <v>Inge Leupold</v>
      </c>
      <c r="AI117" s="17" t="str">
        <f t="shared" si="23"/>
        <v>Hauswirtschaft</v>
      </c>
      <c r="AJ117" s="17" t="str">
        <f t="shared" si="23"/>
        <v>Entlastungsleistung</v>
      </c>
      <c r="AL117" s="18">
        <f t="shared" si="13"/>
        <v>38</v>
      </c>
      <c r="AM117" s="18">
        <f t="shared" si="14"/>
        <v>38.000000000000014</v>
      </c>
      <c r="AN117" s="18">
        <f t="shared" si="15"/>
        <v>0</v>
      </c>
    </row>
    <row r="118" spans="2:40" x14ac:dyDescent="0.25">
      <c r="B118" s="30" t="s">
        <v>66</v>
      </c>
      <c r="C118" s="31">
        <v>45910</v>
      </c>
      <c r="D118" s="32">
        <v>0.41666666666666669</v>
      </c>
      <c r="E118" s="32">
        <v>0.5</v>
      </c>
      <c r="F118" s="12">
        <f t="shared" si="16"/>
        <v>1.9999999999999996</v>
      </c>
      <c r="G118" s="34">
        <v>6</v>
      </c>
      <c r="H118" s="30" t="s">
        <v>64</v>
      </c>
      <c r="I118" s="30" t="s">
        <v>27</v>
      </c>
      <c r="J118" s="30" t="s">
        <v>28</v>
      </c>
      <c r="K118" s="9" t="str">
        <f>VLOOKUP($B118,[1]Kundenübersicht!$E$4:$AC$1003,MATCH(K$3,[1]Kundenübersicht!$E$3:$BA$3,FALSE),FALSE)</f>
        <v>KNAPPSCHAFT</v>
      </c>
      <c r="L118" s="13">
        <f>VLOOKUP(B118,[1]Kundenübersicht!$E$4:$AC$1003,MATCH(L$3,[1]Kundenübersicht!$E$3:$BA$3,FALSE),FALSE)</f>
        <v>109990508</v>
      </c>
      <c r="M118" s="13" t="str">
        <f>VLOOKUP(B118,[1]Kundenübersicht!$E$4:$AC$1003,MATCH(M$3,[1]Kundenübersicht!$E$3:$BA$3,FALSE),FALSE)</f>
        <v>F167156079</v>
      </c>
      <c r="N118" s="13" t="str">
        <f>VLOOKUP(B118,[1]Kundenübersicht!$E$4:$AC$1003,MATCH(N$3,[1]Kundenübersicht!$E$3:$BA$3,FALSE),FALSE)</f>
        <v>PG 2</v>
      </c>
      <c r="P118" s="9" t="s">
        <v>29</v>
      </c>
      <c r="R118" s="9" t="s">
        <v>30</v>
      </c>
      <c r="S118" s="14" t="s">
        <v>31</v>
      </c>
      <c r="U118" s="15">
        <f>IF(YEAR(C118)&lt;=2025,IFERROR(IF(I118="Hauswirtschaft",VLOOKUP($B118,[1]Kundenübersicht!$E$4:$BA$1003,MATCH("Hauswirtschaft [€/Stunde]",[1]Kundenübersicht!$E$3:$BA$3,FALSE),FALSE),VLOOKUP($B118,[1]Kundenübersicht!$E$4:$BA$1003,MATCH("Alltagsbegleitung [€/Stunde]",[1]Kundenübersicht!$E$3:$BA$3,FALSE),FALSE)),0),IFERROR(IF(I118="Hauswirtschaft",VLOOKUP($B118,[1]Kundenübersicht!$E$4:$BA$1003,MATCH("HW ab 2026 [€/Stunde]",[1]Kundenübersicht!$E$3:$BA$3,FALSE),FALSE),VLOOKUP($B118,[1]Kundenübersicht!$E$4:$BA$1003,MATCH("Alltagsbegleitung [€/Stunde]",[1]Kundenübersicht!$E$3:$BA$3,FALSE),FALSE)),0))</f>
        <v>38</v>
      </c>
      <c r="V118" s="16">
        <f t="shared" si="17"/>
        <v>75.999999999999986</v>
      </c>
      <c r="W118" s="16">
        <f t="shared" si="12"/>
        <v>2.0999999999999996</v>
      </c>
      <c r="X118" s="16" t="str">
        <f>VLOOKUP(B118,[1]Kundenübersicht!E:AG,MATCH($X$3,[1]Kundenübersicht!$E$3:$AY$3,0),FALSE)</f>
        <v>Neu</v>
      </c>
      <c r="Z118" s="20" t="str">
        <f t="shared" si="22"/>
        <v>Ja</v>
      </c>
      <c r="AA118" s="19">
        <v>45950</v>
      </c>
      <c r="AC118" s="10">
        <v>45972</v>
      </c>
      <c r="AE118" s="9">
        <f t="shared" si="18"/>
        <v>2025</v>
      </c>
      <c r="AF118" s="17" t="str">
        <f t="shared" si="19"/>
        <v>09.2025</v>
      </c>
      <c r="AG118" s="17" t="str">
        <f t="shared" si="20"/>
        <v>Ursula Ullmann</v>
      </c>
      <c r="AH118" s="17" t="str">
        <f>IFERROR(VLOOKUP(B118,[1]Kundenübersicht!$E$4:$F$85,2,FALSE),"")</f>
        <v>Sigrid Müller</v>
      </c>
      <c r="AI118" s="17" t="str">
        <f t="shared" si="23"/>
        <v>Hauswirtschaft</v>
      </c>
      <c r="AJ118" s="17" t="str">
        <f t="shared" si="23"/>
        <v>Entlastungsleistung</v>
      </c>
      <c r="AL118" s="18">
        <f t="shared" si="13"/>
        <v>38</v>
      </c>
      <c r="AM118" s="18">
        <f t="shared" si="14"/>
        <v>75.999999999999986</v>
      </c>
      <c r="AN118" s="18">
        <f t="shared" si="15"/>
        <v>2.0999999999999996</v>
      </c>
    </row>
    <row r="119" spans="2:40" x14ac:dyDescent="0.25">
      <c r="B119" s="30" t="s">
        <v>57</v>
      </c>
      <c r="C119" s="31">
        <v>45910</v>
      </c>
      <c r="D119" s="32">
        <v>0.375</v>
      </c>
      <c r="E119" s="32">
        <v>0.4375</v>
      </c>
      <c r="F119" s="12">
        <f t="shared" si="16"/>
        <v>1.5</v>
      </c>
      <c r="G119" s="12"/>
      <c r="H119" s="30" t="s">
        <v>55</v>
      </c>
      <c r="I119" s="30" t="s">
        <v>27</v>
      </c>
      <c r="J119" s="30" t="s">
        <v>28</v>
      </c>
      <c r="K119" s="9" t="str">
        <f>VLOOKUP($B119,[1]Kundenübersicht!$E$4:$AC$1003,MATCH(K$3,[1]Kundenübersicht!$E$3:$BA$3,FALSE),FALSE)</f>
        <v>AOK PLUS</v>
      </c>
      <c r="L119" s="13">
        <f>VLOOKUP(B119,[1]Kundenübersicht!$E$4:$AC$1003,MATCH(L$3,[1]Kundenübersicht!$E$3:$BA$3,FALSE),FALSE)</f>
        <v>107299005</v>
      </c>
      <c r="M119" s="13" t="str">
        <f>VLOOKUP(B119,[1]Kundenübersicht!$E$4:$AC$1003,MATCH(M$3,[1]Kundenübersicht!$E$3:$BA$3,FALSE),FALSE)</f>
        <v>N303904545</v>
      </c>
      <c r="N119" s="13" t="str">
        <f>VLOOKUP(B119,[1]Kundenübersicht!$E$4:$AC$1003,MATCH(N$3,[1]Kundenübersicht!$E$3:$BA$3,FALSE),FALSE)</f>
        <v>PG 1</v>
      </c>
      <c r="P119" s="9" t="s">
        <v>29</v>
      </c>
      <c r="R119" s="9" t="s">
        <v>30</v>
      </c>
      <c r="S119" s="14" t="s">
        <v>31</v>
      </c>
      <c r="U119" s="15">
        <f>IF(YEAR(C119)&lt;=2025,IFERROR(IF(I119="Hauswirtschaft",VLOOKUP($B119,[1]Kundenübersicht!$E$4:$BA$1003,MATCH("Hauswirtschaft [€/Stunde]",[1]Kundenübersicht!$E$3:$BA$3,FALSE),FALSE),VLOOKUP($B119,[1]Kundenübersicht!$E$4:$BA$1003,MATCH("Alltagsbegleitung [€/Stunde]",[1]Kundenübersicht!$E$3:$BA$3,FALSE),FALSE)),0),IFERROR(IF(I119="Hauswirtschaft",VLOOKUP($B119,[1]Kundenübersicht!$E$4:$BA$1003,MATCH("HW ab 2026 [€/Stunde]",[1]Kundenübersicht!$E$3:$BA$3,FALSE),FALSE),VLOOKUP($B119,[1]Kundenübersicht!$E$4:$BA$1003,MATCH("Alltagsbegleitung [€/Stunde]",[1]Kundenübersicht!$E$3:$BA$3,FALSE),FALSE)),0))</f>
        <v>32.75</v>
      </c>
      <c r="V119" s="16">
        <f t="shared" si="17"/>
        <v>49.125</v>
      </c>
      <c r="W119" s="16">
        <f t="shared" si="12"/>
        <v>0</v>
      </c>
      <c r="X119" s="16" t="str">
        <f>VLOOKUP(B119,[1]Kundenübersicht!E:AG,MATCH($X$3,[1]Kundenübersicht!$E$3:$AY$3,0),FALSE)</f>
        <v>Alt</v>
      </c>
      <c r="Z119" s="20" t="str">
        <f t="shared" si="22"/>
        <v>Ja</v>
      </c>
      <c r="AA119" s="19">
        <v>45950</v>
      </c>
      <c r="AC119" s="19">
        <v>45975</v>
      </c>
      <c r="AE119" s="9">
        <f t="shared" si="18"/>
        <v>2025</v>
      </c>
      <c r="AF119" s="17" t="str">
        <f t="shared" si="19"/>
        <v>09.2025</v>
      </c>
      <c r="AG119" s="17" t="str">
        <f t="shared" si="20"/>
        <v>Doreen Luzyna</v>
      </c>
      <c r="AH119" s="17" t="str">
        <f>IFERROR(VLOOKUP(B119,[1]Kundenübersicht!$E$4:$F$85,2,FALSE),"")</f>
        <v>Egon Bochmann</v>
      </c>
      <c r="AI119" s="17" t="str">
        <f t="shared" si="23"/>
        <v>Hauswirtschaft</v>
      </c>
      <c r="AJ119" s="17" t="str">
        <f t="shared" si="23"/>
        <v>Entlastungsleistung</v>
      </c>
      <c r="AL119" s="18">
        <f t="shared" si="13"/>
        <v>38</v>
      </c>
      <c r="AM119" s="18">
        <f t="shared" si="14"/>
        <v>57</v>
      </c>
      <c r="AN119" s="18">
        <f t="shared" si="15"/>
        <v>0</v>
      </c>
    </row>
    <row r="120" spans="2:40" x14ac:dyDescent="0.25">
      <c r="B120" s="30" t="s">
        <v>63</v>
      </c>
      <c r="C120" s="31">
        <v>45910</v>
      </c>
      <c r="D120" s="32">
        <v>0.45833333333333331</v>
      </c>
      <c r="E120" s="32">
        <v>0.54166666666666663</v>
      </c>
      <c r="F120" s="12">
        <f t="shared" si="16"/>
        <v>1.9999999999999996</v>
      </c>
      <c r="G120" s="12"/>
      <c r="H120" s="30" t="s">
        <v>55</v>
      </c>
      <c r="I120" s="30" t="s">
        <v>27</v>
      </c>
      <c r="J120" s="30" t="s">
        <v>28</v>
      </c>
      <c r="K120" s="9" t="str">
        <f>VLOOKUP($B120,[1]Kundenübersicht!$E$4:$AC$1003,MATCH(K$3,[1]Kundenübersicht!$E$3:$BA$3,FALSE),FALSE)</f>
        <v>Techniker Krankenkasse</v>
      </c>
      <c r="L120" s="13">
        <f>VLOOKUP(B120,[1]Kundenübersicht!$E$4:$AC$1003,MATCH(L$3,[1]Kundenübersicht!$E$3:$BA$3,FALSE),FALSE)</f>
        <v>101575519</v>
      </c>
      <c r="M120" s="13" t="str">
        <f>VLOOKUP(B120,[1]Kundenübersicht!$E$4:$AC$1003,MATCH(M$3,[1]Kundenübersicht!$E$3:$BA$3,FALSE),FALSE)</f>
        <v>O816601650</v>
      </c>
      <c r="N120" s="13" t="str">
        <f>VLOOKUP(B120,[1]Kundenübersicht!$E$4:$AC$1003,MATCH(N$3,[1]Kundenübersicht!$E$3:$BA$3,FALSE),FALSE)</f>
        <v>PG 2</v>
      </c>
      <c r="P120" s="9" t="s">
        <v>29</v>
      </c>
      <c r="R120" s="9" t="s">
        <v>30</v>
      </c>
      <c r="S120" s="14" t="s">
        <v>31</v>
      </c>
      <c r="U120" s="15">
        <f>IF(YEAR(C120)&lt;=2025,IFERROR(IF(I120="Hauswirtschaft",VLOOKUP($B120,[1]Kundenübersicht!$E$4:$BA$1003,MATCH("Hauswirtschaft [€/Stunde]",[1]Kundenübersicht!$E$3:$BA$3,FALSE),FALSE),VLOOKUP($B120,[1]Kundenübersicht!$E$4:$BA$1003,MATCH("Alltagsbegleitung [€/Stunde]",[1]Kundenübersicht!$E$3:$BA$3,FALSE),FALSE)),0),IFERROR(IF(I120="Hauswirtschaft",VLOOKUP($B120,[1]Kundenübersicht!$E$4:$BA$1003,MATCH("HW ab 2026 [€/Stunde]",[1]Kundenübersicht!$E$3:$BA$3,FALSE),FALSE),VLOOKUP($B120,[1]Kundenübersicht!$E$4:$BA$1003,MATCH("Alltagsbegleitung [€/Stunde]",[1]Kundenübersicht!$E$3:$BA$3,FALSE),FALSE)),0))</f>
        <v>32.75</v>
      </c>
      <c r="V120" s="16">
        <f t="shared" si="17"/>
        <v>65.499999999999986</v>
      </c>
      <c r="W120" s="16">
        <f t="shared" si="12"/>
        <v>0</v>
      </c>
      <c r="X120" s="16" t="str">
        <f>VLOOKUP(B120,[1]Kundenübersicht!E:AG,MATCH($X$3,[1]Kundenübersicht!$E$3:$AY$3,0),FALSE)</f>
        <v>Alt</v>
      </c>
      <c r="Z120" s="20" t="str">
        <f t="shared" si="22"/>
        <v>Ja</v>
      </c>
      <c r="AA120" s="19">
        <v>45950</v>
      </c>
      <c r="AC120" s="19">
        <v>45986</v>
      </c>
      <c r="AE120" s="9">
        <f t="shared" si="18"/>
        <v>2025</v>
      </c>
      <c r="AF120" s="17" t="str">
        <f t="shared" si="19"/>
        <v>09.2025</v>
      </c>
      <c r="AG120" s="17" t="str">
        <f t="shared" si="20"/>
        <v>Doreen Luzyna</v>
      </c>
      <c r="AH120" s="17" t="str">
        <f>IFERROR(VLOOKUP(B120,[1]Kundenübersicht!$E$4:$F$85,2,FALSE),"")</f>
        <v>Joachim Röder</v>
      </c>
      <c r="AI120" s="17" t="str">
        <f t="shared" si="23"/>
        <v>Hauswirtschaft</v>
      </c>
      <c r="AJ120" s="17" t="str">
        <f t="shared" si="23"/>
        <v>Entlastungsleistung</v>
      </c>
      <c r="AL120" s="18">
        <f t="shared" si="13"/>
        <v>38</v>
      </c>
      <c r="AM120" s="18">
        <f t="shared" si="14"/>
        <v>75.999999999999986</v>
      </c>
      <c r="AN120" s="18">
        <f t="shared" si="15"/>
        <v>0</v>
      </c>
    </row>
    <row r="121" spans="2:40" x14ac:dyDescent="0.25">
      <c r="B121" s="30" t="s">
        <v>36</v>
      </c>
      <c r="C121" s="31">
        <v>45911</v>
      </c>
      <c r="D121" s="32">
        <v>0.35416666666666669</v>
      </c>
      <c r="E121" s="32">
        <v>0.4375</v>
      </c>
      <c r="F121" s="12">
        <f t="shared" si="16"/>
        <v>1.9999999999999996</v>
      </c>
      <c r="G121" s="12"/>
      <c r="H121" s="30" t="s">
        <v>55</v>
      </c>
      <c r="I121" s="30" t="s">
        <v>27</v>
      </c>
      <c r="J121" s="30" t="s">
        <v>28</v>
      </c>
      <c r="K121" s="9" t="str">
        <f>VLOOKUP($B121,[1]Kundenübersicht!$E$4:$AC$1003,MATCH(K$3,[1]Kundenübersicht!$E$3:$BA$3,FALSE),FALSE)</f>
        <v>IKK Classic</v>
      </c>
      <c r="L121" s="13" t="str">
        <f>VLOOKUP(B121,[1]Kundenübersicht!$E$4:$AC$1003,MATCH(L$3,[1]Kundenübersicht!$E$3:$BA$3,FALSE),FALSE)</f>
        <v>187202793</v>
      </c>
      <c r="M121" s="13" t="str">
        <f>VLOOKUP(B121,[1]Kundenübersicht!$E$4:$AC$1003,MATCH(M$3,[1]Kundenübersicht!$E$3:$BA$3,FALSE),FALSE)</f>
        <v>X365499146</v>
      </c>
      <c r="N121" s="13" t="str">
        <f>VLOOKUP(B121,[1]Kundenübersicht!$E$4:$AC$1003,MATCH(N$3,[1]Kundenübersicht!$E$3:$BA$3,FALSE),FALSE)</f>
        <v>PG 1</v>
      </c>
      <c r="P121" s="9" t="s">
        <v>29</v>
      </c>
      <c r="R121" s="9" t="s">
        <v>30</v>
      </c>
      <c r="S121" s="14" t="s">
        <v>31</v>
      </c>
      <c r="U121" s="15">
        <f>IF(YEAR(C121)&lt;=2025,IFERROR(IF(I121="Hauswirtschaft",VLOOKUP($B121,[1]Kundenübersicht!$E$4:$BA$1003,MATCH("Hauswirtschaft [€/Stunde]",[1]Kundenübersicht!$E$3:$BA$3,FALSE),FALSE),VLOOKUP($B121,[1]Kundenübersicht!$E$4:$BA$1003,MATCH("Alltagsbegleitung [€/Stunde]",[1]Kundenübersicht!$E$3:$BA$3,FALSE),FALSE)),0),IFERROR(IF(I121="Hauswirtschaft",VLOOKUP($B121,[1]Kundenübersicht!$E$4:$BA$1003,MATCH("HW ab 2026 [€/Stunde]",[1]Kundenübersicht!$E$3:$BA$3,FALSE),FALSE),VLOOKUP($B121,[1]Kundenübersicht!$E$4:$BA$1003,MATCH("Alltagsbegleitung [€/Stunde]",[1]Kundenübersicht!$E$3:$BA$3,FALSE),FALSE)),0))</f>
        <v>32.75</v>
      </c>
      <c r="V121" s="16">
        <f t="shared" si="17"/>
        <v>65.499999999999986</v>
      </c>
      <c r="W121" s="16">
        <f t="shared" si="12"/>
        <v>0</v>
      </c>
      <c r="X121" s="16" t="str">
        <f>VLOOKUP(B121,[1]Kundenübersicht!E:AG,MATCH($X$3,[1]Kundenübersicht!$E$3:$AY$3,0),FALSE)</f>
        <v>Alt</v>
      </c>
      <c r="Z121" s="20" t="str">
        <f t="shared" si="22"/>
        <v>Ja</v>
      </c>
      <c r="AA121" s="19">
        <v>45950</v>
      </c>
      <c r="AC121" s="19">
        <v>45967</v>
      </c>
      <c r="AE121" s="9">
        <f t="shared" si="18"/>
        <v>2025</v>
      </c>
      <c r="AF121" s="17" t="str">
        <f t="shared" si="19"/>
        <v>09.2025</v>
      </c>
      <c r="AG121" s="17" t="str">
        <f t="shared" si="20"/>
        <v>Doreen Luzyna</v>
      </c>
      <c r="AH121" s="17" t="str">
        <f>IFERROR(VLOOKUP(B121,[1]Kundenübersicht!$E$4:$F$85,2,FALSE),"")</f>
        <v>Ingrid Haufe</v>
      </c>
      <c r="AI121" s="17" t="str">
        <f t="shared" si="23"/>
        <v>Hauswirtschaft</v>
      </c>
      <c r="AJ121" s="17" t="str">
        <f t="shared" si="23"/>
        <v>Entlastungsleistung</v>
      </c>
      <c r="AL121" s="18">
        <f t="shared" si="13"/>
        <v>38</v>
      </c>
      <c r="AM121" s="18">
        <f t="shared" si="14"/>
        <v>75.999999999999986</v>
      </c>
      <c r="AN121" s="18">
        <f t="shared" si="15"/>
        <v>0</v>
      </c>
    </row>
    <row r="122" spans="2:40" x14ac:dyDescent="0.25">
      <c r="B122" s="30" t="s">
        <v>38</v>
      </c>
      <c r="C122" s="31">
        <v>45911</v>
      </c>
      <c r="D122" s="32">
        <v>0.45833333333333331</v>
      </c>
      <c r="E122" s="32">
        <v>0.52083333333333337</v>
      </c>
      <c r="F122" s="12">
        <f t="shared" si="16"/>
        <v>1.5000000000000013</v>
      </c>
      <c r="G122" s="12"/>
      <c r="H122" s="30" t="s">
        <v>33</v>
      </c>
      <c r="I122" s="30" t="s">
        <v>27</v>
      </c>
      <c r="J122" s="30" t="s">
        <v>28</v>
      </c>
      <c r="K122" s="9" t="str">
        <f>VLOOKUP($B122,[1]Kundenübersicht!$E$4:$AC$1003,MATCH(K$3,[1]Kundenübersicht!$E$3:$BA$3,FALSE),FALSE)</f>
        <v>AOK PLUS</v>
      </c>
      <c r="L122" s="13">
        <f>VLOOKUP(B122,[1]Kundenübersicht!$E$4:$AC$1003,MATCH(L$3,[1]Kundenübersicht!$E$3:$BA$3,FALSE),FALSE)</f>
        <v>107299005</v>
      </c>
      <c r="M122" s="13" t="str">
        <f>VLOOKUP(B122,[1]Kundenübersicht!$E$4:$AC$1003,MATCH(M$3,[1]Kundenübersicht!$E$3:$BA$3,FALSE),FALSE)</f>
        <v>R782602114</v>
      </c>
      <c r="N122" s="13" t="str">
        <f>VLOOKUP(B122,[1]Kundenübersicht!$E$4:$AC$1003,MATCH(N$3,[1]Kundenübersicht!$E$3:$BA$3,FALSE),FALSE)</f>
        <v>PG 1</v>
      </c>
      <c r="P122" s="9" t="s">
        <v>29</v>
      </c>
      <c r="R122" s="9" t="s">
        <v>30</v>
      </c>
      <c r="S122" s="14" t="s">
        <v>31</v>
      </c>
      <c r="U122" s="15">
        <f>IF(YEAR(C122)&lt;=2025,IFERROR(IF(I122="Hauswirtschaft",VLOOKUP($B122,[1]Kundenübersicht!$E$4:$BA$1003,MATCH("Hauswirtschaft [€/Stunde]",[1]Kundenübersicht!$E$3:$BA$3,FALSE),FALSE),VLOOKUP($B122,[1]Kundenübersicht!$E$4:$BA$1003,MATCH("Alltagsbegleitung [€/Stunde]",[1]Kundenübersicht!$E$3:$BA$3,FALSE),FALSE)),0),IFERROR(IF(I122="Hauswirtschaft",VLOOKUP($B122,[1]Kundenübersicht!$E$4:$BA$1003,MATCH("HW ab 2026 [€/Stunde]",[1]Kundenübersicht!$E$3:$BA$3,FALSE),FALSE),VLOOKUP($B122,[1]Kundenübersicht!$E$4:$BA$1003,MATCH("Alltagsbegleitung [€/Stunde]",[1]Kundenübersicht!$E$3:$BA$3,FALSE),FALSE)),0))</f>
        <v>32.75</v>
      </c>
      <c r="V122" s="16">
        <f t="shared" si="17"/>
        <v>49.125000000000043</v>
      </c>
      <c r="W122" s="16">
        <f t="shared" si="12"/>
        <v>0</v>
      </c>
      <c r="X122" s="16" t="str">
        <f>VLOOKUP(B122,[1]Kundenübersicht!E:AG,MATCH($X$3,[1]Kundenübersicht!$E$3:$AY$3,0),FALSE)</f>
        <v>Alt</v>
      </c>
      <c r="Z122" s="20" t="str">
        <f t="shared" si="22"/>
        <v>Ja</v>
      </c>
      <c r="AA122" s="19">
        <v>45950</v>
      </c>
      <c r="AC122" s="19">
        <v>45975</v>
      </c>
      <c r="AE122" s="9">
        <f t="shared" si="18"/>
        <v>2025</v>
      </c>
      <c r="AF122" s="17" t="str">
        <f t="shared" si="19"/>
        <v>09.2025</v>
      </c>
      <c r="AG122" s="17" t="str">
        <f t="shared" si="20"/>
        <v>Christiane Fiebag</v>
      </c>
      <c r="AH122" s="17" t="str">
        <f>IFERROR(VLOOKUP(B122,[1]Kundenübersicht!$E$4:$F$85,2,FALSE),"")</f>
        <v>Christian Jungnickel</v>
      </c>
      <c r="AI122" s="17" t="str">
        <f t="shared" si="23"/>
        <v>Hauswirtschaft</v>
      </c>
      <c r="AJ122" s="17" t="str">
        <f t="shared" si="23"/>
        <v>Entlastungsleistung</v>
      </c>
      <c r="AL122" s="18">
        <f t="shared" si="13"/>
        <v>38</v>
      </c>
      <c r="AM122" s="18">
        <f t="shared" si="14"/>
        <v>57.00000000000005</v>
      </c>
      <c r="AN122" s="18">
        <f t="shared" si="15"/>
        <v>0</v>
      </c>
    </row>
    <row r="123" spans="2:40" x14ac:dyDescent="0.25">
      <c r="B123" s="30" t="s">
        <v>37</v>
      </c>
      <c r="C123" s="31">
        <v>45911</v>
      </c>
      <c r="D123" s="32">
        <v>0.4375</v>
      </c>
      <c r="E123" s="32">
        <v>0.52083333333333337</v>
      </c>
      <c r="F123" s="12">
        <f t="shared" si="16"/>
        <v>2.0000000000000009</v>
      </c>
      <c r="G123" s="12"/>
      <c r="H123" s="30" t="s">
        <v>55</v>
      </c>
      <c r="I123" s="30" t="s">
        <v>27</v>
      </c>
      <c r="J123" s="30" t="s">
        <v>28</v>
      </c>
      <c r="K123" s="9" t="str">
        <f>VLOOKUP($B123,[1]Kundenübersicht!$E$4:$AC$1003,MATCH(K$3,[1]Kundenübersicht!$E$3:$BA$3,FALSE),FALSE)</f>
        <v>IKK Classic</v>
      </c>
      <c r="L123" s="13" t="str">
        <f>VLOOKUP(B123,[1]Kundenübersicht!$E$4:$AC$1003,MATCH(L$3,[1]Kundenübersicht!$E$3:$BA$3,FALSE),FALSE)</f>
        <v>187202793</v>
      </c>
      <c r="M123" s="13" t="str">
        <f>VLOOKUP(B123,[1]Kundenübersicht!$E$4:$AC$1003,MATCH(M$3,[1]Kundenübersicht!$E$3:$BA$3,FALSE),FALSE)</f>
        <v>E434900220</v>
      </c>
      <c r="N123" s="13" t="str">
        <f>VLOOKUP(B123,[1]Kundenübersicht!$E$4:$AC$1003,MATCH(N$3,[1]Kundenübersicht!$E$3:$BA$3,FALSE),FALSE)</f>
        <v>PG 1</v>
      </c>
      <c r="P123" s="9" t="s">
        <v>29</v>
      </c>
      <c r="R123" s="9" t="s">
        <v>30</v>
      </c>
      <c r="S123" s="14" t="s">
        <v>31</v>
      </c>
      <c r="U123" s="15">
        <f>IF(YEAR(C123)&lt;=2025,IFERROR(IF(I123="Hauswirtschaft",VLOOKUP($B123,[1]Kundenübersicht!$E$4:$BA$1003,MATCH("Hauswirtschaft [€/Stunde]",[1]Kundenübersicht!$E$3:$BA$3,FALSE),FALSE),VLOOKUP($B123,[1]Kundenübersicht!$E$4:$BA$1003,MATCH("Alltagsbegleitung [€/Stunde]",[1]Kundenübersicht!$E$3:$BA$3,FALSE),FALSE)),0),IFERROR(IF(I123="Hauswirtschaft",VLOOKUP($B123,[1]Kundenübersicht!$E$4:$BA$1003,MATCH("HW ab 2026 [€/Stunde]",[1]Kundenübersicht!$E$3:$BA$3,FALSE),FALSE),VLOOKUP($B123,[1]Kundenübersicht!$E$4:$BA$1003,MATCH("Alltagsbegleitung [€/Stunde]",[1]Kundenübersicht!$E$3:$BA$3,FALSE),FALSE)),0))</f>
        <v>32.75</v>
      </c>
      <c r="V123" s="16">
        <f t="shared" si="17"/>
        <v>65.500000000000028</v>
      </c>
      <c r="W123" s="16">
        <f t="shared" si="12"/>
        <v>0</v>
      </c>
      <c r="X123" s="16" t="str">
        <f>VLOOKUP(B123,[1]Kundenübersicht!E:AG,MATCH($X$3,[1]Kundenübersicht!$E$3:$AY$3,0),FALSE)</f>
        <v>Alt</v>
      </c>
      <c r="Z123" s="20" t="str">
        <f t="shared" si="22"/>
        <v>Ja</v>
      </c>
      <c r="AA123" s="19">
        <v>45950</v>
      </c>
      <c r="AC123" s="19">
        <v>45967</v>
      </c>
      <c r="AE123" s="9">
        <f t="shared" si="18"/>
        <v>2025</v>
      </c>
      <c r="AF123" s="17" t="str">
        <f t="shared" si="19"/>
        <v>09.2025</v>
      </c>
      <c r="AG123" s="17" t="str">
        <f t="shared" si="20"/>
        <v>Doreen Luzyna</v>
      </c>
      <c r="AH123" s="17" t="str">
        <f>IFERROR(VLOOKUP(B123,[1]Kundenübersicht!$E$4:$F$85,2,FALSE),"")</f>
        <v>Lothar Haufe</v>
      </c>
      <c r="AI123" s="17" t="str">
        <f t="shared" si="23"/>
        <v>Hauswirtschaft</v>
      </c>
      <c r="AJ123" s="17" t="str">
        <f t="shared" si="23"/>
        <v>Entlastungsleistung</v>
      </c>
      <c r="AL123" s="18">
        <f t="shared" si="13"/>
        <v>38</v>
      </c>
      <c r="AM123" s="18">
        <f t="shared" si="14"/>
        <v>76.000000000000028</v>
      </c>
      <c r="AN123" s="18">
        <f t="shared" si="15"/>
        <v>0</v>
      </c>
    </row>
    <row r="124" spans="2:40" x14ac:dyDescent="0.25">
      <c r="B124" s="30" t="s">
        <v>45</v>
      </c>
      <c r="C124" s="31">
        <v>45911</v>
      </c>
      <c r="D124" s="32">
        <v>0.60416666666666663</v>
      </c>
      <c r="E124" s="32">
        <v>0.66666666666666663</v>
      </c>
      <c r="F124" s="12">
        <f t="shared" si="16"/>
        <v>1.5</v>
      </c>
      <c r="G124" s="12"/>
      <c r="H124" s="30" t="s">
        <v>46</v>
      </c>
      <c r="I124" s="30" t="s">
        <v>27</v>
      </c>
      <c r="J124" s="30" t="s">
        <v>28</v>
      </c>
      <c r="K124" s="28" t="s">
        <v>47</v>
      </c>
      <c r="L124" s="29">
        <v>109990508</v>
      </c>
      <c r="M124" s="29" t="s">
        <v>48</v>
      </c>
      <c r="N124" s="13" t="str">
        <f>VLOOKUP(B124,[1]Kundenübersicht!$E$4:$AC$1003,MATCH(N$3,[1]Kundenübersicht!$E$3:$BA$3,FALSE),FALSE)</f>
        <v>PG 1</v>
      </c>
      <c r="P124" s="9" t="s">
        <v>29</v>
      </c>
      <c r="R124" s="9" t="s">
        <v>30</v>
      </c>
      <c r="S124" s="14" t="s">
        <v>31</v>
      </c>
      <c r="U124" s="15">
        <f>IF(YEAR(C124)&lt;=2025,IFERROR(IF(I124="Hauswirtschaft",VLOOKUP($B124,[1]Kundenübersicht!$E$4:$BA$1003,MATCH("Hauswirtschaft [€/Stunde]",[1]Kundenübersicht!$E$3:$BA$3,FALSE),FALSE),VLOOKUP($B124,[1]Kundenübersicht!$E$4:$BA$1003,MATCH("Alltagsbegleitung [€/Stunde]",[1]Kundenübersicht!$E$3:$BA$3,FALSE),FALSE)),0),IFERROR(IF(I124="Hauswirtschaft",VLOOKUP($B124,[1]Kundenübersicht!$E$4:$BA$1003,MATCH("HW ab 2026 [€/Stunde]",[1]Kundenübersicht!$E$3:$BA$3,FALSE),FALSE),VLOOKUP($B124,[1]Kundenübersicht!$E$4:$BA$1003,MATCH("Alltagsbegleitung [€/Stunde]",[1]Kundenübersicht!$E$3:$BA$3,FALSE),FALSE)),0))</f>
        <v>32.75</v>
      </c>
      <c r="V124" s="16">
        <f t="shared" si="17"/>
        <v>49.125</v>
      </c>
      <c r="W124" s="16">
        <f t="shared" si="12"/>
        <v>0</v>
      </c>
      <c r="X124" s="16" t="str">
        <f>VLOOKUP(B124,[1]Kundenübersicht!E:AG,MATCH($X$3,[1]Kundenübersicht!$E$3:$AY$3,0),FALSE)</f>
        <v>Alt</v>
      </c>
      <c r="Z124" s="20" t="str">
        <f t="shared" si="22"/>
        <v>Ja</v>
      </c>
      <c r="AA124" s="19">
        <v>45950</v>
      </c>
      <c r="AC124" s="10">
        <v>45966</v>
      </c>
      <c r="AE124" s="9">
        <f t="shared" si="18"/>
        <v>2025</v>
      </c>
      <c r="AF124" s="17" t="str">
        <f t="shared" si="19"/>
        <v>09.2025</v>
      </c>
      <c r="AG124" s="17" t="str">
        <f t="shared" si="20"/>
        <v>Manuela Richter</v>
      </c>
      <c r="AH124" s="17" t="str">
        <f>IFERROR(VLOOKUP(B124,[1]Kundenübersicht!$E$4:$F$85,2,FALSE),"")</f>
        <v>Hella Reißig</v>
      </c>
      <c r="AI124" s="17" t="str">
        <f t="shared" si="23"/>
        <v>Hauswirtschaft</v>
      </c>
      <c r="AJ124" s="17" t="str">
        <f t="shared" si="23"/>
        <v>Entlastungsleistung</v>
      </c>
      <c r="AL124" s="18">
        <f t="shared" si="13"/>
        <v>38</v>
      </c>
      <c r="AM124" s="18">
        <f t="shared" si="14"/>
        <v>57</v>
      </c>
      <c r="AN124" s="18">
        <f t="shared" si="15"/>
        <v>0</v>
      </c>
    </row>
    <row r="125" spans="2:40" x14ac:dyDescent="0.25">
      <c r="B125" s="30" t="s">
        <v>67</v>
      </c>
      <c r="C125" s="31">
        <v>45912</v>
      </c>
      <c r="D125" s="32">
        <v>0.35416666666666669</v>
      </c>
      <c r="E125" s="32">
        <v>0.39583333333333331</v>
      </c>
      <c r="F125" s="12">
        <f t="shared" si="16"/>
        <v>0.99999999999999911</v>
      </c>
      <c r="G125" s="35">
        <v>3.5</v>
      </c>
      <c r="H125" s="30" t="s">
        <v>64</v>
      </c>
      <c r="I125" s="30" t="s">
        <v>27</v>
      </c>
      <c r="J125" s="30" t="s">
        <v>28</v>
      </c>
      <c r="K125" s="9" t="str">
        <f>VLOOKUP($B125,[1]Kundenübersicht!$E$4:$AC$1003,MATCH(K$3,[1]Kundenübersicht!$E$3:$BA$3,FALSE),FALSE)</f>
        <v>Barmer Pflegekasse</v>
      </c>
      <c r="L125" s="13">
        <f>VLOOKUP(B125,[1]Kundenübersicht!$E$4:$AC$1003,MATCH(L$3,[1]Kundenübersicht!$E$3:$BA$3,FALSE),FALSE)</f>
        <v>184940005</v>
      </c>
      <c r="M125" s="13" t="str">
        <f>VLOOKUP(B125,[1]Kundenübersicht!$E$4:$AC$1003,MATCH(M$3,[1]Kundenübersicht!$E$3:$BA$3,FALSE),FALSE)</f>
        <v>K535388327</v>
      </c>
      <c r="N125" s="13" t="str">
        <f>VLOOKUP(B125,[1]Kundenübersicht!$E$4:$AC$1003,MATCH(N$3,[1]Kundenübersicht!$E$3:$BA$3,FALSE),FALSE)</f>
        <v>PG 2</v>
      </c>
      <c r="P125" s="9" t="s">
        <v>29</v>
      </c>
      <c r="R125" s="9" t="s">
        <v>30</v>
      </c>
      <c r="S125" s="14" t="s">
        <v>31</v>
      </c>
      <c r="U125" s="15">
        <f>IF(YEAR(C125)&lt;=2025,IFERROR(IF(I125="Hauswirtschaft",VLOOKUP($B125,[1]Kundenübersicht!$E$4:$BA$1003,MATCH("Hauswirtschaft [€/Stunde]",[1]Kundenübersicht!$E$3:$BA$3,FALSE),FALSE),VLOOKUP($B125,[1]Kundenübersicht!$E$4:$BA$1003,MATCH("Alltagsbegleitung [€/Stunde]",[1]Kundenübersicht!$E$3:$BA$3,FALSE),FALSE)),0),IFERROR(IF(I125="Hauswirtschaft",VLOOKUP($B125,[1]Kundenübersicht!$E$4:$BA$1003,MATCH("HW ab 2026 [€/Stunde]",[1]Kundenübersicht!$E$3:$BA$3,FALSE),FALSE),VLOOKUP($B125,[1]Kundenübersicht!$E$4:$BA$1003,MATCH("Alltagsbegleitung [€/Stunde]",[1]Kundenübersicht!$E$3:$BA$3,FALSE),FALSE)),0))</f>
        <v>32.75</v>
      </c>
      <c r="V125" s="16">
        <f t="shared" si="17"/>
        <v>32.749999999999972</v>
      </c>
      <c r="W125" s="16">
        <f t="shared" si="12"/>
        <v>0</v>
      </c>
      <c r="X125" s="16" t="str">
        <f>VLOOKUP(B125,[1]Kundenübersicht!E:AG,MATCH($X$3,[1]Kundenübersicht!$E$3:$AY$3,0),FALSE)</f>
        <v>Alt</v>
      </c>
      <c r="Z125" s="20" t="str">
        <f t="shared" si="22"/>
        <v>Ja</v>
      </c>
      <c r="AA125" s="19">
        <v>45959</v>
      </c>
      <c r="AC125" s="19"/>
      <c r="AE125" s="9">
        <f t="shared" si="18"/>
        <v>2025</v>
      </c>
      <c r="AF125" s="17" t="str">
        <f t="shared" si="19"/>
        <v>09.2025</v>
      </c>
      <c r="AG125" s="17" t="str">
        <f t="shared" si="20"/>
        <v>Ursula Ullmann</v>
      </c>
      <c r="AH125" s="17" t="str">
        <f>IFERROR(VLOOKUP(B125,[1]Kundenübersicht!$E$4:$F$85,2,FALSE),"")</f>
        <v>Luzia Pohlers</v>
      </c>
      <c r="AI125" s="17" t="str">
        <f t="shared" si="23"/>
        <v>Hauswirtschaft</v>
      </c>
      <c r="AJ125" s="17" t="str">
        <f t="shared" si="23"/>
        <v>Entlastungsleistung</v>
      </c>
      <c r="AL125" s="18">
        <f t="shared" si="13"/>
        <v>38</v>
      </c>
      <c r="AM125" s="18">
        <f t="shared" si="14"/>
        <v>37.999999999999964</v>
      </c>
      <c r="AN125" s="18">
        <f t="shared" si="15"/>
        <v>1.2249999999999999</v>
      </c>
    </row>
    <row r="126" spans="2:40" x14ac:dyDescent="0.25">
      <c r="B126" s="30" t="s">
        <v>56</v>
      </c>
      <c r="C126" s="31">
        <v>45912</v>
      </c>
      <c r="D126" s="32">
        <v>0.375</v>
      </c>
      <c r="E126" s="32">
        <v>0.45833333333333331</v>
      </c>
      <c r="F126" s="12">
        <f t="shared" si="16"/>
        <v>1.9999999999999996</v>
      </c>
      <c r="G126" s="12"/>
      <c r="H126" s="30" t="s">
        <v>55</v>
      </c>
      <c r="I126" s="30" t="s">
        <v>27</v>
      </c>
      <c r="J126" s="30" t="s">
        <v>28</v>
      </c>
      <c r="K126" s="9" t="str">
        <f>VLOOKUP($B126,[1]Kundenübersicht!$E$4:$AC$1003,MATCH(K$3,[1]Kundenübersicht!$E$3:$BA$3,FALSE),FALSE)</f>
        <v>Barmer Pflegekasse</v>
      </c>
      <c r="L126" s="13">
        <f>VLOOKUP(B126,[1]Kundenübersicht!$E$4:$AC$1003,MATCH(L$3,[1]Kundenübersicht!$E$3:$BA$3,FALSE),FALSE)</f>
        <v>184940005</v>
      </c>
      <c r="M126" s="13" t="str">
        <f>VLOOKUP(B126,[1]Kundenübersicht!$E$4:$AC$1003,MATCH(M$3,[1]Kundenübersicht!$E$3:$BA$3,FALSE),FALSE)</f>
        <v>F006688944</v>
      </c>
      <c r="N126" s="13" t="str">
        <f>VLOOKUP(B126,[1]Kundenübersicht!$E$4:$AC$1003,MATCH(N$3,[1]Kundenübersicht!$E$3:$BA$3,FALSE),FALSE)</f>
        <v>PG 1</v>
      </c>
      <c r="P126" s="9" t="s">
        <v>29</v>
      </c>
      <c r="R126" s="9" t="s">
        <v>30</v>
      </c>
      <c r="S126" s="14" t="s">
        <v>31</v>
      </c>
      <c r="U126" s="15">
        <f>IF(YEAR(C126)&lt;=2025,IFERROR(IF(I126="Hauswirtschaft",VLOOKUP($B126,[1]Kundenübersicht!$E$4:$BA$1003,MATCH("Hauswirtschaft [€/Stunde]",[1]Kundenübersicht!$E$3:$BA$3,FALSE),FALSE),VLOOKUP($B126,[1]Kundenübersicht!$E$4:$BA$1003,MATCH("Alltagsbegleitung [€/Stunde]",[1]Kundenübersicht!$E$3:$BA$3,FALSE),FALSE)),0),IFERROR(IF(I126="Hauswirtschaft",VLOOKUP($B126,[1]Kundenübersicht!$E$4:$BA$1003,MATCH("HW ab 2026 [€/Stunde]",[1]Kundenübersicht!$E$3:$BA$3,FALSE),FALSE),VLOOKUP($B126,[1]Kundenübersicht!$E$4:$BA$1003,MATCH("Alltagsbegleitung [€/Stunde]",[1]Kundenübersicht!$E$3:$BA$3,FALSE),FALSE)),0))</f>
        <v>32.75</v>
      </c>
      <c r="V126" s="16">
        <f t="shared" si="17"/>
        <v>65.499999999999986</v>
      </c>
      <c r="W126" s="16">
        <f t="shared" si="12"/>
        <v>0</v>
      </c>
      <c r="X126" s="16" t="str">
        <f>VLOOKUP(B126,[1]Kundenübersicht!E:AG,MATCH($X$3,[1]Kundenübersicht!$E$3:$AY$3,0),FALSE)</f>
        <v>Alt</v>
      </c>
      <c r="Z126" s="20" t="str">
        <f t="shared" si="22"/>
        <v>Ja</v>
      </c>
      <c r="AA126" s="19">
        <v>45959</v>
      </c>
      <c r="AC126" s="19"/>
      <c r="AE126" s="9">
        <f t="shared" si="18"/>
        <v>2025</v>
      </c>
      <c r="AF126" s="17" t="str">
        <f t="shared" si="19"/>
        <v>09.2025</v>
      </c>
      <c r="AG126" s="17" t="str">
        <f t="shared" si="20"/>
        <v>Doreen Luzyna</v>
      </c>
      <c r="AH126" s="17" t="str">
        <f>IFERROR(VLOOKUP(B126,[1]Kundenübersicht!$E$4:$F$85,2,FALSE),"")</f>
        <v>Gudrun Hentschel</v>
      </c>
      <c r="AI126" s="17" t="str">
        <f t="shared" si="23"/>
        <v>Hauswirtschaft</v>
      </c>
      <c r="AJ126" s="17" t="str">
        <f t="shared" si="23"/>
        <v>Entlastungsleistung</v>
      </c>
      <c r="AL126" s="18">
        <f t="shared" si="13"/>
        <v>38</v>
      </c>
      <c r="AM126" s="18">
        <f t="shared" si="14"/>
        <v>75.999999999999986</v>
      </c>
      <c r="AN126" s="18">
        <f t="shared" si="15"/>
        <v>0</v>
      </c>
    </row>
    <row r="127" spans="2:40" x14ac:dyDescent="0.25">
      <c r="B127" s="30" t="s">
        <v>50</v>
      </c>
      <c r="C127" s="31">
        <v>45912</v>
      </c>
      <c r="D127" s="32">
        <v>0.58333333333333337</v>
      </c>
      <c r="E127" s="32">
        <v>0.66666666666666663</v>
      </c>
      <c r="F127" s="12">
        <f t="shared" si="16"/>
        <v>1.9999999999999982</v>
      </c>
      <c r="G127" s="12"/>
      <c r="H127" s="30" t="s">
        <v>46</v>
      </c>
      <c r="I127" s="30" t="s">
        <v>27</v>
      </c>
      <c r="J127" s="30" t="s">
        <v>28</v>
      </c>
      <c r="K127" s="9" t="str">
        <f>VLOOKUP($B127,[1]Kundenübersicht!$E$4:$AC$1003,MATCH(K$3,[1]Kundenübersicht!$E$3:$BA$3,FALSE),FALSE)</f>
        <v>AOK PLUS</v>
      </c>
      <c r="L127" s="13">
        <f>VLOOKUP(B127,[1]Kundenübersicht!$E$4:$AC$1003,MATCH(L$3,[1]Kundenübersicht!$E$3:$BA$3,FALSE),FALSE)</f>
        <v>107299005</v>
      </c>
      <c r="M127" s="13" t="str">
        <f>VLOOKUP(B127,[1]Kundenübersicht!$E$4:$AC$1003,MATCH(M$3,[1]Kundenübersicht!$E$3:$BA$3,FALSE),FALSE)</f>
        <v>L212281967</v>
      </c>
      <c r="N127" s="13" t="str">
        <f>VLOOKUP(B127,[1]Kundenübersicht!$E$4:$AC$1003,MATCH(N$3,[1]Kundenübersicht!$E$3:$BA$3,FALSE),FALSE)</f>
        <v>PG 1</v>
      </c>
      <c r="P127" s="9" t="s">
        <v>29</v>
      </c>
      <c r="R127" s="9" t="s">
        <v>30</v>
      </c>
      <c r="S127" s="14" t="s">
        <v>31</v>
      </c>
      <c r="U127" s="15">
        <f>IF(YEAR(C127)&lt;=2025,IFERROR(IF(I127="Hauswirtschaft",VLOOKUP($B127,[1]Kundenübersicht!$E$4:$BA$1003,MATCH("Hauswirtschaft [€/Stunde]",[1]Kundenübersicht!$E$3:$BA$3,FALSE),FALSE),VLOOKUP($B127,[1]Kundenübersicht!$E$4:$BA$1003,MATCH("Alltagsbegleitung [€/Stunde]",[1]Kundenübersicht!$E$3:$BA$3,FALSE),FALSE)),0),IFERROR(IF(I127="Hauswirtschaft",VLOOKUP($B127,[1]Kundenübersicht!$E$4:$BA$1003,MATCH("HW ab 2026 [€/Stunde]",[1]Kundenübersicht!$E$3:$BA$3,FALSE),FALSE),VLOOKUP($B127,[1]Kundenübersicht!$E$4:$BA$1003,MATCH("Alltagsbegleitung [€/Stunde]",[1]Kundenübersicht!$E$3:$BA$3,FALSE),FALSE)),0))</f>
        <v>32.75</v>
      </c>
      <c r="V127" s="16">
        <f t="shared" si="17"/>
        <v>65.499999999999943</v>
      </c>
      <c r="W127" s="16">
        <f t="shared" si="12"/>
        <v>0</v>
      </c>
      <c r="X127" s="16" t="str">
        <f>VLOOKUP(B127,[1]Kundenübersicht!E:AG,MATCH($X$3,[1]Kundenübersicht!$E$3:$AY$3,0),FALSE)</f>
        <v>Alt</v>
      </c>
      <c r="Z127" s="20" t="str">
        <f t="shared" si="22"/>
        <v>Ja</v>
      </c>
      <c r="AA127" s="19">
        <v>45950</v>
      </c>
      <c r="AC127" s="19">
        <v>45975</v>
      </c>
      <c r="AE127" s="9">
        <f t="shared" si="18"/>
        <v>2025</v>
      </c>
      <c r="AF127" s="17" t="str">
        <f t="shared" si="19"/>
        <v>09.2025</v>
      </c>
      <c r="AG127" s="17" t="str">
        <f t="shared" si="20"/>
        <v>Manuela Richter</v>
      </c>
      <c r="AH127" s="17" t="str">
        <f>IFERROR(VLOOKUP(B127,[1]Kundenübersicht!$E$4:$F$85,2,FALSE),"")</f>
        <v>Lothar Krawalski</v>
      </c>
      <c r="AI127" s="17" t="str">
        <f t="shared" si="23"/>
        <v>Hauswirtschaft</v>
      </c>
      <c r="AJ127" s="17" t="str">
        <f t="shared" si="23"/>
        <v>Entlastungsleistung</v>
      </c>
      <c r="AL127" s="18">
        <f t="shared" si="13"/>
        <v>38</v>
      </c>
      <c r="AM127" s="18">
        <f t="shared" si="14"/>
        <v>75.999999999999929</v>
      </c>
      <c r="AN127" s="18">
        <f t="shared" si="15"/>
        <v>0</v>
      </c>
    </row>
    <row r="128" spans="2:40" x14ac:dyDescent="0.25">
      <c r="B128" s="30" t="s">
        <v>68</v>
      </c>
      <c r="C128" s="31">
        <v>45915</v>
      </c>
      <c r="D128" s="32">
        <v>0.375</v>
      </c>
      <c r="E128" s="32">
        <v>0.4375</v>
      </c>
      <c r="F128" s="12">
        <f t="shared" si="16"/>
        <v>1.5</v>
      </c>
      <c r="G128" s="12"/>
      <c r="H128" s="30" t="s">
        <v>33</v>
      </c>
      <c r="I128" s="30" t="s">
        <v>27</v>
      </c>
      <c r="J128" s="30" t="s">
        <v>28</v>
      </c>
      <c r="K128" s="9" t="str">
        <f>VLOOKUP($B128,[1]Kundenübersicht!$E$4:$AC$1003,MATCH(K$3,[1]Kundenübersicht!$E$3:$BA$3,FALSE),FALSE)</f>
        <v>AOK PLUS</v>
      </c>
      <c r="L128" s="13">
        <f>VLOOKUP(B128,[1]Kundenübersicht!$E$4:$AC$1003,MATCH(L$3,[1]Kundenübersicht!$E$3:$BA$3,FALSE),FALSE)</f>
        <v>107299005</v>
      </c>
      <c r="M128" s="13" t="str">
        <f>VLOOKUP(B128,[1]Kundenübersicht!$E$4:$AC$1003,MATCH(M$3,[1]Kundenübersicht!$E$3:$BA$3,FALSE),FALSE)</f>
        <v>W183342294</v>
      </c>
      <c r="N128" s="13" t="str">
        <f>VLOOKUP(B128,[1]Kundenübersicht!$E$4:$AC$1003,MATCH(N$3,[1]Kundenübersicht!$E$3:$BA$3,FALSE),FALSE)</f>
        <v>PG 1</v>
      </c>
      <c r="P128" s="9" t="s">
        <v>29</v>
      </c>
      <c r="R128" s="9" t="s">
        <v>30</v>
      </c>
      <c r="S128" s="14" t="s">
        <v>31</v>
      </c>
      <c r="U128" s="15">
        <f>IF(YEAR(C128)&lt;=2025,IFERROR(IF(I128="Hauswirtschaft",VLOOKUP($B128,[1]Kundenübersicht!$E$4:$BA$1003,MATCH("Hauswirtschaft [€/Stunde]",[1]Kundenübersicht!$E$3:$BA$3,FALSE),FALSE),VLOOKUP($B128,[1]Kundenübersicht!$E$4:$BA$1003,MATCH("Alltagsbegleitung [€/Stunde]",[1]Kundenübersicht!$E$3:$BA$3,FALSE),FALSE)),0),IFERROR(IF(I128="Hauswirtschaft",VLOOKUP($B128,[1]Kundenübersicht!$E$4:$BA$1003,MATCH("HW ab 2026 [€/Stunde]",[1]Kundenübersicht!$E$3:$BA$3,FALSE),FALSE),VLOOKUP($B128,[1]Kundenübersicht!$E$4:$BA$1003,MATCH("Alltagsbegleitung [€/Stunde]",[1]Kundenübersicht!$E$3:$BA$3,FALSE),FALSE)),0))</f>
        <v>38</v>
      </c>
      <c r="V128" s="16">
        <f t="shared" si="17"/>
        <v>57</v>
      </c>
      <c r="W128" s="16">
        <f t="shared" si="12"/>
        <v>0</v>
      </c>
      <c r="X128" s="16" t="str">
        <f>VLOOKUP(B128,[1]Kundenübersicht!E:AG,MATCH($X$3,[1]Kundenübersicht!$E$3:$AY$3,0),FALSE)</f>
        <v>Neu</v>
      </c>
      <c r="Z128" s="20" t="str">
        <f t="shared" si="22"/>
        <v>Ja</v>
      </c>
      <c r="AA128" s="19">
        <v>45950</v>
      </c>
      <c r="AC128" s="19">
        <v>45975</v>
      </c>
      <c r="AE128" s="9">
        <f t="shared" si="18"/>
        <v>2025</v>
      </c>
      <c r="AF128" s="17" t="str">
        <f t="shared" si="19"/>
        <v>09.2025</v>
      </c>
      <c r="AG128" s="17" t="str">
        <f t="shared" si="20"/>
        <v>Christiane Fiebag</v>
      </c>
      <c r="AH128" s="17" t="str">
        <f>IFERROR(VLOOKUP(B128,[1]Kundenübersicht!$E$4:$F$85,2,FALSE),"")</f>
        <v>Jutta Seidel</v>
      </c>
      <c r="AI128" s="17" t="str">
        <f t="shared" si="23"/>
        <v>Hauswirtschaft</v>
      </c>
      <c r="AJ128" s="17" t="str">
        <f t="shared" si="23"/>
        <v>Entlastungsleistung</v>
      </c>
      <c r="AL128" s="18">
        <f t="shared" si="13"/>
        <v>38</v>
      </c>
      <c r="AM128" s="18">
        <f t="shared" si="14"/>
        <v>57</v>
      </c>
      <c r="AN128" s="18">
        <f t="shared" si="15"/>
        <v>0</v>
      </c>
    </row>
    <row r="129" spans="2:40" x14ac:dyDescent="0.25">
      <c r="B129" s="30" t="s">
        <v>34</v>
      </c>
      <c r="C129" s="31">
        <v>45915</v>
      </c>
      <c r="D129" s="32">
        <v>0.45833333333333331</v>
      </c>
      <c r="E129" s="32">
        <v>0.54166666666666663</v>
      </c>
      <c r="F129" s="12">
        <f t="shared" si="16"/>
        <v>1.9999999999999996</v>
      </c>
      <c r="G129" s="12"/>
      <c r="H129" s="30" t="s">
        <v>33</v>
      </c>
      <c r="I129" s="30" t="s">
        <v>27</v>
      </c>
      <c r="J129" s="30" t="s">
        <v>28</v>
      </c>
      <c r="K129" s="9" t="str">
        <f>VLOOKUP($B129,[1]Kundenübersicht!$E$4:$AC$1003,MATCH(K$3,[1]Kundenübersicht!$E$3:$BA$3,FALSE),FALSE)</f>
        <v>AOK PLUS</v>
      </c>
      <c r="L129" s="13">
        <f>VLOOKUP(B129,[1]Kundenübersicht!$E$4:$AC$1003,MATCH(L$3,[1]Kundenübersicht!$E$3:$BA$3,FALSE),FALSE)</f>
        <v>107299005</v>
      </c>
      <c r="M129" s="13" t="str">
        <f>VLOOKUP(B129,[1]Kundenübersicht!$E$4:$AC$1003,MATCH(M$3,[1]Kundenübersicht!$E$3:$BA$3,FALSE),FALSE)</f>
        <v>R234942678</v>
      </c>
      <c r="N129" s="13" t="str">
        <f>VLOOKUP(B129,[1]Kundenübersicht!$E$4:$AC$1003,MATCH(N$3,[1]Kundenübersicht!$E$3:$BA$3,FALSE),FALSE)</f>
        <v>PG 2</v>
      </c>
      <c r="P129" s="9" t="s">
        <v>29</v>
      </c>
      <c r="R129" s="9" t="s">
        <v>30</v>
      </c>
      <c r="S129" s="14" t="s">
        <v>31</v>
      </c>
      <c r="U129" s="15">
        <f>IF(YEAR(C129)&lt;=2025,IFERROR(IF(I129="Hauswirtschaft",VLOOKUP($B129,[1]Kundenübersicht!$E$4:$BA$1003,MATCH("Hauswirtschaft [€/Stunde]",[1]Kundenübersicht!$E$3:$BA$3,FALSE),FALSE),VLOOKUP($B129,[1]Kundenübersicht!$E$4:$BA$1003,MATCH("Alltagsbegleitung [€/Stunde]",[1]Kundenübersicht!$E$3:$BA$3,FALSE),FALSE)),0),IFERROR(IF(I129="Hauswirtschaft",VLOOKUP($B129,[1]Kundenübersicht!$E$4:$BA$1003,MATCH("HW ab 2026 [€/Stunde]",[1]Kundenübersicht!$E$3:$BA$3,FALSE),FALSE),VLOOKUP($B129,[1]Kundenübersicht!$E$4:$BA$1003,MATCH("Alltagsbegleitung [€/Stunde]",[1]Kundenübersicht!$E$3:$BA$3,FALSE),FALSE)),0))</f>
        <v>32.75</v>
      </c>
      <c r="V129" s="16">
        <f t="shared" si="17"/>
        <v>65.499999999999986</v>
      </c>
      <c r="W129" s="16">
        <f t="shared" si="12"/>
        <v>0</v>
      </c>
      <c r="X129" s="16" t="str">
        <f>VLOOKUP(B129,[1]Kundenübersicht!E:AG,MATCH($X$3,[1]Kundenübersicht!$E$3:$AY$3,0),FALSE)</f>
        <v>Alt</v>
      </c>
      <c r="Z129" s="20" t="str">
        <f t="shared" si="22"/>
        <v>Ja</v>
      </c>
      <c r="AA129" s="19">
        <v>45950</v>
      </c>
      <c r="AC129" s="19">
        <v>45975</v>
      </c>
      <c r="AE129" s="9">
        <f t="shared" si="18"/>
        <v>2025</v>
      </c>
      <c r="AF129" s="17" t="str">
        <f t="shared" si="19"/>
        <v>09.2025</v>
      </c>
      <c r="AG129" s="17" t="str">
        <f t="shared" si="20"/>
        <v>Christiane Fiebag</v>
      </c>
      <c r="AH129" s="17" t="str">
        <f>IFERROR(VLOOKUP(B129,[1]Kundenübersicht!$E$4:$F$85,2,FALSE),"")</f>
        <v>Dieter Berghold</v>
      </c>
      <c r="AI129" s="17" t="str">
        <f t="shared" si="23"/>
        <v>Hauswirtschaft</v>
      </c>
      <c r="AJ129" s="17" t="str">
        <f t="shared" si="23"/>
        <v>Entlastungsleistung</v>
      </c>
      <c r="AL129" s="18">
        <f t="shared" si="13"/>
        <v>38</v>
      </c>
      <c r="AM129" s="18">
        <f t="shared" si="14"/>
        <v>75.999999999999986</v>
      </c>
      <c r="AN129" s="18">
        <f t="shared" si="15"/>
        <v>0</v>
      </c>
    </row>
    <row r="130" spans="2:40" x14ac:dyDescent="0.25">
      <c r="B130" s="30" t="s">
        <v>62</v>
      </c>
      <c r="C130" s="31">
        <v>45916</v>
      </c>
      <c r="D130" s="32">
        <v>0.375</v>
      </c>
      <c r="E130" s="32">
        <v>0.45833333333333331</v>
      </c>
      <c r="F130" s="12">
        <f t="shared" si="16"/>
        <v>1.9999999999999996</v>
      </c>
      <c r="G130" s="12"/>
      <c r="H130" s="30" t="s">
        <v>55</v>
      </c>
      <c r="I130" s="30" t="s">
        <v>27</v>
      </c>
      <c r="J130" s="30" t="s">
        <v>28</v>
      </c>
      <c r="K130" s="9" t="str">
        <f>VLOOKUP($B130,[1]Kundenübersicht!$E$4:$AC$1003,MATCH(K$3,[1]Kundenübersicht!$E$3:$BA$3,FALSE),FALSE)</f>
        <v>IKK Classic</v>
      </c>
      <c r="L130" s="13">
        <f>VLOOKUP(B130,[1]Kundenübersicht!$E$4:$AC$1003,MATCH(L$3,[1]Kundenübersicht!$E$3:$BA$3,FALSE),FALSE)</f>
        <v>187202793</v>
      </c>
      <c r="M130" s="13" t="str">
        <f>VLOOKUP(B130,[1]Kundenübersicht!$E$4:$AC$1003,MATCH(M$3,[1]Kundenübersicht!$E$3:$BA$3,FALSE),FALSE)</f>
        <v>D629015744</v>
      </c>
      <c r="N130" s="13" t="str">
        <f>VLOOKUP(B130,[1]Kundenübersicht!$E$4:$AC$1003,MATCH(N$3,[1]Kundenübersicht!$E$3:$BA$3,FALSE),FALSE)</f>
        <v>PG 2</v>
      </c>
      <c r="P130" s="9" t="s">
        <v>29</v>
      </c>
      <c r="R130" s="9" t="s">
        <v>30</v>
      </c>
      <c r="S130" s="14" t="s">
        <v>31</v>
      </c>
      <c r="U130" s="15">
        <f>IF(YEAR(C130)&lt;=2025,IFERROR(IF(I130="Hauswirtschaft",VLOOKUP($B130,[1]Kundenübersicht!$E$4:$BA$1003,MATCH("Hauswirtschaft [€/Stunde]",[1]Kundenübersicht!$E$3:$BA$3,FALSE),FALSE),VLOOKUP($B130,[1]Kundenübersicht!$E$4:$BA$1003,MATCH("Alltagsbegleitung [€/Stunde]",[1]Kundenübersicht!$E$3:$BA$3,FALSE),FALSE)),0),IFERROR(IF(I130="Hauswirtschaft",VLOOKUP($B130,[1]Kundenübersicht!$E$4:$BA$1003,MATCH("HW ab 2026 [€/Stunde]",[1]Kundenübersicht!$E$3:$BA$3,FALSE),FALSE),VLOOKUP($B130,[1]Kundenübersicht!$E$4:$BA$1003,MATCH("Alltagsbegleitung [€/Stunde]",[1]Kundenübersicht!$E$3:$BA$3,FALSE),FALSE)),0))</f>
        <v>32.75</v>
      </c>
      <c r="V130" s="16">
        <f t="shared" si="17"/>
        <v>65.499999999999986</v>
      </c>
      <c r="W130" s="16">
        <f t="shared" si="12"/>
        <v>0</v>
      </c>
      <c r="X130" s="16" t="str">
        <f>VLOOKUP(B130,[1]Kundenübersicht!E:AG,MATCH($X$3,[1]Kundenübersicht!$E$3:$AY$3,0),FALSE)</f>
        <v>Alt</v>
      </c>
      <c r="Z130" s="20" t="str">
        <f t="shared" si="22"/>
        <v>Ja</v>
      </c>
      <c r="AA130" s="19">
        <v>45950</v>
      </c>
      <c r="AC130" s="19">
        <v>45967</v>
      </c>
      <c r="AE130" s="9">
        <f t="shared" si="18"/>
        <v>2025</v>
      </c>
      <c r="AF130" s="17" t="str">
        <f t="shared" si="19"/>
        <v>09.2025</v>
      </c>
      <c r="AG130" s="17" t="str">
        <f t="shared" si="20"/>
        <v>Doreen Luzyna</v>
      </c>
      <c r="AH130" s="17" t="str">
        <f>IFERROR(VLOOKUP(B130,[1]Kundenübersicht!$E$4:$F$85,2,FALSE),"")</f>
        <v>Hannelore Köhler</v>
      </c>
      <c r="AI130" s="17" t="str">
        <f t="shared" si="23"/>
        <v>Hauswirtschaft</v>
      </c>
      <c r="AJ130" s="17" t="str">
        <f t="shared" si="23"/>
        <v>Entlastungsleistung</v>
      </c>
      <c r="AL130" s="18">
        <f t="shared" si="13"/>
        <v>38</v>
      </c>
      <c r="AM130" s="18">
        <f t="shared" si="14"/>
        <v>75.999999999999986</v>
      </c>
      <c r="AN130" s="18">
        <f t="shared" si="15"/>
        <v>0</v>
      </c>
    </row>
    <row r="131" spans="2:40" x14ac:dyDescent="0.25">
      <c r="B131" s="30" t="s">
        <v>69</v>
      </c>
      <c r="C131" s="31">
        <v>45916</v>
      </c>
      <c r="D131" s="32">
        <v>0.32291666666666669</v>
      </c>
      <c r="E131" s="32">
        <v>0.41666666666666669</v>
      </c>
      <c r="F131" s="12">
        <f t="shared" si="16"/>
        <v>2.25</v>
      </c>
      <c r="G131" s="12"/>
      <c r="H131" s="30" t="s">
        <v>33</v>
      </c>
      <c r="I131" s="30" t="s">
        <v>27</v>
      </c>
      <c r="J131" s="30" t="s">
        <v>28</v>
      </c>
      <c r="K131" s="9" t="str">
        <f>VLOOKUP($B131,[1]Kundenübersicht!$E$4:$AC$1003,MATCH(K$3,[1]Kundenübersicht!$E$3:$BA$3,FALSE),FALSE)</f>
        <v>Barmer Pflegekasse</v>
      </c>
      <c r="L131" s="13">
        <f>VLOOKUP(B131,[1]Kundenübersicht!$E$4:$AC$1003,MATCH(L$3,[1]Kundenübersicht!$E$3:$BA$3,FALSE),FALSE)</f>
        <v>184940005</v>
      </c>
      <c r="M131" s="13" t="str">
        <f>VLOOKUP(B131,[1]Kundenübersicht!$E$4:$AC$1003,MATCH(M$3,[1]Kundenübersicht!$E$3:$BA$3,FALSE),FALSE)</f>
        <v>G192083809</v>
      </c>
      <c r="N131" s="13" t="str">
        <f>VLOOKUP(B131,[1]Kundenübersicht!$E$4:$AC$1003,MATCH(N$3,[1]Kundenübersicht!$E$3:$BA$3,FALSE),FALSE)</f>
        <v>PG 2</v>
      </c>
      <c r="P131" s="9" t="s">
        <v>29</v>
      </c>
      <c r="R131" s="9" t="s">
        <v>30</v>
      </c>
      <c r="S131" s="14" t="s">
        <v>31</v>
      </c>
      <c r="U131" s="15">
        <f>IF(YEAR(C131)&lt;=2025,IFERROR(IF(I131="Hauswirtschaft",VLOOKUP($B131,[1]Kundenübersicht!$E$4:$BA$1003,MATCH("Hauswirtschaft [€/Stunde]",[1]Kundenübersicht!$E$3:$BA$3,FALSE),FALSE),VLOOKUP($B131,[1]Kundenübersicht!$E$4:$BA$1003,MATCH("Alltagsbegleitung [€/Stunde]",[1]Kundenübersicht!$E$3:$BA$3,FALSE),FALSE)),0),IFERROR(IF(I131="Hauswirtschaft",VLOOKUP($B131,[1]Kundenübersicht!$E$4:$BA$1003,MATCH("HW ab 2026 [€/Stunde]",[1]Kundenübersicht!$E$3:$BA$3,FALSE),FALSE),VLOOKUP($B131,[1]Kundenübersicht!$E$4:$BA$1003,MATCH("Alltagsbegleitung [€/Stunde]",[1]Kundenübersicht!$E$3:$BA$3,FALSE),FALSE)),0))</f>
        <v>32.75</v>
      </c>
      <c r="V131" s="16">
        <f t="shared" si="17"/>
        <v>73.6875</v>
      </c>
      <c r="W131" s="16">
        <f t="shared" si="12"/>
        <v>0</v>
      </c>
      <c r="X131" s="16" t="str">
        <f>VLOOKUP(B131,[1]Kundenübersicht!E:AG,MATCH($X$3,[1]Kundenübersicht!$E$3:$AY$3,0),FALSE)</f>
        <v>Alt</v>
      </c>
      <c r="Z131" s="20" t="str">
        <f t="shared" si="22"/>
        <v>Ja</v>
      </c>
      <c r="AA131" s="19">
        <v>45959</v>
      </c>
      <c r="AC131" s="19"/>
      <c r="AE131" s="9">
        <f t="shared" si="18"/>
        <v>2025</v>
      </c>
      <c r="AF131" s="17" t="str">
        <f t="shared" si="19"/>
        <v>09.2025</v>
      </c>
      <c r="AG131" s="17" t="str">
        <f t="shared" si="20"/>
        <v>Christiane Fiebag</v>
      </c>
      <c r="AH131" s="17" t="str">
        <f>IFERROR(VLOOKUP(B131,[1]Kundenübersicht!$E$4:$F$85,2,FALSE),"")</f>
        <v>Bettina Jungnickel</v>
      </c>
      <c r="AI131" s="17" t="str">
        <f t="shared" si="23"/>
        <v>Hauswirtschaft</v>
      </c>
      <c r="AJ131" s="17" t="str">
        <f t="shared" si="23"/>
        <v>Entlastungsleistung</v>
      </c>
      <c r="AL131" s="18">
        <f t="shared" si="13"/>
        <v>38</v>
      </c>
      <c r="AM131" s="18">
        <f t="shared" si="14"/>
        <v>85.5</v>
      </c>
      <c r="AN131" s="18">
        <f t="shared" si="15"/>
        <v>0</v>
      </c>
    </row>
    <row r="132" spans="2:40" x14ac:dyDescent="0.25">
      <c r="B132" s="30" t="s">
        <v>42</v>
      </c>
      <c r="C132" s="31">
        <v>45917</v>
      </c>
      <c r="D132" s="32">
        <v>0.42708333333333331</v>
      </c>
      <c r="E132" s="32">
        <v>0.5</v>
      </c>
      <c r="F132" s="12">
        <f t="shared" si="16"/>
        <v>1.7500000000000004</v>
      </c>
      <c r="G132" s="12"/>
      <c r="H132" s="30" t="s">
        <v>33</v>
      </c>
      <c r="I132" s="30" t="s">
        <v>27</v>
      </c>
      <c r="J132" s="30" t="s">
        <v>28</v>
      </c>
      <c r="K132" s="9" t="str">
        <f>VLOOKUP($B132,[1]Kundenübersicht!$E$4:$AC$1003,MATCH(K$3,[1]Kundenübersicht!$E$3:$BA$3,FALSE),FALSE)</f>
        <v>Techniker Krankenkasse</v>
      </c>
      <c r="L132" s="13">
        <f>VLOOKUP(B132,[1]Kundenübersicht!$E$4:$AC$1003,MATCH(L$3,[1]Kundenübersicht!$E$3:$BA$3,FALSE),FALSE)</f>
        <v>101575519</v>
      </c>
      <c r="M132" s="13" t="str">
        <f>VLOOKUP(B132,[1]Kundenübersicht!$E$4:$AC$1003,MATCH(M$3,[1]Kundenübersicht!$E$3:$BA$3,FALSE),FALSE)</f>
        <v>E759973784</v>
      </c>
      <c r="N132" s="13" t="str">
        <f>VLOOKUP(B132,[1]Kundenübersicht!$E$4:$AC$1003,MATCH(N$3,[1]Kundenübersicht!$E$3:$BA$3,FALSE),FALSE)</f>
        <v>PG 2</v>
      </c>
      <c r="P132" s="9" t="s">
        <v>29</v>
      </c>
      <c r="R132" s="9" t="s">
        <v>30</v>
      </c>
      <c r="S132" s="14" t="s">
        <v>31</v>
      </c>
      <c r="U132" s="15">
        <f>IF(YEAR(C132)&lt;=2025,IFERROR(IF(I132="Hauswirtschaft",VLOOKUP($B132,[1]Kundenübersicht!$E$4:$BA$1003,MATCH("Hauswirtschaft [€/Stunde]",[1]Kundenübersicht!$E$3:$BA$3,FALSE),FALSE),VLOOKUP($B132,[1]Kundenübersicht!$E$4:$BA$1003,MATCH("Alltagsbegleitung [€/Stunde]",[1]Kundenübersicht!$E$3:$BA$3,FALSE),FALSE)),0),IFERROR(IF(I132="Hauswirtschaft",VLOOKUP($B132,[1]Kundenübersicht!$E$4:$BA$1003,MATCH("HW ab 2026 [€/Stunde]",[1]Kundenübersicht!$E$3:$BA$3,FALSE),FALSE),VLOOKUP($B132,[1]Kundenübersicht!$E$4:$BA$1003,MATCH("Alltagsbegleitung [€/Stunde]",[1]Kundenübersicht!$E$3:$BA$3,FALSE),FALSE)),0))</f>
        <v>32.75</v>
      </c>
      <c r="V132" s="16">
        <f t="shared" si="17"/>
        <v>57.312500000000014</v>
      </c>
      <c r="W132" s="16">
        <f t="shared" ref="W132:W195" si="24">IF(AND(YEAR(C132)&lt;=2025,X132="Alt"),0,G132*0.35)</f>
        <v>0</v>
      </c>
      <c r="X132" s="16" t="str">
        <f>VLOOKUP(B132,[1]Kundenübersicht!E:AG,MATCH($X$3,[1]Kundenübersicht!$E$3:$AY$3,0),FALSE)</f>
        <v>Alt</v>
      </c>
      <c r="Z132" s="20" t="str">
        <f t="shared" si="22"/>
        <v>Ja</v>
      </c>
      <c r="AA132" s="19">
        <v>45950</v>
      </c>
      <c r="AC132" s="19">
        <v>45986</v>
      </c>
      <c r="AE132" s="9">
        <f t="shared" si="18"/>
        <v>2025</v>
      </c>
      <c r="AF132" s="17" t="str">
        <f t="shared" si="19"/>
        <v>09.2025</v>
      </c>
      <c r="AG132" s="17" t="str">
        <f t="shared" si="20"/>
        <v>Christiane Fiebag</v>
      </c>
      <c r="AH132" s="17" t="str">
        <f>IFERROR(VLOOKUP(B132,[1]Kundenübersicht!$E$4:$F$85,2,FALSE),"")</f>
        <v>Martin Schmidt</v>
      </c>
      <c r="AI132" s="17" t="str">
        <f t="shared" ref="AI132:AJ162" si="25">IF(I132="","",I132)</f>
        <v>Hauswirtschaft</v>
      </c>
      <c r="AJ132" s="17" t="str">
        <f t="shared" si="25"/>
        <v>Entlastungsleistung</v>
      </c>
      <c r="AL132" s="18">
        <f t="shared" ref="AL132:AL195" si="26">IF(I132="Hauswirtschaft",38,42)</f>
        <v>38</v>
      </c>
      <c r="AM132" s="18">
        <f t="shared" ref="AM132:AM195" si="27">AL132*F132</f>
        <v>66.500000000000014</v>
      </c>
      <c r="AN132" s="18">
        <f t="shared" ref="AN132:AN195" si="28">G132*0.35</f>
        <v>0</v>
      </c>
    </row>
    <row r="133" spans="2:40" x14ac:dyDescent="0.25">
      <c r="B133" s="30" t="s">
        <v>36</v>
      </c>
      <c r="C133" s="31">
        <v>45917</v>
      </c>
      <c r="D133" s="32">
        <v>0.35416666666666669</v>
      </c>
      <c r="E133" s="32">
        <v>0.4375</v>
      </c>
      <c r="F133" s="12">
        <f t="shared" si="16"/>
        <v>1.9999999999999996</v>
      </c>
      <c r="G133" s="12"/>
      <c r="H133" s="30" t="s">
        <v>55</v>
      </c>
      <c r="I133" s="30" t="s">
        <v>27</v>
      </c>
      <c r="J133" s="30" t="s">
        <v>28</v>
      </c>
      <c r="K133" s="9" t="str">
        <f>VLOOKUP($B133,[1]Kundenübersicht!$E$4:$AC$1003,MATCH(K$3,[1]Kundenübersicht!$E$3:$BA$3,FALSE),FALSE)</f>
        <v>IKK Classic</v>
      </c>
      <c r="L133" s="13" t="str">
        <f>VLOOKUP(B133,[1]Kundenübersicht!$E$4:$AC$1003,MATCH(L$3,[1]Kundenübersicht!$E$3:$BA$3,FALSE),FALSE)</f>
        <v>187202793</v>
      </c>
      <c r="M133" s="13" t="str">
        <f>VLOOKUP(B133,[1]Kundenübersicht!$E$4:$AC$1003,MATCH(M$3,[1]Kundenübersicht!$E$3:$BA$3,FALSE),FALSE)</f>
        <v>X365499146</v>
      </c>
      <c r="N133" s="13" t="str">
        <f>VLOOKUP(B133,[1]Kundenübersicht!$E$4:$AC$1003,MATCH(N$3,[1]Kundenübersicht!$E$3:$BA$3,FALSE),FALSE)</f>
        <v>PG 1</v>
      </c>
      <c r="P133" s="9" t="s">
        <v>29</v>
      </c>
      <c r="R133" s="9" t="s">
        <v>30</v>
      </c>
      <c r="S133" s="14" t="s">
        <v>31</v>
      </c>
      <c r="U133" s="15">
        <f>IF(YEAR(C133)&lt;=2025,IFERROR(IF(I133="Hauswirtschaft",VLOOKUP($B133,[1]Kundenübersicht!$E$4:$BA$1003,MATCH("Hauswirtschaft [€/Stunde]",[1]Kundenübersicht!$E$3:$BA$3,FALSE),FALSE),VLOOKUP($B133,[1]Kundenübersicht!$E$4:$BA$1003,MATCH("Alltagsbegleitung [€/Stunde]",[1]Kundenübersicht!$E$3:$BA$3,FALSE),FALSE)),0),IFERROR(IF(I133="Hauswirtschaft",VLOOKUP($B133,[1]Kundenübersicht!$E$4:$BA$1003,MATCH("HW ab 2026 [€/Stunde]",[1]Kundenübersicht!$E$3:$BA$3,FALSE),FALSE),VLOOKUP($B133,[1]Kundenübersicht!$E$4:$BA$1003,MATCH("Alltagsbegleitung [€/Stunde]",[1]Kundenübersicht!$E$3:$BA$3,FALSE),FALSE)),0))</f>
        <v>32.75</v>
      </c>
      <c r="V133" s="16">
        <f t="shared" si="17"/>
        <v>65.499999999999986</v>
      </c>
      <c r="W133" s="16">
        <f t="shared" si="24"/>
        <v>0</v>
      </c>
      <c r="X133" s="16" t="str">
        <f>VLOOKUP(B133,[1]Kundenübersicht!E:AG,MATCH($X$3,[1]Kundenübersicht!$E$3:$AY$3,0),FALSE)</f>
        <v>Alt</v>
      </c>
      <c r="Z133" s="20" t="str">
        <f t="shared" si="22"/>
        <v>Ja</v>
      </c>
      <c r="AA133" s="19">
        <v>45950</v>
      </c>
      <c r="AC133" s="19">
        <v>45967</v>
      </c>
      <c r="AE133" s="9">
        <f t="shared" si="18"/>
        <v>2025</v>
      </c>
      <c r="AF133" s="17" t="str">
        <f t="shared" si="19"/>
        <v>09.2025</v>
      </c>
      <c r="AG133" s="17" t="str">
        <f t="shared" si="20"/>
        <v>Doreen Luzyna</v>
      </c>
      <c r="AH133" s="17" t="str">
        <f>IFERROR(VLOOKUP(B133,[1]Kundenübersicht!$E$4:$F$85,2,FALSE),"")</f>
        <v>Ingrid Haufe</v>
      </c>
      <c r="AI133" s="17" t="str">
        <f t="shared" si="25"/>
        <v>Hauswirtschaft</v>
      </c>
      <c r="AJ133" s="17" t="str">
        <f t="shared" si="25"/>
        <v>Entlastungsleistung</v>
      </c>
      <c r="AL133" s="18">
        <f t="shared" si="26"/>
        <v>38</v>
      </c>
      <c r="AM133" s="18">
        <f t="shared" si="27"/>
        <v>75.999999999999986</v>
      </c>
      <c r="AN133" s="18">
        <f t="shared" si="28"/>
        <v>0</v>
      </c>
    </row>
    <row r="134" spans="2:40" x14ac:dyDescent="0.25">
      <c r="B134" s="30" t="s">
        <v>37</v>
      </c>
      <c r="C134" s="31">
        <v>45917</v>
      </c>
      <c r="D134" s="32">
        <v>0.4375</v>
      </c>
      <c r="E134" s="32">
        <v>0.52083333333333337</v>
      </c>
      <c r="F134" s="12">
        <f t="shared" ref="F134:F197" si="29">(E134-D134)*24</f>
        <v>2.0000000000000009</v>
      </c>
      <c r="G134" s="12"/>
      <c r="H134" s="30" t="s">
        <v>55</v>
      </c>
      <c r="I134" s="30" t="s">
        <v>27</v>
      </c>
      <c r="J134" s="30" t="s">
        <v>28</v>
      </c>
      <c r="K134" s="9" t="str">
        <f>VLOOKUP($B134,[1]Kundenübersicht!$E$4:$AC$1003,MATCH(K$3,[1]Kundenübersicht!$E$3:$BA$3,FALSE),FALSE)</f>
        <v>IKK Classic</v>
      </c>
      <c r="L134" s="13" t="str">
        <f>VLOOKUP(B134,[1]Kundenübersicht!$E$4:$AC$1003,MATCH(L$3,[1]Kundenübersicht!$E$3:$BA$3,FALSE),FALSE)</f>
        <v>187202793</v>
      </c>
      <c r="M134" s="13" t="str">
        <f>VLOOKUP(B134,[1]Kundenübersicht!$E$4:$AC$1003,MATCH(M$3,[1]Kundenübersicht!$E$3:$BA$3,FALSE),FALSE)</f>
        <v>E434900220</v>
      </c>
      <c r="N134" s="13" t="str">
        <f>VLOOKUP(B134,[1]Kundenübersicht!$E$4:$AC$1003,MATCH(N$3,[1]Kundenübersicht!$E$3:$BA$3,FALSE),FALSE)</f>
        <v>PG 1</v>
      </c>
      <c r="P134" s="9" t="s">
        <v>29</v>
      </c>
      <c r="R134" s="9" t="s">
        <v>30</v>
      </c>
      <c r="S134" s="14" t="s">
        <v>31</v>
      </c>
      <c r="U134" s="15">
        <f>IF(YEAR(C134)&lt;=2025,IFERROR(IF(I134="Hauswirtschaft",VLOOKUP($B134,[1]Kundenübersicht!$E$4:$BA$1003,MATCH("Hauswirtschaft [€/Stunde]",[1]Kundenübersicht!$E$3:$BA$3,FALSE),FALSE),VLOOKUP($B134,[1]Kundenübersicht!$E$4:$BA$1003,MATCH("Alltagsbegleitung [€/Stunde]",[1]Kundenübersicht!$E$3:$BA$3,FALSE),FALSE)),0),IFERROR(IF(I134="Hauswirtschaft",VLOOKUP($B134,[1]Kundenübersicht!$E$4:$BA$1003,MATCH("HW ab 2026 [€/Stunde]",[1]Kundenübersicht!$E$3:$BA$3,FALSE),FALSE),VLOOKUP($B134,[1]Kundenübersicht!$E$4:$BA$1003,MATCH("Alltagsbegleitung [€/Stunde]",[1]Kundenübersicht!$E$3:$BA$3,FALSE),FALSE)),0))</f>
        <v>32.75</v>
      </c>
      <c r="V134" s="16">
        <f t="shared" ref="V134:V197" si="30">U134*F134</f>
        <v>65.500000000000028</v>
      </c>
      <c r="W134" s="16">
        <f t="shared" si="24"/>
        <v>0</v>
      </c>
      <c r="X134" s="16" t="str">
        <f>VLOOKUP(B134,[1]Kundenübersicht!E:AG,MATCH($X$3,[1]Kundenübersicht!$E$3:$AY$3,0),FALSE)</f>
        <v>Alt</v>
      </c>
      <c r="Z134" s="20" t="str">
        <f t="shared" si="22"/>
        <v>Ja</v>
      </c>
      <c r="AA134" s="19">
        <v>45950</v>
      </c>
      <c r="AC134" s="19">
        <v>45967</v>
      </c>
      <c r="AE134" s="9">
        <f t="shared" ref="AE134:AE197" si="31">YEAR(C134)</f>
        <v>2025</v>
      </c>
      <c r="AF134" s="17" t="str">
        <f t="shared" ref="AF134:AF197" si="32">IF(MONTH(C134)&lt;=9,"0"&amp;MONTH(C134)&amp;"."&amp;YEAR(C134),MONTH(C134)&amp;"."&amp;YEAR(C134))</f>
        <v>09.2025</v>
      </c>
      <c r="AG134" s="17" t="str">
        <f t="shared" ref="AG134:AG197" si="33">IF(H134="","",H134)</f>
        <v>Doreen Luzyna</v>
      </c>
      <c r="AH134" s="17" t="str">
        <f>IFERROR(VLOOKUP(B134,[1]Kundenübersicht!$E$4:$F$85,2,FALSE),"")</f>
        <v>Lothar Haufe</v>
      </c>
      <c r="AI134" s="17" t="str">
        <f t="shared" si="25"/>
        <v>Hauswirtschaft</v>
      </c>
      <c r="AJ134" s="17" t="str">
        <f t="shared" si="25"/>
        <v>Entlastungsleistung</v>
      </c>
      <c r="AL134" s="18">
        <f t="shared" si="26"/>
        <v>38</v>
      </c>
      <c r="AM134" s="18">
        <f t="shared" si="27"/>
        <v>76.000000000000028</v>
      </c>
      <c r="AN134" s="18">
        <f t="shared" si="28"/>
        <v>0</v>
      </c>
    </row>
    <row r="135" spans="2:40" x14ac:dyDescent="0.25">
      <c r="B135" s="30" t="s">
        <v>43</v>
      </c>
      <c r="C135" s="31">
        <v>45917</v>
      </c>
      <c r="D135" s="32">
        <v>0.33333333333333331</v>
      </c>
      <c r="E135" s="32">
        <v>0.375</v>
      </c>
      <c r="F135" s="12">
        <f t="shared" si="29"/>
        <v>1.0000000000000004</v>
      </c>
      <c r="G135" s="12"/>
      <c r="H135" s="30" t="s">
        <v>46</v>
      </c>
      <c r="I135" s="30" t="s">
        <v>27</v>
      </c>
      <c r="J135" s="30" t="s">
        <v>28</v>
      </c>
      <c r="K135" s="9" t="str">
        <f>VLOOKUP($B135,[1]Kundenübersicht!$E$4:$AC$1003,MATCH(K$3,[1]Kundenübersicht!$E$3:$BA$3,FALSE),FALSE)</f>
        <v>AOK PLUS</v>
      </c>
      <c r="L135" s="13">
        <f>VLOOKUP(B135,[1]Kundenübersicht!$E$4:$AC$1003,MATCH(L$3,[1]Kundenübersicht!$E$3:$BA$3,FALSE),FALSE)</f>
        <v>107299005</v>
      </c>
      <c r="M135" s="13" t="str">
        <f>VLOOKUP(B135,[1]Kundenübersicht!$E$4:$AC$1003,MATCH(M$3,[1]Kundenübersicht!$E$3:$BA$3,FALSE),FALSE)</f>
        <v>I323820679</v>
      </c>
      <c r="N135" s="13" t="str">
        <f>VLOOKUP(B135,[1]Kundenübersicht!$E$4:$AC$1003,MATCH(N$3,[1]Kundenübersicht!$E$3:$BA$3,FALSE),FALSE)</f>
        <v>PG 1</v>
      </c>
      <c r="P135" s="9" t="s">
        <v>29</v>
      </c>
      <c r="R135" s="9" t="s">
        <v>30</v>
      </c>
      <c r="S135" s="14" t="s">
        <v>31</v>
      </c>
      <c r="U135" s="15">
        <f>IF(YEAR(C135)&lt;=2025,IFERROR(IF(I135="Hauswirtschaft",VLOOKUP($B135,[1]Kundenübersicht!$E$4:$BA$1003,MATCH("Hauswirtschaft [€/Stunde]",[1]Kundenübersicht!$E$3:$BA$3,FALSE),FALSE),VLOOKUP($B135,[1]Kundenübersicht!$E$4:$BA$1003,MATCH("Alltagsbegleitung [€/Stunde]",[1]Kundenübersicht!$E$3:$BA$3,FALSE),FALSE)),0),IFERROR(IF(I135="Hauswirtschaft",VLOOKUP($B135,[1]Kundenübersicht!$E$4:$BA$1003,MATCH("HW ab 2026 [€/Stunde]",[1]Kundenübersicht!$E$3:$BA$3,FALSE),FALSE),VLOOKUP($B135,[1]Kundenübersicht!$E$4:$BA$1003,MATCH("Alltagsbegleitung [€/Stunde]",[1]Kundenübersicht!$E$3:$BA$3,FALSE),FALSE)),0))</f>
        <v>32.75</v>
      </c>
      <c r="V135" s="16">
        <f t="shared" si="30"/>
        <v>32.750000000000014</v>
      </c>
      <c r="W135" s="16">
        <f t="shared" si="24"/>
        <v>0</v>
      </c>
      <c r="X135" s="16" t="str">
        <f>VLOOKUP(B135,[1]Kundenübersicht!E:AG,MATCH($X$3,[1]Kundenübersicht!$E$3:$AY$3,0),FALSE)</f>
        <v>Alt</v>
      </c>
      <c r="Z135" s="20" t="str">
        <f t="shared" si="22"/>
        <v>Ja</v>
      </c>
      <c r="AA135" s="19">
        <v>45950</v>
      </c>
      <c r="AC135" s="19">
        <v>45975</v>
      </c>
      <c r="AE135" s="9">
        <f t="shared" si="31"/>
        <v>2025</v>
      </c>
      <c r="AF135" s="17" t="str">
        <f t="shared" si="32"/>
        <v>09.2025</v>
      </c>
      <c r="AG135" s="17" t="str">
        <f t="shared" si="33"/>
        <v>Manuela Richter</v>
      </c>
      <c r="AH135" s="17" t="str">
        <f>IFERROR(VLOOKUP(B135,[1]Kundenübersicht!$E$4:$F$85,2,FALSE),"")</f>
        <v>Inge Leupold</v>
      </c>
      <c r="AI135" s="17" t="str">
        <f t="shared" si="25"/>
        <v>Hauswirtschaft</v>
      </c>
      <c r="AJ135" s="17" t="str">
        <f t="shared" si="25"/>
        <v>Entlastungsleistung</v>
      </c>
      <c r="AL135" s="18">
        <f t="shared" si="26"/>
        <v>38</v>
      </c>
      <c r="AM135" s="18">
        <f t="shared" si="27"/>
        <v>38.000000000000014</v>
      </c>
      <c r="AN135" s="18">
        <f t="shared" si="28"/>
        <v>0</v>
      </c>
    </row>
    <row r="136" spans="2:40" x14ac:dyDescent="0.25">
      <c r="B136" s="30" t="s">
        <v>25</v>
      </c>
      <c r="C136" s="31">
        <v>45916</v>
      </c>
      <c r="D136" s="32">
        <v>0.39583333333333331</v>
      </c>
      <c r="E136" s="32">
        <v>0.45833333333333331</v>
      </c>
      <c r="F136" s="12">
        <f t="shared" si="29"/>
        <v>1.5</v>
      </c>
      <c r="G136" s="12"/>
      <c r="H136" s="30" t="s">
        <v>26</v>
      </c>
      <c r="I136" s="30" t="s">
        <v>27</v>
      </c>
      <c r="J136" s="30" t="s">
        <v>28</v>
      </c>
      <c r="K136" s="9" t="str">
        <f>VLOOKUP($B136,[1]Kundenübersicht!$E$4:$AC$1003,MATCH(K$3,[1]Kundenübersicht!$E$3:$BA$3,FALSE),FALSE)</f>
        <v>Barmer Pflegekasse</v>
      </c>
      <c r="L136" s="13">
        <f>VLOOKUP(B136,[1]Kundenübersicht!$E$4:$AC$1003,MATCH(L$3,[1]Kundenübersicht!$E$3:$BA$3,FALSE),FALSE)</f>
        <v>184940005</v>
      </c>
      <c r="M136" s="13" t="str">
        <f>VLOOKUP(B136,[1]Kundenübersicht!$E$4:$AC$1003,MATCH(M$3,[1]Kundenübersicht!$E$3:$BA$3,FALSE),FALSE)</f>
        <v>Z817157321</v>
      </c>
      <c r="N136" s="13" t="str">
        <f>VLOOKUP(B136,[1]Kundenübersicht!$E$4:$AC$1003,MATCH(N$3,[1]Kundenübersicht!$E$3:$BA$3,FALSE),FALSE)</f>
        <v>PG 1</v>
      </c>
      <c r="P136" s="9" t="s">
        <v>29</v>
      </c>
      <c r="R136" s="9" t="str">
        <f t="shared" ref="R136:R137" si="34">IF(S136="Link","Unterschrieben","Fehlt")</f>
        <v>Unterschrieben</v>
      </c>
      <c r="S136" s="14" t="s">
        <v>31</v>
      </c>
      <c r="U136" s="15">
        <f>IF(YEAR(C136)&lt;=2025,IFERROR(IF(I136="Hauswirtschaft",VLOOKUP($B136,[1]Kundenübersicht!$E$4:$BA$1003,MATCH("Hauswirtschaft [€/Stunde]",[1]Kundenübersicht!$E$3:$BA$3,FALSE),FALSE),VLOOKUP($B136,[1]Kundenübersicht!$E$4:$BA$1003,MATCH("Alltagsbegleitung [€/Stunde]",[1]Kundenübersicht!$E$3:$BA$3,FALSE),FALSE)),0),IFERROR(IF(I136="Hauswirtschaft",VLOOKUP($B136,[1]Kundenübersicht!$E$4:$BA$1003,MATCH("HW ab 2026 [€/Stunde]",[1]Kundenübersicht!$E$3:$BA$3,FALSE),FALSE),VLOOKUP($B136,[1]Kundenübersicht!$E$4:$BA$1003,MATCH("Alltagsbegleitung [€/Stunde]",[1]Kundenübersicht!$E$3:$BA$3,FALSE),FALSE)),0))</f>
        <v>32.75</v>
      </c>
      <c r="V136" s="16">
        <f t="shared" si="30"/>
        <v>49.125</v>
      </c>
      <c r="W136" s="16">
        <f t="shared" si="24"/>
        <v>0</v>
      </c>
      <c r="X136" s="16" t="str">
        <f>VLOOKUP(B136,[1]Kundenübersicht!E:AG,MATCH($X$3,[1]Kundenübersicht!$E$3:$AY$3,0),FALSE)</f>
        <v>Alt</v>
      </c>
      <c r="Z136" s="20" t="str">
        <f t="shared" si="22"/>
        <v>Ja</v>
      </c>
      <c r="AA136" s="19">
        <v>46057</v>
      </c>
      <c r="AC136" s="19"/>
      <c r="AE136" s="9">
        <f t="shared" si="31"/>
        <v>2025</v>
      </c>
      <c r="AF136" s="17" t="str">
        <f t="shared" si="32"/>
        <v>09.2025</v>
      </c>
      <c r="AG136" s="17" t="str">
        <f t="shared" si="33"/>
        <v>Celina Panther</v>
      </c>
      <c r="AH136" s="17" t="str">
        <f>IFERROR(VLOOKUP(B136,[1]Kundenübersicht!$E$4:$F$85,2,FALSE),"")</f>
        <v>Rosemarie Schröder</v>
      </c>
      <c r="AI136" s="17" t="str">
        <f t="shared" si="25"/>
        <v>Hauswirtschaft</v>
      </c>
      <c r="AJ136" s="17" t="str">
        <f t="shared" si="25"/>
        <v>Entlastungsleistung</v>
      </c>
      <c r="AL136" s="18">
        <f t="shared" si="26"/>
        <v>38</v>
      </c>
      <c r="AM136" s="18">
        <f t="shared" si="27"/>
        <v>57</v>
      </c>
      <c r="AN136" s="18">
        <f t="shared" si="28"/>
        <v>0</v>
      </c>
    </row>
    <row r="137" spans="2:40" x14ac:dyDescent="0.25">
      <c r="B137" s="30" t="s">
        <v>25</v>
      </c>
      <c r="C137" s="31">
        <v>45926</v>
      </c>
      <c r="D137" s="32">
        <v>0.375</v>
      </c>
      <c r="E137" s="32">
        <v>0.45833333333333331</v>
      </c>
      <c r="F137" s="12">
        <f t="shared" si="29"/>
        <v>1.9999999999999996</v>
      </c>
      <c r="G137" s="12"/>
      <c r="H137" s="30" t="s">
        <v>26</v>
      </c>
      <c r="I137" s="30" t="s">
        <v>27</v>
      </c>
      <c r="J137" s="30" t="s">
        <v>28</v>
      </c>
      <c r="K137" s="9" t="str">
        <f>VLOOKUP($B137,[1]Kundenübersicht!$E$4:$AC$1003,MATCH(K$3,[1]Kundenübersicht!$E$3:$BA$3,FALSE),FALSE)</f>
        <v>Barmer Pflegekasse</v>
      </c>
      <c r="L137" s="13">
        <f>VLOOKUP(B137,[1]Kundenübersicht!$E$4:$AC$1003,MATCH(L$3,[1]Kundenübersicht!$E$3:$BA$3,FALSE),FALSE)</f>
        <v>184940005</v>
      </c>
      <c r="M137" s="13" t="str">
        <f>VLOOKUP(B137,[1]Kundenübersicht!$E$4:$AC$1003,MATCH(M$3,[1]Kundenübersicht!$E$3:$BA$3,FALSE),FALSE)</f>
        <v>Z817157321</v>
      </c>
      <c r="N137" s="13" t="str">
        <f>VLOOKUP(B137,[1]Kundenübersicht!$E$4:$AC$1003,MATCH(N$3,[1]Kundenübersicht!$E$3:$BA$3,FALSE),FALSE)</f>
        <v>PG 1</v>
      </c>
      <c r="P137" s="9" t="s">
        <v>29</v>
      </c>
      <c r="R137" s="9" t="str">
        <f t="shared" si="34"/>
        <v>Unterschrieben</v>
      </c>
      <c r="S137" s="14" t="s">
        <v>31</v>
      </c>
      <c r="U137" s="15">
        <f>IF(YEAR(C137)&lt;=2025,IFERROR(IF(I137="Hauswirtschaft",VLOOKUP($B137,[1]Kundenübersicht!$E$4:$BA$1003,MATCH("Hauswirtschaft [€/Stunde]",[1]Kundenübersicht!$E$3:$BA$3,FALSE),FALSE),VLOOKUP($B137,[1]Kundenübersicht!$E$4:$BA$1003,MATCH("Alltagsbegleitung [€/Stunde]",[1]Kundenübersicht!$E$3:$BA$3,FALSE),FALSE)),0),IFERROR(IF(I137="Hauswirtschaft",VLOOKUP($B137,[1]Kundenübersicht!$E$4:$BA$1003,MATCH("HW ab 2026 [€/Stunde]",[1]Kundenübersicht!$E$3:$BA$3,FALSE),FALSE),VLOOKUP($B137,[1]Kundenübersicht!$E$4:$BA$1003,MATCH("Alltagsbegleitung [€/Stunde]",[1]Kundenübersicht!$E$3:$BA$3,FALSE),FALSE)),0))</f>
        <v>32.75</v>
      </c>
      <c r="V137" s="16">
        <f t="shared" si="30"/>
        <v>65.499999999999986</v>
      </c>
      <c r="W137" s="16">
        <f t="shared" si="24"/>
        <v>0</v>
      </c>
      <c r="X137" s="16" t="str">
        <f>VLOOKUP(B137,[1]Kundenübersicht!E:AG,MATCH($X$3,[1]Kundenübersicht!$E$3:$AY$3,0),FALSE)</f>
        <v>Alt</v>
      </c>
      <c r="Z137" s="20" t="str">
        <f t="shared" si="22"/>
        <v>Ja</v>
      </c>
      <c r="AA137" s="19">
        <v>46057</v>
      </c>
      <c r="AC137" s="19"/>
      <c r="AE137" s="9">
        <f t="shared" si="31"/>
        <v>2025</v>
      </c>
      <c r="AF137" s="17" t="str">
        <f t="shared" si="32"/>
        <v>09.2025</v>
      </c>
      <c r="AG137" s="17" t="str">
        <f t="shared" si="33"/>
        <v>Celina Panther</v>
      </c>
      <c r="AH137" s="17" t="str">
        <f>IFERROR(VLOOKUP(B137,[1]Kundenübersicht!$E$4:$F$85,2,FALSE),"")</f>
        <v>Rosemarie Schröder</v>
      </c>
      <c r="AI137" s="17" t="str">
        <f t="shared" si="25"/>
        <v>Hauswirtschaft</v>
      </c>
      <c r="AJ137" s="17" t="str">
        <f t="shared" si="25"/>
        <v>Entlastungsleistung</v>
      </c>
      <c r="AL137" s="18">
        <f t="shared" si="26"/>
        <v>38</v>
      </c>
      <c r="AM137" s="18">
        <f t="shared" si="27"/>
        <v>75.999999999999986</v>
      </c>
      <c r="AN137" s="18">
        <f t="shared" si="28"/>
        <v>0</v>
      </c>
    </row>
    <row r="138" spans="2:40" x14ac:dyDescent="0.25">
      <c r="B138" s="30" t="s">
        <v>52</v>
      </c>
      <c r="C138" s="31">
        <v>45917</v>
      </c>
      <c r="D138" s="32">
        <v>0.33333333333333331</v>
      </c>
      <c r="E138" s="32">
        <v>0.41666666666666669</v>
      </c>
      <c r="F138" s="12">
        <f t="shared" si="29"/>
        <v>2.0000000000000009</v>
      </c>
      <c r="G138" s="12"/>
      <c r="H138" s="30" t="s">
        <v>33</v>
      </c>
      <c r="I138" s="30" t="s">
        <v>27</v>
      </c>
      <c r="J138" s="30" t="s">
        <v>28</v>
      </c>
      <c r="K138" s="9" t="str">
        <f>VLOOKUP($B138,[1]Kundenübersicht!$E$4:$AC$1003,MATCH(K$3,[1]Kundenübersicht!$E$3:$BA$3,FALSE),FALSE)</f>
        <v>AOK PLUS</v>
      </c>
      <c r="L138" s="13">
        <f>VLOOKUP(B138,[1]Kundenübersicht!$E$4:$AC$1003,MATCH(L$3,[1]Kundenübersicht!$E$3:$BA$3,FALSE),FALSE)</f>
        <v>107299005</v>
      </c>
      <c r="M138" s="13" t="str">
        <f>VLOOKUP(B138,[1]Kundenübersicht!$E$4:$AC$1003,MATCH(M$3,[1]Kundenübersicht!$E$3:$BA$3,FALSE),FALSE)</f>
        <v>G562042888</v>
      </c>
      <c r="N138" s="13" t="str">
        <f>VLOOKUP(B138,[1]Kundenübersicht!$E$4:$AC$1003,MATCH(N$3,[1]Kundenübersicht!$E$3:$BA$3,FALSE),FALSE)</f>
        <v>PG 2</v>
      </c>
      <c r="P138" s="9" t="s">
        <v>29</v>
      </c>
      <c r="R138" s="9" t="s">
        <v>30</v>
      </c>
      <c r="S138" s="14" t="s">
        <v>31</v>
      </c>
      <c r="U138" s="15">
        <f>IF(YEAR(C138)&lt;=2025,IFERROR(IF(I138="Hauswirtschaft",VLOOKUP($B138,[1]Kundenübersicht!$E$4:$BA$1003,MATCH("Hauswirtschaft [€/Stunde]",[1]Kundenübersicht!$E$3:$BA$3,FALSE),FALSE),VLOOKUP($B138,[1]Kundenübersicht!$E$4:$BA$1003,MATCH("Alltagsbegleitung [€/Stunde]",[1]Kundenübersicht!$E$3:$BA$3,FALSE),FALSE)),0),IFERROR(IF(I138="Hauswirtschaft",VLOOKUP($B138,[1]Kundenübersicht!$E$4:$BA$1003,MATCH("HW ab 2026 [€/Stunde]",[1]Kundenübersicht!$E$3:$BA$3,FALSE),FALSE),VLOOKUP($B138,[1]Kundenübersicht!$E$4:$BA$1003,MATCH("Alltagsbegleitung [€/Stunde]",[1]Kundenübersicht!$E$3:$BA$3,FALSE),FALSE)),0))</f>
        <v>32.75</v>
      </c>
      <c r="V138" s="16">
        <f t="shared" si="30"/>
        <v>65.500000000000028</v>
      </c>
      <c r="W138" s="16">
        <f t="shared" si="24"/>
        <v>0</v>
      </c>
      <c r="X138" s="16" t="str">
        <f>VLOOKUP(B138,[1]Kundenübersicht!E:AG,MATCH($X$3,[1]Kundenübersicht!$E$3:$AY$3,0),FALSE)</f>
        <v>Alt</v>
      </c>
      <c r="Z138" s="20" t="str">
        <f t="shared" si="22"/>
        <v>Ja</v>
      </c>
      <c r="AA138" s="19">
        <v>45950</v>
      </c>
      <c r="AC138" s="19">
        <v>45975</v>
      </c>
      <c r="AE138" s="9">
        <f t="shared" si="31"/>
        <v>2025</v>
      </c>
      <c r="AF138" s="17" t="str">
        <f t="shared" si="32"/>
        <v>09.2025</v>
      </c>
      <c r="AG138" s="17" t="str">
        <f t="shared" si="33"/>
        <v>Christiane Fiebag</v>
      </c>
      <c r="AH138" s="17" t="str">
        <f>IFERROR(VLOOKUP(B138,[1]Kundenübersicht!$E$4:$F$85,2,FALSE),"")</f>
        <v>Matthias Roß</v>
      </c>
      <c r="AI138" s="17" t="str">
        <f t="shared" si="25"/>
        <v>Hauswirtschaft</v>
      </c>
      <c r="AJ138" s="17" t="str">
        <f t="shared" si="25"/>
        <v>Entlastungsleistung</v>
      </c>
      <c r="AL138" s="18">
        <f t="shared" si="26"/>
        <v>38</v>
      </c>
      <c r="AM138" s="18">
        <f t="shared" si="27"/>
        <v>76.000000000000028</v>
      </c>
      <c r="AN138" s="18">
        <f t="shared" si="28"/>
        <v>0</v>
      </c>
    </row>
    <row r="139" spans="2:40" x14ac:dyDescent="0.25">
      <c r="B139" s="30" t="s">
        <v>32</v>
      </c>
      <c r="C139" s="31">
        <v>45918</v>
      </c>
      <c r="D139" s="32">
        <v>0.45833333333333331</v>
      </c>
      <c r="E139" s="32">
        <v>0.5</v>
      </c>
      <c r="F139" s="12">
        <f t="shared" si="29"/>
        <v>1.0000000000000004</v>
      </c>
      <c r="G139" s="12"/>
      <c r="H139" s="30" t="s">
        <v>33</v>
      </c>
      <c r="I139" s="30" t="s">
        <v>27</v>
      </c>
      <c r="J139" s="30" t="s">
        <v>28</v>
      </c>
      <c r="K139" s="9" t="str">
        <f>VLOOKUP($B139,[1]Kundenübersicht!$E$4:$AC$1003,MATCH(K$3,[1]Kundenübersicht!$E$3:$BA$3,FALSE),FALSE)</f>
        <v>IKK Classic</v>
      </c>
      <c r="L139" s="13" t="str">
        <f>VLOOKUP(B139,[1]Kundenübersicht!$E$4:$AC$1003,MATCH(L$3,[1]Kundenübersicht!$E$3:$BA$3,FALSE),FALSE)</f>
        <v>187202793</v>
      </c>
      <c r="M139" s="13" t="str">
        <f>VLOOKUP(B139,[1]Kundenübersicht!$E$4:$AC$1003,MATCH(M$3,[1]Kundenübersicht!$E$3:$BA$3,FALSE),FALSE)</f>
        <v>A268233642</v>
      </c>
      <c r="N139" s="13" t="str">
        <f>VLOOKUP(B139,[1]Kundenübersicht!$E$4:$AC$1003,MATCH(N$3,[1]Kundenübersicht!$E$3:$BA$3,FALSE),FALSE)</f>
        <v>PG 2</v>
      </c>
      <c r="P139" s="9" t="s">
        <v>29</v>
      </c>
      <c r="R139" s="9" t="s">
        <v>30</v>
      </c>
      <c r="S139" s="14" t="s">
        <v>31</v>
      </c>
      <c r="U139" s="15">
        <f>IF(YEAR(C139)&lt;=2025,IFERROR(IF(I139="Hauswirtschaft",VLOOKUP($B139,[1]Kundenübersicht!$E$4:$BA$1003,MATCH("Hauswirtschaft [€/Stunde]",[1]Kundenübersicht!$E$3:$BA$3,FALSE),FALSE),VLOOKUP($B139,[1]Kundenübersicht!$E$4:$BA$1003,MATCH("Alltagsbegleitung [€/Stunde]",[1]Kundenübersicht!$E$3:$BA$3,FALSE),FALSE)),0),IFERROR(IF(I139="Hauswirtschaft",VLOOKUP($B139,[1]Kundenübersicht!$E$4:$BA$1003,MATCH("HW ab 2026 [€/Stunde]",[1]Kundenübersicht!$E$3:$BA$3,FALSE),FALSE),VLOOKUP($B139,[1]Kundenübersicht!$E$4:$BA$1003,MATCH("Alltagsbegleitung [€/Stunde]",[1]Kundenübersicht!$E$3:$BA$3,FALSE),FALSE)),0))</f>
        <v>32.75</v>
      </c>
      <c r="V139" s="16">
        <f t="shared" si="30"/>
        <v>32.750000000000014</v>
      </c>
      <c r="W139" s="16">
        <f t="shared" si="24"/>
        <v>0</v>
      </c>
      <c r="X139" s="16" t="str">
        <f>VLOOKUP(B139,[1]Kundenübersicht!E:AG,MATCH($X$3,[1]Kundenübersicht!$E$3:$AY$3,0),FALSE)</f>
        <v>Alt</v>
      </c>
      <c r="Z139" s="20" t="str">
        <f t="shared" si="22"/>
        <v>Ja</v>
      </c>
      <c r="AA139" s="19">
        <v>45950</v>
      </c>
      <c r="AC139" s="19">
        <v>45967</v>
      </c>
      <c r="AE139" s="9">
        <f t="shared" si="31"/>
        <v>2025</v>
      </c>
      <c r="AF139" s="17" t="str">
        <f t="shared" si="32"/>
        <v>09.2025</v>
      </c>
      <c r="AG139" s="17" t="str">
        <f t="shared" si="33"/>
        <v>Christiane Fiebag</v>
      </c>
      <c r="AH139" s="17" t="str">
        <f>IFERROR(VLOOKUP(B139,[1]Kundenübersicht!$E$4:$F$85,2,FALSE),"")</f>
        <v>Wolfgang Nagler</v>
      </c>
      <c r="AI139" s="17" t="str">
        <f t="shared" si="25"/>
        <v>Hauswirtschaft</v>
      </c>
      <c r="AJ139" s="17" t="str">
        <f t="shared" si="25"/>
        <v>Entlastungsleistung</v>
      </c>
      <c r="AL139" s="18">
        <f t="shared" si="26"/>
        <v>38</v>
      </c>
      <c r="AM139" s="18">
        <f t="shared" si="27"/>
        <v>38.000000000000014</v>
      </c>
      <c r="AN139" s="18">
        <f t="shared" si="28"/>
        <v>0</v>
      </c>
    </row>
    <row r="140" spans="2:40" x14ac:dyDescent="0.25">
      <c r="B140" s="30" t="s">
        <v>59</v>
      </c>
      <c r="C140" s="31">
        <v>45919</v>
      </c>
      <c r="D140" s="32">
        <v>0.375</v>
      </c>
      <c r="E140" s="32">
        <v>0.4375</v>
      </c>
      <c r="F140" s="12">
        <f t="shared" si="29"/>
        <v>1.5</v>
      </c>
      <c r="G140" s="12"/>
      <c r="H140" s="30" t="s">
        <v>55</v>
      </c>
      <c r="I140" s="30" t="s">
        <v>27</v>
      </c>
      <c r="J140" s="30" t="s">
        <v>28</v>
      </c>
      <c r="K140" s="9" t="str">
        <f>VLOOKUP($B140,[1]Kundenübersicht!$E$4:$AC$1003,MATCH(K$3,[1]Kundenübersicht!$E$3:$BA$3,FALSE),FALSE)</f>
        <v>IKK Classic</v>
      </c>
      <c r="L140" s="13">
        <f>VLOOKUP(B140,[1]Kundenübersicht!$E$4:$AC$1003,MATCH(L$3,[1]Kundenübersicht!$E$3:$BA$3,FALSE),FALSE)</f>
        <v>187202793</v>
      </c>
      <c r="M140" s="13" t="str">
        <f>VLOOKUP(B140,[1]Kundenübersicht!$E$4:$AC$1003,MATCH(M$3,[1]Kundenübersicht!$E$3:$BA$3,FALSE),FALSE)</f>
        <v>E747849508</v>
      </c>
      <c r="N140" s="13" t="str">
        <f>VLOOKUP(B140,[1]Kundenübersicht!$E$4:$AC$1003,MATCH(N$3,[1]Kundenübersicht!$E$3:$BA$3,FALSE),FALSE)</f>
        <v>PG 3</v>
      </c>
      <c r="P140" s="9" t="s">
        <v>29</v>
      </c>
      <c r="R140" s="9" t="s">
        <v>30</v>
      </c>
      <c r="S140" s="14" t="s">
        <v>31</v>
      </c>
      <c r="U140" s="15">
        <f>IF(YEAR(C140)&lt;=2025,IFERROR(IF(I140="Hauswirtschaft",VLOOKUP($B140,[1]Kundenübersicht!$E$4:$BA$1003,MATCH("Hauswirtschaft [€/Stunde]",[1]Kundenübersicht!$E$3:$BA$3,FALSE),FALSE),VLOOKUP($B140,[1]Kundenübersicht!$E$4:$BA$1003,MATCH("Alltagsbegleitung [€/Stunde]",[1]Kundenübersicht!$E$3:$BA$3,FALSE),FALSE)),0),IFERROR(IF(I140="Hauswirtschaft",VLOOKUP($B140,[1]Kundenübersicht!$E$4:$BA$1003,MATCH("HW ab 2026 [€/Stunde]",[1]Kundenübersicht!$E$3:$BA$3,FALSE),FALSE),VLOOKUP($B140,[1]Kundenübersicht!$E$4:$BA$1003,MATCH("Alltagsbegleitung [€/Stunde]",[1]Kundenübersicht!$E$3:$BA$3,FALSE),FALSE)),0))</f>
        <v>32.75</v>
      </c>
      <c r="V140" s="16">
        <f t="shared" si="30"/>
        <v>49.125</v>
      </c>
      <c r="W140" s="16">
        <f t="shared" si="24"/>
        <v>0</v>
      </c>
      <c r="X140" s="16" t="str">
        <f>VLOOKUP(B140,[1]Kundenübersicht!E:AG,MATCH($X$3,[1]Kundenübersicht!$E$3:$AY$3,0),FALSE)</f>
        <v>Alt</v>
      </c>
      <c r="Z140" s="20" t="str">
        <f t="shared" si="22"/>
        <v>Ja</v>
      </c>
      <c r="AA140" s="19">
        <v>45950</v>
      </c>
      <c r="AC140" s="19">
        <v>45967</v>
      </c>
      <c r="AE140" s="9">
        <f t="shared" si="31"/>
        <v>2025</v>
      </c>
      <c r="AF140" s="17" t="str">
        <f t="shared" si="32"/>
        <v>09.2025</v>
      </c>
      <c r="AG140" s="17" t="str">
        <f t="shared" si="33"/>
        <v>Doreen Luzyna</v>
      </c>
      <c r="AH140" s="17" t="str">
        <f>IFERROR(VLOOKUP(B140,[1]Kundenübersicht!$E$4:$F$85,2,FALSE),"")</f>
        <v>Anita Fischer</v>
      </c>
      <c r="AI140" s="17" t="str">
        <f t="shared" si="25"/>
        <v>Hauswirtschaft</v>
      </c>
      <c r="AJ140" s="17" t="str">
        <f t="shared" si="25"/>
        <v>Entlastungsleistung</v>
      </c>
      <c r="AL140" s="18">
        <f t="shared" si="26"/>
        <v>38</v>
      </c>
      <c r="AM140" s="18">
        <f t="shared" si="27"/>
        <v>57</v>
      </c>
      <c r="AN140" s="18">
        <f t="shared" si="28"/>
        <v>0</v>
      </c>
    </row>
    <row r="141" spans="2:40" x14ac:dyDescent="0.25">
      <c r="B141" s="30" t="s">
        <v>39</v>
      </c>
      <c r="C141" s="31">
        <v>45904</v>
      </c>
      <c r="D141" s="32">
        <v>0.5625</v>
      </c>
      <c r="E141" s="32">
        <v>0.60416666666666663</v>
      </c>
      <c r="F141" s="12">
        <f t="shared" si="29"/>
        <v>0.99999999999999911</v>
      </c>
      <c r="G141" s="12"/>
      <c r="H141" s="30" t="s">
        <v>40</v>
      </c>
      <c r="I141" s="30" t="s">
        <v>41</v>
      </c>
      <c r="J141" s="30" t="s">
        <v>28</v>
      </c>
      <c r="K141" s="9" t="str">
        <f>VLOOKUP($B141,[1]Kundenübersicht!$E$4:$AC$1003,MATCH(K$3,[1]Kundenübersicht!$E$3:$BA$3,FALSE),FALSE)</f>
        <v>AOK PLUS</v>
      </c>
      <c r="L141" s="13">
        <f>VLOOKUP(B141,[1]Kundenübersicht!$E$4:$AC$1003,MATCH(L$3,[1]Kundenübersicht!$E$3:$BA$3,FALSE),FALSE)</f>
        <v>107299005</v>
      </c>
      <c r="M141" s="13" t="str">
        <f>VLOOKUP(B141,[1]Kundenübersicht!$E$4:$AC$1003,MATCH(M$3,[1]Kundenübersicht!$E$3:$BA$3,FALSE),FALSE)</f>
        <v>Q445657677</v>
      </c>
      <c r="N141" s="13" t="str">
        <f>VLOOKUP(B141,[1]Kundenübersicht!$E$4:$AC$1003,MATCH(N$3,[1]Kundenübersicht!$E$3:$BA$3,FALSE),FALSE)</f>
        <v>PG 2</v>
      </c>
      <c r="P141" s="9" t="s">
        <v>29</v>
      </c>
      <c r="R141" s="9" t="s">
        <v>30</v>
      </c>
      <c r="S141" s="14" t="s">
        <v>31</v>
      </c>
      <c r="U141" s="15">
        <f>IF(YEAR(C141)&lt;=2025,IFERROR(IF(I141="Hauswirtschaft",VLOOKUP($B141,[1]Kundenübersicht!$E$4:$BA$1003,MATCH("Hauswirtschaft [€/Stunde]",[1]Kundenübersicht!$E$3:$BA$3,FALSE),FALSE),VLOOKUP($B141,[1]Kundenübersicht!$E$4:$BA$1003,MATCH("Alltagsbegleitung [€/Stunde]",[1]Kundenübersicht!$E$3:$BA$3,FALSE),FALSE)),0),IFERROR(IF(I141="Hauswirtschaft",VLOOKUP($B141,[1]Kundenübersicht!$E$4:$BA$1003,MATCH("HW ab 2026 [€/Stunde]",[1]Kundenübersicht!$E$3:$BA$3,FALSE),FALSE),VLOOKUP($B141,[1]Kundenübersicht!$E$4:$BA$1003,MATCH("Alltagsbegleitung [€/Stunde]",[1]Kundenübersicht!$E$3:$BA$3,FALSE),FALSE)),0))</f>
        <v>42</v>
      </c>
      <c r="V141" s="16">
        <f t="shared" si="30"/>
        <v>41.999999999999964</v>
      </c>
      <c r="W141" s="16">
        <f t="shared" si="24"/>
        <v>0</v>
      </c>
      <c r="X141" s="16" t="str">
        <f>VLOOKUP(B141,[1]Kundenübersicht!E:AG,MATCH($X$3,[1]Kundenübersicht!$E$3:$AY$3,0),FALSE)</f>
        <v>Alt</v>
      </c>
      <c r="Z141" s="20" t="str">
        <f t="shared" si="22"/>
        <v>Ja</v>
      </c>
      <c r="AA141" s="19">
        <v>45950</v>
      </c>
      <c r="AC141" s="19">
        <v>45975</v>
      </c>
      <c r="AE141" s="9">
        <f t="shared" si="31"/>
        <v>2025</v>
      </c>
      <c r="AF141" s="17" t="str">
        <f t="shared" si="32"/>
        <v>09.2025</v>
      </c>
      <c r="AG141" s="17" t="str">
        <f t="shared" si="33"/>
        <v>Franziska Wächtler</v>
      </c>
      <c r="AH141" s="17" t="str">
        <f>IFERROR(VLOOKUP(B141,[1]Kundenübersicht!$E$4:$F$85,2,FALSE),"")</f>
        <v>Helga Dienelt</v>
      </c>
      <c r="AI141" s="17" t="str">
        <f t="shared" si="25"/>
        <v>Alltagsbegleitung</v>
      </c>
      <c r="AJ141" s="17" t="str">
        <f t="shared" si="25"/>
        <v>Entlastungsleistung</v>
      </c>
      <c r="AL141" s="18">
        <f t="shared" si="26"/>
        <v>42</v>
      </c>
      <c r="AM141" s="18">
        <f t="shared" si="27"/>
        <v>41.999999999999964</v>
      </c>
      <c r="AN141" s="18">
        <f t="shared" si="28"/>
        <v>0</v>
      </c>
    </row>
    <row r="142" spans="2:40" x14ac:dyDescent="0.25">
      <c r="B142" s="30" t="s">
        <v>39</v>
      </c>
      <c r="C142" s="31">
        <v>45916</v>
      </c>
      <c r="D142" s="32">
        <v>0.64583333333333337</v>
      </c>
      <c r="E142" s="32">
        <v>0.6875</v>
      </c>
      <c r="F142" s="12">
        <f t="shared" si="29"/>
        <v>0.99999999999999911</v>
      </c>
      <c r="G142" s="12"/>
      <c r="H142" s="30" t="s">
        <v>40</v>
      </c>
      <c r="I142" s="30" t="s">
        <v>41</v>
      </c>
      <c r="J142" s="30" t="s">
        <v>28</v>
      </c>
      <c r="K142" s="9" t="str">
        <f>VLOOKUP($B142,[1]Kundenübersicht!$E$4:$AC$1003,MATCH(K$3,[1]Kundenübersicht!$E$3:$BA$3,FALSE),FALSE)</f>
        <v>AOK PLUS</v>
      </c>
      <c r="L142" s="13">
        <f>VLOOKUP(B142,[1]Kundenübersicht!$E$4:$AC$1003,MATCH(L$3,[1]Kundenübersicht!$E$3:$BA$3,FALSE),FALSE)</f>
        <v>107299005</v>
      </c>
      <c r="M142" s="13" t="str">
        <f>VLOOKUP(B142,[1]Kundenübersicht!$E$4:$AC$1003,MATCH(M$3,[1]Kundenübersicht!$E$3:$BA$3,FALSE),FALSE)</f>
        <v>Q445657677</v>
      </c>
      <c r="N142" s="13" t="str">
        <f>VLOOKUP(B142,[1]Kundenübersicht!$E$4:$AC$1003,MATCH(N$3,[1]Kundenübersicht!$E$3:$BA$3,FALSE),FALSE)</f>
        <v>PG 2</v>
      </c>
      <c r="P142" s="9" t="s">
        <v>29</v>
      </c>
      <c r="R142" s="9" t="s">
        <v>30</v>
      </c>
      <c r="S142" s="14" t="s">
        <v>31</v>
      </c>
      <c r="U142" s="15">
        <f>IF(YEAR(C142)&lt;=2025,IFERROR(IF(I142="Hauswirtschaft",VLOOKUP($B142,[1]Kundenübersicht!$E$4:$BA$1003,MATCH("Hauswirtschaft [€/Stunde]",[1]Kundenübersicht!$E$3:$BA$3,FALSE),FALSE),VLOOKUP($B142,[1]Kundenübersicht!$E$4:$BA$1003,MATCH("Alltagsbegleitung [€/Stunde]",[1]Kundenübersicht!$E$3:$BA$3,FALSE),FALSE)),0),IFERROR(IF(I142="Hauswirtschaft",VLOOKUP($B142,[1]Kundenübersicht!$E$4:$BA$1003,MATCH("HW ab 2026 [€/Stunde]",[1]Kundenübersicht!$E$3:$BA$3,FALSE),FALSE),VLOOKUP($B142,[1]Kundenübersicht!$E$4:$BA$1003,MATCH("Alltagsbegleitung [€/Stunde]",[1]Kundenübersicht!$E$3:$BA$3,FALSE),FALSE)),0))</f>
        <v>42</v>
      </c>
      <c r="V142" s="16">
        <f t="shared" si="30"/>
        <v>41.999999999999964</v>
      </c>
      <c r="W142" s="16">
        <f t="shared" si="24"/>
        <v>0</v>
      </c>
      <c r="X142" s="16" t="str">
        <f>VLOOKUP(B142,[1]Kundenübersicht!E:AG,MATCH($X$3,[1]Kundenübersicht!$E$3:$AY$3,0),FALSE)</f>
        <v>Alt</v>
      </c>
      <c r="Z142" s="20" t="str">
        <f t="shared" si="22"/>
        <v>Ja</v>
      </c>
      <c r="AA142" s="19">
        <v>45950</v>
      </c>
      <c r="AC142" s="19">
        <v>45975</v>
      </c>
      <c r="AE142" s="9">
        <f t="shared" si="31"/>
        <v>2025</v>
      </c>
      <c r="AF142" s="17" t="str">
        <f t="shared" si="32"/>
        <v>09.2025</v>
      </c>
      <c r="AG142" s="17" t="str">
        <f t="shared" si="33"/>
        <v>Franziska Wächtler</v>
      </c>
      <c r="AH142" s="17" t="str">
        <f>IFERROR(VLOOKUP(B142,[1]Kundenübersicht!$E$4:$F$85,2,FALSE),"")</f>
        <v>Helga Dienelt</v>
      </c>
      <c r="AI142" s="17" t="str">
        <f t="shared" si="25"/>
        <v>Alltagsbegleitung</v>
      </c>
      <c r="AJ142" s="17" t="str">
        <f t="shared" si="25"/>
        <v>Entlastungsleistung</v>
      </c>
      <c r="AL142" s="18">
        <f t="shared" si="26"/>
        <v>42</v>
      </c>
      <c r="AM142" s="18">
        <f t="shared" si="27"/>
        <v>41.999999999999964</v>
      </c>
      <c r="AN142" s="18">
        <f t="shared" si="28"/>
        <v>0</v>
      </c>
    </row>
    <row r="143" spans="2:40" x14ac:dyDescent="0.25">
      <c r="B143" s="30" t="s">
        <v>67</v>
      </c>
      <c r="C143" s="31">
        <v>45919</v>
      </c>
      <c r="D143" s="32">
        <v>0.35416666666666669</v>
      </c>
      <c r="E143" s="32">
        <v>0.39583333333333331</v>
      </c>
      <c r="F143" s="12">
        <f t="shared" si="29"/>
        <v>0.99999999999999911</v>
      </c>
      <c r="G143" s="35">
        <v>4</v>
      </c>
      <c r="H143" s="30" t="s">
        <v>64</v>
      </c>
      <c r="I143" s="30" t="s">
        <v>27</v>
      </c>
      <c r="J143" s="30" t="s">
        <v>28</v>
      </c>
      <c r="K143" s="9" t="str">
        <f>VLOOKUP($B143,[1]Kundenübersicht!$E$4:$AC$1003,MATCH(K$3,[1]Kundenübersicht!$E$3:$BA$3,FALSE),FALSE)</f>
        <v>Barmer Pflegekasse</v>
      </c>
      <c r="L143" s="13">
        <f>VLOOKUP(B143,[1]Kundenübersicht!$E$4:$AC$1003,MATCH(L$3,[1]Kundenübersicht!$E$3:$BA$3,FALSE),FALSE)</f>
        <v>184940005</v>
      </c>
      <c r="M143" s="13" t="str">
        <f>VLOOKUP(B143,[1]Kundenübersicht!$E$4:$AC$1003,MATCH(M$3,[1]Kundenübersicht!$E$3:$BA$3,FALSE),FALSE)</f>
        <v>K535388327</v>
      </c>
      <c r="N143" s="13" t="str">
        <f>VLOOKUP(B143,[1]Kundenübersicht!$E$4:$AC$1003,MATCH(N$3,[1]Kundenübersicht!$E$3:$BA$3,FALSE),FALSE)</f>
        <v>PG 2</v>
      </c>
      <c r="P143" s="9" t="s">
        <v>29</v>
      </c>
      <c r="R143" s="9" t="s">
        <v>30</v>
      </c>
      <c r="S143" s="14" t="s">
        <v>31</v>
      </c>
      <c r="U143" s="15">
        <f>IF(YEAR(C143)&lt;=2025,IFERROR(IF(I143="Hauswirtschaft",VLOOKUP($B143,[1]Kundenübersicht!$E$4:$BA$1003,MATCH("Hauswirtschaft [€/Stunde]",[1]Kundenübersicht!$E$3:$BA$3,FALSE),FALSE),VLOOKUP($B143,[1]Kundenübersicht!$E$4:$BA$1003,MATCH("Alltagsbegleitung [€/Stunde]",[1]Kundenübersicht!$E$3:$BA$3,FALSE),FALSE)),0),IFERROR(IF(I143="Hauswirtschaft",VLOOKUP($B143,[1]Kundenübersicht!$E$4:$BA$1003,MATCH("HW ab 2026 [€/Stunde]",[1]Kundenübersicht!$E$3:$BA$3,FALSE),FALSE),VLOOKUP($B143,[1]Kundenübersicht!$E$4:$BA$1003,MATCH("Alltagsbegleitung [€/Stunde]",[1]Kundenübersicht!$E$3:$BA$3,FALSE),FALSE)),0))</f>
        <v>32.75</v>
      </c>
      <c r="V143" s="16">
        <f t="shared" si="30"/>
        <v>32.749999999999972</v>
      </c>
      <c r="W143" s="16">
        <f t="shared" si="24"/>
        <v>0</v>
      </c>
      <c r="X143" s="16" t="str">
        <f>VLOOKUP(B143,[1]Kundenübersicht!E:AG,MATCH($X$3,[1]Kundenübersicht!$E$3:$AY$3,0),FALSE)</f>
        <v>Alt</v>
      </c>
      <c r="Z143" s="20" t="str">
        <f t="shared" si="22"/>
        <v>Ja</v>
      </c>
      <c r="AA143" s="19">
        <v>45959</v>
      </c>
      <c r="AC143" s="19"/>
      <c r="AE143" s="9">
        <f t="shared" si="31"/>
        <v>2025</v>
      </c>
      <c r="AF143" s="17" t="str">
        <f t="shared" si="32"/>
        <v>09.2025</v>
      </c>
      <c r="AG143" s="17" t="str">
        <f t="shared" si="33"/>
        <v>Ursula Ullmann</v>
      </c>
      <c r="AH143" s="17" t="str">
        <f>IFERROR(VLOOKUP(B143,[1]Kundenübersicht!$E$4:$F$85,2,FALSE),"")</f>
        <v>Luzia Pohlers</v>
      </c>
      <c r="AI143" s="17" t="str">
        <f t="shared" si="25"/>
        <v>Hauswirtschaft</v>
      </c>
      <c r="AJ143" s="17" t="str">
        <f t="shared" si="25"/>
        <v>Entlastungsleistung</v>
      </c>
      <c r="AL143" s="18">
        <f t="shared" si="26"/>
        <v>38</v>
      </c>
      <c r="AM143" s="18">
        <f t="shared" si="27"/>
        <v>37.999999999999964</v>
      </c>
      <c r="AN143" s="18">
        <f t="shared" si="28"/>
        <v>1.4</v>
      </c>
    </row>
    <row r="144" spans="2:40" x14ac:dyDescent="0.25">
      <c r="B144" s="30" t="s">
        <v>66</v>
      </c>
      <c r="C144" s="31">
        <v>45919</v>
      </c>
      <c r="D144" s="32">
        <v>0.41666666666666669</v>
      </c>
      <c r="E144" s="32">
        <v>0.45833333333333331</v>
      </c>
      <c r="F144" s="12">
        <f t="shared" si="29"/>
        <v>0.99999999999999911</v>
      </c>
      <c r="G144" s="34">
        <v>6</v>
      </c>
      <c r="H144" s="30" t="s">
        <v>64</v>
      </c>
      <c r="I144" s="30" t="s">
        <v>27</v>
      </c>
      <c r="J144" s="30" t="s">
        <v>28</v>
      </c>
      <c r="K144" s="9" t="str">
        <f>VLOOKUP($B144,[1]Kundenübersicht!$E$4:$AC$1003,MATCH(K$3,[1]Kundenübersicht!$E$3:$BA$3,FALSE),FALSE)</f>
        <v>KNAPPSCHAFT</v>
      </c>
      <c r="L144" s="13">
        <f>VLOOKUP(B144,[1]Kundenübersicht!$E$4:$AC$1003,MATCH(L$3,[1]Kundenübersicht!$E$3:$BA$3,FALSE),FALSE)</f>
        <v>109990508</v>
      </c>
      <c r="M144" s="13" t="str">
        <f>VLOOKUP(B144,[1]Kundenübersicht!$E$4:$AC$1003,MATCH(M$3,[1]Kundenübersicht!$E$3:$BA$3,FALSE),FALSE)</f>
        <v>F167156079</v>
      </c>
      <c r="N144" s="13" t="str">
        <f>VLOOKUP(B144,[1]Kundenübersicht!$E$4:$AC$1003,MATCH(N$3,[1]Kundenübersicht!$E$3:$BA$3,FALSE),FALSE)</f>
        <v>PG 2</v>
      </c>
      <c r="P144" s="9" t="s">
        <v>29</v>
      </c>
      <c r="R144" s="9" t="s">
        <v>30</v>
      </c>
      <c r="S144" s="14" t="s">
        <v>31</v>
      </c>
      <c r="U144" s="15">
        <f>IF(YEAR(C144)&lt;=2025,IFERROR(IF(I144="Hauswirtschaft",VLOOKUP($B144,[1]Kundenübersicht!$E$4:$BA$1003,MATCH("Hauswirtschaft [€/Stunde]",[1]Kundenübersicht!$E$3:$BA$3,FALSE),FALSE),VLOOKUP($B144,[1]Kundenübersicht!$E$4:$BA$1003,MATCH("Alltagsbegleitung [€/Stunde]",[1]Kundenübersicht!$E$3:$BA$3,FALSE),FALSE)),0),IFERROR(IF(I144="Hauswirtschaft",VLOOKUP($B144,[1]Kundenübersicht!$E$4:$BA$1003,MATCH("HW ab 2026 [€/Stunde]",[1]Kundenübersicht!$E$3:$BA$3,FALSE),FALSE),VLOOKUP($B144,[1]Kundenübersicht!$E$4:$BA$1003,MATCH("Alltagsbegleitung [€/Stunde]",[1]Kundenübersicht!$E$3:$BA$3,FALSE),FALSE)),0))</f>
        <v>38</v>
      </c>
      <c r="V144" s="16">
        <f t="shared" si="30"/>
        <v>37.999999999999964</v>
      </c>
      <c r="W144" s="16">
        <f t="shared" si="24"/>
        <v>2.0999999999999996</v>
      </c>
      <c r="X144" s="16" t="str">
        <f>VLOOKUP(B144,[1]Kundenübersicht!E:AG,MATCH($X$3,[1]Kundenübersicht!$E$3:$AY$3,0),FALSE)</f>
        <v>Neu</v>
      </c>
      <c r="Z144" s="20" t="str">
        <f t="shared" si="22"/>
        <v>Ja</v>
      </c>
      <c r="AA144" s="19">
        <v>45950</v>
      </c>
      <c r="AC144" s="10">
        <v>45972</v>
      </c>
      <c r="AE144" s="9">
        <f t="shared" si="31"/>
        <v>2025</v>
      </c>
      <c r="AF144" s="17" t="str">
        <f t="shared" si="32"/>
        <v>09.2025</v>
      </c>
      <c r="AG144" s="17" t="str">
        <f t="shared" si="33"/>
        <v>Ursula Ullmann</v>
      </c>
      <c r="AH144" s="17" t="str">
        <f>IFERROR(VLOOKUP(B144,[1]Kundenübersicht!$E$4:$F$85,2,FALSE),"")</f>
        <v>Sigrid Müller</v>
      </c>
      <c r="AI144" s="17" t="str">
        <f t="shared" si="25"/>
        <v>Hauswirtschaft</v>
      </c>
      <c r="AJ144" s="17" t="str">
        <f t="shared" si="25"/>
        <v>Entlastungsleistung</v>
      </c>
      <c r="AL144" s="18">
        <f t="shared" si="26"/>
        <v>38</v>
      </c>
      <c r="AM144" s="18">
        <f t="shared" si="27"/>
        <v>37.999999999999964</v>
      </c>
      <c r="AN144" s="18">
        <f t="shared" si="28"/>
        <v>2.0999999999999996</v>
      </c>
    </row>
    <row r="145" spans="2:40" x14ac:dyDescent="0.25">
      <c r="B145" s="30" t="s">
        <v>34</v>
      </c>
      <c r="C145" s="31">
        <v>45922</v>
      </c>
      <c r="D145" s="32">
        <v>0.45833333333333331</v>
      </c>
      <c r="E145" s="32">
        <v>0.54166666666666663</v>
      </c>
      <c r="F145" s="12">
        <f t="shared" si="29"/>
        <v>1.9999999999999996</v>
      </c>
      <c r="G145" s="12"/>
      <c r="H145" s="30" t="s">
        <v>33</v>
      </c>
      <c r="I145" s="30" t="s">
        <v>27</v>
      </c>
      <c r="J145" s="30" t="s">
        <v>28</v>
      </c>
      <c r="K145" s="9" t="str">
        <f>VLOOKUP($B145,[1]Kundenübersicht!$E$4:$AC$1003,MATCH(K$3,[1]Kundenübersicht!$E$3:$BA$3,FALSE),FALSE)</f>
        <v>AOK PLUS</v>
      </c>
      <c r="L145" s="13">
        <f>VLOOKUP(B145,[1]Kundenübersicht!$E$4:$AC$1003,MATCH(L$3,[1]Kundenübersicht!$E$3:$BA$3,FALSE),FALSE)</f>
        <v>107299005</v>
      </c>
      <c r="M145" s="13" t="str">
        <f>VLOOKUP(B145,[1]Kundenübersicht!$E$4:$AC$1003,MATCH(M$3,[1]Kundenübersicht!$E$3:$BA$3,FALSE),FALSE)</f>
        <v>R234942678</v>
      </c>
      <c r="N145" s="13" t="str">
        <f>VLOOKUP(B145,[1]Kundenübersicht!$E$4:$AC$1003,MATCH(N$3,[1]Kundenübersicht!$E$3:$BA$3,FALSE),FALSE)</f>
        <v>PG 2</v>
      </c>
      <c r="P145" s="9" t="s">
        <v>29</v>
      </c>
      <c r="R145" s="9" t="s">
        <v>30</v>
      </c>
      <c r="S145" s="14" t="s">
        <v>31</v>
      </c>
      <c r="U145" s="15">
        <f>IF(YEAR(C145)&lt;=2025,IFERROR(IF(I145="Hauswirtschaft",VLOOKUP($B145,[1]Kundenübersicht!$E$4:$BA$1003,MATCH("Hauswirtschaft [€/Stunde]",[1]Kundenübersicht!$E$3:$BA$3,FALSE),FALSE),VLOOKUP($B145,[1]Kundenübersicht!$E$4:$BA$1003,MATCH("Alltagsbegleitung [€/Stunde]",[1]Kundenübersicht!$E$3:$BA$3,FALSE),FALSE)),0),IFERROR(IF(I145="Hauswirtschaft",VLOOKUP($B145,[1]Kundenübersicht!$E$4:$BA$1003,MATCH("HW ab 2026 [€/Stunde]",[1]Kundenübersicht!$E$3:$BA$3,FALSE),FALSE),VLOOKUP($B145,[1]Kundenübersicht!$E$4:$BA$1003,MATCH("Alltagsbegleitung [€/Stunde]",[1]Kundenübersicht!$E$3:$BA$3,FALSE),FALSE)),0))</f>
        <v>32.75</v>
      </c>
      <c r="V145" s="16">
        <f t="shared" si="30"/>
        <v>65.499999999999986</v>
      </c>
      <c r="W145" s="16">
        <f t="shared" si="24"/>
        <v>0</v>
      </c>
      <c r="X145" s="16" t="str">
        <f>VLOOKUP(B145,[1]Kundenübersicht!E:AG,MATCH($X$3,[1]Kundenübersicht!$E$3:$AY$3,0),FALSE)</f>
        <v>Alt</v>
      </c>
      <c r="Z145" s="20" t="str">
        <f t="shared" si="22"/>
        <v>Ja</v>
      </c>
      <c r="AA145" s="19">
        <v>45950</v>
      </c>
      <c r="AC145" s="19">
        <v>45975</v>
      </c>
      <c r="AE145" s="9">
        <f t="shared" si="31"/>
        <v>2025</v>
      </c>
      <c r="AF145" s="17" t="str">
        <f t="shared" si="32"/>
        <v>09.2025</v>
      </c>
      <c r="AG145" s="17" t="str">
        <f t="shared" si="33"/>
        <v>Christiane Fiebag</v>
      </c>
      <c r="AH145" s="17" t="str">
        <f>IFERROR(VLOOKUP(B145,[1]Kundenübersicht!$E$4:$F$85,2,FALSE),"")</f>
        <v>Dieter Berghold</v>
      </c>
      <c r="AI145" s="17" t="str">
        <f t="shared" si="25"/>
        <v>Hauswirtschaft</v>
      </c>
      <c r="AJ145" s="17" t="str">
        <f t="shared" si="25"/>
        <v>Entlastungsleistung</v>
      </c>
      <c r="AL145" s="18">
        <f t="shared" si="26"/>
        <v>38</v>
      </c>
      <c r="AM145" s="18">
        <f t="shared" si="27"/>
        <v>75.999999999999986</v>
      </c>
      <c r="AN145" s="18">
        <f t="shared" si="28"/>
        <v>0</v>
      </c>
    </row>
    <row r="146" spans="2:40" x14ac:dyDescent="0.25">
      <c r="B146" s="30" t="s">
        <v>61</v>
      </c>
      <c r="C146" s="31">
        <v>45923</v>
      </c>
      <c r="D146" s="32">
        <v>0.39583333333333331</v>
      </c>
      <c r="E146" s="32">
        <v>0.4375</v>
      </c>
      <c r="F146" s="12">
        <f t="shared" si="29"/>
        <v>1.0000000000000004</v>
      </c>
      <c r="G146" s="12"/>
      <c r="H146" s="30" t="s">
        <v>55</v>
      </c>
      <c r="I146" s="30" t="s">
        <v>27</v>
      </c>
      <c r="J146" s="30" t="s">
        <v>28</v>
      </c>
      <c r="K146" s="9" t="str">
        <f>VLOOKUP($B146,[1]Kundenübersicht!$E$4:$AC$1003,MATCH(K$3,[1]Kundenübersicht!$E$3:$BA$3,FALSE),FALSE)</f>
        <v>AOK PLUS</v>
      </c>
      <c r="L146" s="13">
        <f>VLOOKUP(B146,[1]Kundenübersicht!$E$4:$AC$1003,MATCH(L$3,[1]Kundenübersicht!$E$3:$BA$3,FALSE),FALSE)</f>
        <v>107299005</v>
      </c>
      <c r="M146" s="13" t="str">
        <f>VLOOKUP(B146,[1]Kundenübersicht!$E$4:$AC$1003,MATCH(M$3,[1]Kundenübersicht!$E$3:$BA$3,FALSE),FALSE)</f>
        <v>F038854351</v>
      </c>
      <c r="N146" s="13" t="str">
        <f>VLOOKUP(B146,[1]Kundenübersicht!$E$4:$AC$1003,MATCH(N$3,[1]Kundenübersicht!$E$3:$BA$3,FALSE),FALSE)</f>
        <v>PG 3</v>
      </c>
      <c r="P146" s="9" t="s">
        <v>29</v>
      </c>
      <c r="R146" s="9" t="s">
        <v>30</v>
      </c>
      <c r="S146" s="14" t="s">
        <v>31</v>
      </c>
      <c r="U146" s="15">
        <f>IF(YEAR(C146)&lt;=2025,IFERROR(IF(I146="Hauswirtschaft",VLOOKUP($B146,[1]Kundenübersicht!$E$4:$BA$1003,MATCH("Hauswirtschaft [€/Stunde]",[1]Kundenübersicht!$E$3:$BA$3,FALSE),FALSE),VLOOKUP($B146,[1]Kundenübersicht!$E$4:$BA$1003,MATCH("Alltagsbegleitung [€/Stunde]",[1]Kundenübersicht!$E$3:$BA$3,FALSE),FALSE)),0),IFERROR(IF(I146="Hauswirtschaft",VLOOKUP($B146,[1]Kundenübersicht!$E$4:$BA$1003,MATCH("HW ab 2026 [€/Stunde]",[1]Kundenübersicht!$E$3:$BA$3,FALSE),FALSE),VLOOKUP($B146,[1]Kundenübersicht!$E$4:$BA$1003,MATCH("Alltagsbegleitung [€/Stunde]",[1]Kundenübersicht!$E$3:$BA$3,FALSE),FALSE)),0))</f>
        <v>32.75</v>
      </c>
      <c r="V146" s="16">
        <f t="shared" si="30"/>
        <v>32.750000000000014</v>
      </c>
      <c r="W146" s="16">
        <f t="shared" si="24"/>
        <v>0</v>
      </c>
      <c r="X146" s="16" t="str">
        <f>VLOOKUP(B146,[1]Kundenübersicht!E:AG,MATCH($X$3,[1]Kundenübersicht!$E$3:$AY$3,0),FALSE)</f>
        <v>Alt</v>
      </c>
      <c r="Z146" s="20" t="str">
        <f t="shared" si="22"/>
        <v>Ja</v>
      </c>
      <c r="AA146" s="19">
        <v>45950</v>
      </c>
      <c r="AC146" s="19">
        <v>45975</v>
      </c>
      <c r="AE146" s="9">
        <f t="shared" si="31"/>
        <v>2025</v>
      </c>
      <c r="AF146" s="17" t="str">
        <f t="shared" si="32"/>
        <v>09.2025</v>
      </c>
      <c r="AG146" s="17" t="str">
        <f t="shared" si="33"/>
        <v>Doreen Luzyna</v>
      </c>
      <c r="AH146" s="17" t="str">
        <f>IFERROR(VLOOKUP(B146,[1]Kundenübersicht!$E$4:$F$85,2,FALSE),"")</f>
        <v>Elke Mühle</v>
      </c>
      <c r="AI146" s="17" t="str">
        <f t="shared" si="25"/>
        <v>Hauswirtschaft</v>
      </c>
      <c r="AJ146" s="17" t="str">
        <f t="shared" si="25"/>
        <v>Entlastungsleistung</v>
      </c>
      <c r="AL146" s="18">
        <f t="shared" si="26"/>
        <v>38</v>
      </c>
      <c r="AM146" s="18">
        <f t="shared" si="27"/>
        <v>38.000000000000014</v>
      </c>
      <c r="AN146" s="18">
        <f t="shared" si="28"/>
        <v>0</v>
      </c>
    </row>
    <row r="147" spans="2:40" x14ac:dyDescent="0.25">
      <c r="B147" s="30" t="s">
        <v>39</v>
      </c>
      <c r="C147" s="31">
        <v>45923</v>
      </c>
      <c r="D147" s="32">
        <v>0.64583333333333337</v>
      </c>
      <c r="E147" s="32">
        <v>0.6875</v>
      </c>
      <c r="F147" s="12">
        <f t="shared" si="29"/>
        <v>0.99999999999999911</v>
      </c>
      <c r="G147" s="12"/>
      <c r="H147" s="30" t="s">
        <v>40</v>
      </c>
      <c r="I147" s="30" t="s">
        <v>41</v>
      </c>
      <c r="J147" s="30" t="s">
        <v>28</v>
      </c>
      <c r="K147" s="9" t="str">
        <f>VLOOKUP($B147,[1]Kundenübersicht!$E$4:$AC$1003,MATCH(K$3,[1]Kundenübersicht!$E$3:$BA$3,FALSE),FALSE)</f>
        <v>AOK PLUS</v>
      </c>
      <c r="L147" s="13">
        <f>VLOOKUP(B147,[1]Kundenübersicht!$E$4:$AC$1003,MATCH(L$3,[1]Kundenübersicht!$E$3:$BA$3,FALSE),FALSE)</f>
        <v>107299005</v>
      </c>
      <c r="M147" s="13" t="str">
        <f>VLOOKUP(B147,[1]Kundenübersicht!$E$4:$AC$1003,MATCH(M$3,[1]Kundenübersicht!$E$3:$BA$3,FALSE),FALSE)</f>
        <v>Q445657677</v>
      </c>
      <c r="N147" s="13" t="str">
        <f>VLOOKUP(B147,[1]Kundenübersicht!$E$4:$AC$1003,MATCH(N$3,[1]Kundenübersicht!$E$3:$BA$3,FALSE),FALSE)</f>
        <v>PG 2</v>
      </c>
      <c r="P147" s="9" t="s">
        <v>29</v>
      </c>
      <c r="R147" s="9" t="s">
        <v>30</v>
      </c>
      <c r="S147" s="14" t="s">
        <v>31</v>
      </c>
      <c r="U147" s="15">
        <f>IF(YEAR(C147)&lt;=2025,IFERROR(IF(I147="Hauswirtschaft",VLOOKUP($B147,[1]Kundenübersicht!$E$4:$BA$1003,MATCH("Hauswirtschaft [€/Stunde]",[1]Kundenübersicht!$E$3:$BA$3,FALSE),FALSE),VLOOKUP($B147,[1]Kundenübersicht!$E$4:$BA$1003,MATCH("Alltagsbegleitung [€/Stunde]",[1]Kundenübersicht!$E$3:$BA$3,FALSE),FALSE)),0),IFERROR(IF(I147="Hauswirtschaft",VLOOKUP($B147,[1]Kundenübersicht!$E$4:$BA$1003,MATCH("HW ab 2026 [€/Stunde]",[1]Kundenübersicht!$E$3:$BA$3,FALSE),FALSE),VLOOKUP($B147,[1]Kundenübersicht!$E$4:$BA$1003,MATCH("Alltagsbegleitung [€/Stunde]",[1]Kundenübersicht!$E$3:$BA$3,FALSE),FALSE)),0))</f>
        <v>42</v>
      </c>
      <c r="V147" s="16">
        <f t="shared" si="30"/>
        <v>41.999999999999964</v>
      </c>
      <c r="W147" s="16">
        <f t="shared" si="24"/>
        <v>0</v>
      </c>
      <c r="X147" s="16" t="str">
        <f>VLOOKUP(B147,[1]Kundenübersicht!E:AG,MATCH($X$3,[1]Kundenübersicht!$E$3:$AY$3,0),FALSE)</f>
        <v>Alt</v>
      </c>
      <c r="Z147" s="20" t="str">
        <f t="shared" si="22"/>
        <v>Ja</v>
      </c>
      <c r="AA147" s="19">
        <v>45950</v>
      </c>
      <c r="AC147" s="19">
        <v>45975</v>
      </c>
      <c r="AE147" s="9">
        <f t="shared" si="31"/>
        <v>2025</v>
      </c>
      <c r="AF147" s="17" t="str">
        <f t="shared" si="32"/>
        <v>09.2025</v>
      </c>
      <c r="AG147" s="17" t="str">
        <f t="shared" si="33"/>
        <v>Franziska Wächtler</v>
      </c>
      <c r="AH147" s="17" t="str">
        <f>IFERROR(VLOOKUP(B147,[1]Kundenübersicht!$E$4:$F$85,2,FALSE),"")</f>
        <v>Helga Dienelt</v>
      </c>
      <c r="AI147" s="17" t="str">
        <f t="shared" si="25"/>
        <v>Alltagsbegleitung</v>
      </c>
      <c r="AJ147" s="17" t="str">
        <f t="shared" si="25"/>
        <v>Entlastungsleistung</v>
      </c>
      <c r="AL147" s="18">
        <f t="shared" si="26"/>
        <v>42</v>
      </c>
      <c r="AM147" s="18">
        <f t="shared" si="27"/>
        <v>41.999999999999964</v>
      </c>
      <c r="AN147" s="18">
        <f t="shared" si="28"/>
        <v>0</v>
      </c>
    </row>
    <row r="148" spans="2:40" x14ac:dyDescent="0.25">
      <c r="B148" s="30" t="s">
        <v>44</v>
      </c>
      <c r="C148" s="31">
        <v>45923</v>
      </c>
      <c r="D148" s="32">
        <v>0.53125</v>
      </c>
      <c r="E148" s="32">
        <v>0.58333333333333337</v>
      </c>
      <c r="F148" s="12">
        <f t="shared" si="29"/>
        <v>1.2500000000000009</v>
      </c>
      <c r="G148" s="12"/>
      <c r="H148" s="30" t="s">
        <v>33</v>
      </c>
      <c r="I148" s="30" t="s">
        <v>27</v>
      </c>
      <c r="J148" s="30" t="s">
        <v>28</v>
      </c>
      <c r="K148" s="9" t="str">
        <f>VLOOKUP($B148,[1]Kundenübersicht!$E$4:$AC$1003,MATCH(K$3,[1]Kundenübersicht!$E$3:$BA$3,FALSE),FALSE)</f>
        <v>Barmer Pflegekasse</v>
      </c>
      <c r="L148" s="13">
        <f>VLOOKUP(B148,[1]Kundenübersicht!$E$4:$AC$1003,MATCH(L$3,[1]Kundenübersicht!$E$3:$BA$3,FALSE),FALSE)</f>
        <v>184940005</v>
      </c>
      <c r="M148" s="13" t="str">
        <f>VLOOKUP(B148,[1]Kundenübersicht!$E$4:$AC$1003,MATCH(M$3,[1]Kundenübersicht!$E$3:$BA$3,FALSE),FALSE)</f>
        <v>Y800652371</v>
      </c>
      <c r="N148" s="13" t="str">
        <f>VLOOKUP(B148,[1]Kundenübersicht!$E$4:$AC$1003,MATCH(N$3,[1]Kundenübersicht!$E$3:$BA$3,FALSE),FALSE)</f>
        <v>PG 1</v>
      </c>
      <c r="P148" s="9" t="s">
        <v>29</v>
      </c>
      <c r="R148" s="9" t="s">
        <v>30</v>
      </c>
      <c r="S148" s="14" t="s">
        <v>31</v>
      </c>
      <c r="U148" s="15">
        <f>IF(YEAR(C148)&lt;=2025,IFERROR(IF(I148="Hauswirtschaft",VLOOKUP($B148,[1]Kundenübersicht!$E$4:$BA$1003,MATCH("Hauswirtschaft [€/Stunde]",[1]Kundenübersicht!$E$3:$BA$3,FALSE),FALSE),VLOOKUP($B148,[1]Kundenübersicht!$E$4:$BA$1003,MATCH("Alltagsbegleitung [€/Stunde]",[1]Kundenübersicht!$E$3:$BA$3,FALSE),FALSE)),0),IFERROR(IF(I148="Hauswirtschaft",VLOOKUP($B148,[1]Kundenübersicht!$E$4:$BA$1003,MATCH("HW ab 2026 [€/Stunde]",[1]Kundenübersicht!$E$3:$BA$3,FALSE),FALSE),VLOOKUP($B148,[1]Kundenübersicht!$E$4:$BA$1003,MATCH("Alltagsbegleitung [€/Stunde]",[1]Kundenübersicht!$E$3:$BA$3,FALSE),FALSE)),0))</f>
        <v>32.75</v>
      </c>
      <c r="V148" s="16">
        <f t="shared" si="30"/>
        <v>40.937500000000028</v>
      </c>
      <c r="W148" s="16">
        <f t="shared" si="24"/>
        <v>0</v>
      </c>
      <c r="X148" s="16" t="str">
        <f>VLOOKUP(B148,[1]Kundenübersicht!E:AG,MATCH($X$3,[1]Kundenübersicht!$E$3:$AY$3,0),FALSE)</f>
        <v>Alt</v>
      </c>
      <c r="Z148" s="20" t="str">
        <f t="shared" si="22"/>
        <v>Ja</v>
      </c>
      <c r="AA148" s="19">
        <v>45959</v>
      </c>
      <c r="AC148" s="19">
        <v>46031</v>
      </c>
      <c r="AE148" s="9">
        <f t="shared" si="31"/>
        <v>2025</v>
      </c>
      <c r="AF148" s="17" t="str">
        <f t="shared" si="32"/>
        <v>09.2025</v>
      </c>
      <c r="AG148" s="17" t="str">
        <f t="shared" si="33"/>
        <v>Christiane Fiebag</v>
      </c>
      <c r="AH148" s="17" t="str">
        <f>IFERROR(VLOOKUP(B148,[1]Kundenübersicht!$E$4:$F$85,2,FALSE),"")</f>
        <v>Dieter Kraft</v>
      </c>
      <c r="AI148" s="17" t="str">
        <f t="shared" si="25"/>
        <v>Hauswirtschaft</v>
      </c>
      <c r="AJ148" s="17" t="str">
        <f t="shared" si="25"/>
        <v>Entlastungsleistung</v>
      </c>
      <c r="AL148" s="18">
        <f t="shared" si="26"/>
        <v>38</v>
      </c>
      <c r="AM148" s="18">
        <f t="shared" si="27"/>
        <v>47.500000000000036</v>
      </c>
      <c r="AN148" s="18">
        <f t="shared" si="28"/>
        <v>0</v>
      </c>
    </row>
    <row r="149" spans="2:40" x14ac:dyDescent="0.25">
      <c r="B149" s="30" t="s">
        <v>52</v>
      </c>
      <c r="C149" s="31">
        <v>45924</v>
      </c>
      <c r="D149" s="32">
        <v>0.33333333333333331</v>
      </c>
      <c r="E149" s="32">
        <v>0.41666666666666669</v>
      </c>
      <c r="F149" s="12">
        <f t="shared" si="29"/>
        <v>2.0000000000000009</v>
      </c>
      <c r="G149" s="12"/>
      <c r="H149" s="30" t="s">
        <v>33</v>
      </c>
      <c r="I149" s="30" t="s">
        <v>27</v>
      </c>
      <c r="J149" s="30" t="s">
        <v>28</v>
      </c>
      <c r="K149" s="9" t="str">
        <f>VLOOKUP($B149,[1]Kundenübersicht!$E$4:$AC$1003,MATCH(K$3,[1]Kundenübersicht!$E$3:$BA$3,FALSE),FALSE)</f>
        <v>AOK PLUS</v>
      </c>
      <c r="L149" s="13">
        <f>VLOOKUP(B149,[1]Kundenübersicht!$E$4:$AC$1003,MATCH(L$3,[1]Kundenübersicht!$E$3:$BA$3,FALSE),FALSE)</f>
        <v>107299005</v>
      </c>
      <c r="M149" s="13" t="str">
        <f>VLOOKUP(B149,[1]Kundenübersicht!$E$4:$AC$1003,MATCH(M$3,[1]Kundenübersicht!$E$3:$BA$3,FALSE),FALSE)</f>
        <v>G562042888</v>
      </c>
      <c r="N149" s="13" t="str">
        <f>VLOOKUP(B149,[1]Kundenübersicht!$E$4:$AC$1003,MATCH(N$3,[1]Kundenübersicht!$E$3:$BA$3,FALSE),FALSE)</f>
        <v>PG 2</v>
      </c>
      <c r="P149" s="9" t="s">
        <v>29</v>
      </c>
      <c r="R149" s="9" t="s">
        <v>30</v>
      </c>
      <c r="S149" s="14" t="s">
        <v>31</v>
      </c>
      <c r="U149" s="15">
        <f>IF(YEAR(C149)&lt;=2025,IFERROR(IF(I149="Hauswirtschaft",VLOOKUP($B149,[1]Kundenübersicht!$E$4:$BA$1003,MATCH("Hauswirtschaft [€/Stunde]",[1]Kundenübersicht!$E$3:$BA$3,FALSE),FALSE),VLOOKUP($B149,[1]Kundenübersicht!$E$4:$BA$1003,MATCH("Alltagsbegleitung [€/Stunde]",[1]Kundenübersicht!$E$3:$BA$3,FALSE),FALSE)),0),IFERROR(IF(I149="Hauswirtschaft",VLOOKUP($B149,[1]Kundenübersicht!$E$4:$BA$1003,MATCH("HW ab 2026 [€/Stunde]",[1]Kundenübersicht!$E$3:$BA$3,FALSE),FALSE),VLOOKUP($B149,[1]Kundenübersicht!$E$4:$BA$1003,MATCH("Alltagsbegleitung [€/Stunde]",[1]Kundenübersicht!$E$3:$BA$3,FALSE),FALSE)),0))</f>
        <v>32.75</v>
      </c>
      <c r="V149" s="16">
        <f t="shared" si="30"/>
        <v>65.500000000000028</v>
      </c>
      <c r="W149" s="16">
        <f t="shared" si="24"/>
        <v>0</v>
      </c>
      <c r="X149" s="16" t="str">
        <f>VLOOKUP(B149,[1]Kundenübersicht!E:AG,MATCH($X$3,[1]Kundenübersicht!$E$3:$AY$3,0),FALSE)</f>
        <v>Alt</v>
      </c>
      <c r="Z149" s="20" t="str">
        <f t="shared" si="22"/>
        <v>Ja</v>
      </c>
      <c r="AA149" s="19">
        <v>45950</v>
      </c>
      <c r="AC149" s="19">
        <v>45975</v>
      </c>
      <c r="AE149" s="9">
        <f t="shared" si="31"/>
        <v>2025</v>
      </c>
      <c r="AF149" s="17" t="str">
        <f t="shared" si="32"/>
        <v>09.2025</v>
      </c>
      <c r="AG149" s="17" t="str">
        <f t="shared" si="33"/>
        <v>Christiane Fiebag</v>
      </c>
      <c r="AH149" s="17" t="str">
        <f>IFERROR(VLOOKUP(B149,[1]Kundenübersicht!$E$4:$F$85,2,FALSE),"")</f>
        <v>Matthias Roß</v>
      </c>
      <c r="AI149" s="17" t="str">
        <f t="shared" si="25"/>
        <v>Hauswirtschaft</v>
      </c>
      <c r="AJ149" s="17" t="str">
        <f t="shared" si="25"/>
        <v>Entlastungsleistung</v>
      </c>
      <c r="AL149" s="18">
        <f t="shared" si="26"/>
        <v>38</v>
      </c>
      <c r="AM149" s="18">
        <f t="shared" si="27"/>
        <v>76.000000000000028</v>
      </c>
      <c r="AN149" s="18">
        <f t="shared" si="28"/>
        <v>0</v>
      </c>
    </row>
    <row r="150" spans="2:40" x14ac:dyDescent="0.25">
      <c r="B150" s="30" t="s">
        <v>63</v>
      </c>
      <c r="C150" s="31">
        <v>45924</v>
      </c>
      <c r="D150" s="32">
        <v>0.375</v>
      </c>
      <c r="E150" s="32">
        <v>0.45833333333333331</v>
      </c>
      <c r="F150" s="12">
        <f t="shared" si="29"/>
        <v>1.9999999999999996</v>
      </c>
      <c r="G150" s="12"/>
      <c r="H150" s="30" t="s">
        <v>55</v>
      </c>
      <c r="I150" s="30" t="s">
        <v>27</v>
      </c>
      <c r="J150" s="30" t="s">
        <v>28</v>
      </c>
      <c r="K150" s="9" t="str">
        <f>VLOOKUP($B150,[1]Kundenübersicht!$E$4:$AC$1003,MATCH(K$3,[1]Kundenübersicht!$E$3:$BA$3,FALSE),FALSE)</f>
        <v>Techniker Krankenkasse</v>
      </c>
      <c r="L150" s="13">
        <f>VLOOKUP(B150,[1]Kundenübersicht!$E$4:$AC$1003,MATCH(L$3,[1]Kundenübersicht!$E$3:$BA$3,FALSE),FALSE)</f>
        <v>101575519</v>
      </c>
      <c r="M150" s="13" t="str">
        <f>VLOOKUP(B150,[1]Kundenübersicht!$E$4:$AC$1003,MATCH(M$3,[1]Kundenübersicht!$E$3:$BA$3,FALSE),FALSE)</f>
        <v>O816601650</v>
      </c>
      <c r="N150" s="13" t="str">
        <f>VLOOKUP(B150,[1]Kundenübersicht!$E$4:$AC$1003,MATCH(N$3,[1]Kundenübersicht!$E$3:$BA$3,FALSE),FALSE)</f>
        <v>PG 2</v>
      </c>
      <c r="P150" s="9" t="s">
        <v>29</v>
      </c>
      <c r="R150" s="9" t="s">
        <v>30</v>
      </c>
      <c r="S150" s="14" t="s">
        <v>31</v>
      </c>
      <c r="U150" s="15">
        <f>IF(YEAR(C150)&lt;=2025,IFERROR(IF(I150="Hauswirtschaft",VLOOKUP($B150,[1]Kundenübersicht!$E$4:$BA$1003,MATCH("Hauswirtschaft [€/Stunde]",[1]Kundenübersicht!$E$3:$BA$3,FALSE),FALSE),VLOOKUP($B150,[1]Kundenübersicht!$E$4:$BA$1003,MATCH("Alltagsbegleitung [€/Stunde]",[1]Kundenübersicht!$E$3:$BA$3,FALSE),FALSE)),0),IFERROR(IF(I150="Hauswirtschaft",VLOOKUP($B150,[1]Kundenübersicht!$E$4:$BA$1003,MATCH("HW ab 2026 [€/Stunde]",[1]Kundenübersicht!$E$3:$BA$3,FALSE),FALSE),VLOOKUP($B150,[1]Kundenübersicht!$E$4:$BA$1003,MATCH("Alltagsbegleitung [€/Stunde]",[1]Kundenübersicht!$E$3:$BA$3,FALSE),FALSE)),0))</f>
        <v>32.75</v>
      </c>
      <c r="V150" s="16">
        <f t="shared" si="30"/>
        <v>65.499999999999986</v>
      </c>
      <c r="W150" s="16">
        <f t="shared" si="24"/>
        <v>0</v>
      </c>
      <c r="X150" s="16" t="str">
        <f>VLOOKUP(B150,[1]Kundenübersicht!E:AG,MATCH($X$3,[1]Kundenübersicht!$E$3:$AY$3,0),FALSE)</f>
        <v>Alt</v>
      </c>
      <c r="Z150" s="20" t="str">
        <f t="shared" si="22"/>
        <v>Ja</v>
      </c>
      <c r="AA150" s="19">
        <v>45950</v>
      </c>
      <c r="AC150" s="19">
        <v>45986</v>
      </c>
      <c r="AE150" s="9">
        <f t="shared" si="31"/>
        <v>2025</v>
      </c>
      <c r="AF150" s="17" t="str">
        <f t="shared" si="32"/>
        <v>09.2025</v>
      </c>
      <c r="AG150" s="17" t="str">
        <f t="shared" si="33"/>
        <v>Doreen Luzyna</v>
      </c>
      <c r="AH150" s="17" t="str">
        <f>IFERROR(VLOOKUP(B150,[1]Kundenübersicht!$E$4:$F$85,2,FALSE),"")</f>
        <v>Joachim Röder</v>
      </c>
      <c r="AI150" s="17" t="str">
        <f t="shared" si="25"/>
        <v>Hauswirtschaft</v>
      </c>
      <c r="AJ150" s="17" t="str">
        <f t="shared" si="25"/>
        <v>Entlastungsleistung</v>
      </c>
      <c r="AL150" s="18">
        <f t="shared" si="26"/>
        <v>38</v>
      </c>
      <c r="AM150" s="18">
        <f t="shared" si="27"/>
        <v>75.999999999999986</v>
      </c>
      <c r="AN150" s="18">
        <f t="shared" si="28"/>
        <v>0</v>
      </c>
    </row>
    <row r="151" spans="2:40" x14ac:dyDescent="0.25">
      <c r="B151" s="30" t="s">
        <v>43</v>
      </c>
      <c r="C151" s="31">
        <v>45924</v>
      </c>
      <c r="D151" s="32">
        <v>0.33333333333333331</v>
      </c>
      <c r="E151" s="32">
        <v>0.375</v>
      </c>
      <c r="F151" s="12">
        <f t="shared" si="29"/>
        <v>1.0000000000000004</v>
      </c>
      <c r="G151" s="12"/>
      <c r="H151" s="30" t="s">
        <v>46</v>
      </c>
      <c r="I151" s="30" t="s">
        <v>27</v>
      </c>
      <c r="J151" s="30" t="s">
        <v>28</v>
      </c>
      <c r="K151" s="9" t="str">
        <f>VLOOKUP($B151,[1]Kundenübersicht!$E$4:$AC$1003,MATCH(K$3,[1]Kundenübersicht!$E$3:$BA$3,FALSE),FALSE)</f>
        <v>AOK PLUS</v>
      </c>
      <c r="L151" s="13">
        <f>VLOOKUP(B151,[1]Kundenübersicht!$E$4:$AC$1003,MATCH(L$3,[1]Kundenübersicht!$E$3:$BA$3,FALSE),FALSE)</f>
        <v>107299005</v>
      </c>
      <c r="M151" s="13" t="str">
        <f>VLOOKUP(B151,[1]Kundenübersicht!$E$4:$AC$1003,MATCH(M$3,[1]Kundenübersicht!$E$3:$BA$3,FALSE),FALSE)</f>
        <v>I323820679</v>
      </c>
      <c r="N151" s="13" t="str">
        <f>VLOOKUP(B151,[1]Kundenübersicht!$E$4:$AC$1003,MATCH(N$3,[1]Kundenübersicht!$E$3:$BA$3,FALSE),FALSE)</f>
        <v>PG 1</v>
      </c>
      <c r="P151" s="9" t="s">
        <v>29</v>
      </c>
      <c r="R151" s="9" t="s">
        <v>30</v>
      </c>
      <c r="S151" s="14" t="s">
        <v>31</v>
      </c>
      <c r="U151" s="15">
        <f>IF(YEAR(C151)&lt;=2025,IFERROR(IF(I151="Hauswirtschaft",VLOOKUP($B151,[1]Kundenübersicht!$E$4:$BA$1003,MATCH("Hauswirtschaft [€/Stunde]",[1]Kundenübersicht!$E$3:$BA$3,FALSE),FALSE),VLOOKUP($B151,[1]Kundenübersicht!$E$4:$BA$1003,MATCH("Alltagsbegleitung [€/Stunde]",[1]Kundenübersicht!$E$3:$BA$3,FALSE),FALSE)),0),IFERROR(IF(I151="Hauswirtschaft",VLOOKUP($B151,[1]Kundenübersicht!$E$4:$BA$1003,MATCH("HW ab 2026 [€/Stunde]",[1]Kundenübersicht!$E$3:$BA$3,FALSE),FALSE),VLOOKUP($B151,[1]Kundenübersicht!$E$4:$BA$1003,MATCH("Alltagsbegleitung [€/Stunde]",[1]Kundenübersicht!$E$3:$BA$3,FALSE),FALSE)),0))</f>
        <v>32.75</v>
      </c>
      <c r="V151" s="16">
        <f t="shared" si="30"/>
        <v>32.750000000000014</v>
      </c>
      <c r="W151" s="16">
        <f t="shared" si="24"/>
        <v>0</v>
      </c>
      <c r="X151" s="16" t="str">
        <f>VLOOKUP(B151,[1]Kundenübersicht!E:AG,MATCH($X$3,[1]Kundenübersicht!$E$3:$AY$3,0),FALSE)</f>
        <v>Alt</v>
      </c>
      <c r="Z151" s="20" t="str">
        <f t="shared" si="22"/>
        <v>Ja</v>
      </c>
      <c r="AA151" s="19">
        <v>45950</v>
      </c>
      <c r="AC151" s="19">
        <v>45975</v>
      </c>
      <c r="AE151" s="9">
        <f t="shared" si="31"/>
        <v>2025</v>
      </c>
      <c r="AF151" s="17" t="str">
        <f t="shared" si="32"/>
        <v>09.2025</v>
      </c>
      <c r="AG151" s="17" t="str">
        <f t="shared" si="33"/>
        <v>Manuela Richter</v>
      </c>
      <c r="AH151" s="17" t="str">
        <f>IFERROR(VLOOKUP(B151,[1]Kundenübersicht!$E$4:$F$85,2,FALSE),"")</f>
        <v>Inge Leupold</v>
      </c>
      <c r="AI151" s="17" t="str">
        <f t="shared" si="25"/>
        <v>Hauswirtschaft</v>
      </c>
      <c r="AJ151" s="17" t="str">
        <f t="shared" si="25"/>
        <v>Entlastungsleistung</v>
      </c>
      <c r="AL151" s="18">
        <f t="shared" si="26"/>
        <v>38</v>
      </c>
      <c r="AM151" s="18">
        <f t="shared" si="27"/>
        <v>38.000000000000014</v>
      </c>
      <c r="AN151" s="18">
        <f t="shared" si="28"/>
        <v>0</v>
      </c>
    </row>
    <row r="152" spans="2:40" x14ac:dyDescent="0.25">
      <c r="B152" s="30" t="s">
        <v>60</v>
      </c>
      <c r="C152" s="31">
        <v>45924</v>
      </c>
      <c r="D152" s="32">
        <v>0.41666666666666669</v>
      </c>
      <c r="E152" s="32">
        <v>0.47916666666666669</v>
      </c>
      <c r="F152" s="12">
        <f t="shared" si="29"/>
        <v>1.5</v>
      </c>
      <c r="G152" s="12"/>
      <c r="H152" s="30" t="s">
        <v>64</v>
      </c>
      <c r="I152" s="30" t="s">
        <v>27</v>
      </c>
      <c r="J152" s="30" t="s">
        <v>28</v>
      </c>
      <c r="K152" s="9" t="str">
        <f>VLOOKUP($B152,[1]Kundenübersicht!$E$4:$AC$1003,MATCH(K$3,[1]Kundenübersicht!$E$3:$BA$3,FALSE),FALSE)</f>
        <v>Techniker Krankenkasse</v>
      </c>
      <c r="L152" s="13">
        <f>VLOOKUP(B152,[1]Kundenübersicht!$E$4:$AC$1003,MATCH(L$3,[1]Kundenübersicht!$E$3:$BA$3,FALSE),FALSE)</f>
        <v>101575519</v>
      </c>
      <c r="M152" s="13" t="str">
        <f>VLOOKUP(B152,[1]Kundenübersicht!$E$4:$AC$1003,MATCH(M$3,[1]Kundenübersicht!$E$3:$BA$3,FALSE),FALSE)</f>
        <v>O824144952</v>
      </c>
      <c r="N152" s="13" t="str">
        <f>VLOOKUP(B152,[1]Kundenübersicht!$E$4:$AC$1003,MATCH(N$3,[1]Kundenübersicht!$E$3:$BA$3,FALSE),FALSE)</f>
        <v>PG 2</v>
      </c>
      <c r="P152" s="9" t="s">
        <v>29</v>
      </c>
      <c r="R152" s="9" t="s">
        <v>30</v>
      </c>
      <c r="S152" s="14" t="s">
        <v>31</v>
      </c>
      <c r="U152" s="15">
        <f>IF(YEAR(C152)&lt;=2025,IFERROR(IF(I152="Hauswirtschaft",VLOOKUP($B152,[1]Kundenübersicht!$E$4:$BA$1003,MATCH("Hauswirtschaft [€/Stunde]",[1]Kundenübersicht!$E$3:$BA$3,FALSE),FALSE),VLOOKUP($B152,[1]Kundenübersicht!$E$4:$BA$1003,MATCH("Alltagsbegleitung [€/Stunde]",[1]Kundenübersicht!$E$3:$BA$3,FALSE),FALSE)),0),IFERROR(IF(I152="Hauswirtschaft",VLOOKUP($B152,[1]Kundenübersicht!$E$4:$BA$1003,MATCH("HW ab 2026 [€/Stunde]",[1]Kundenübersicht!$E$3:$BA$3,FALSE),FALSE),VLOOKUP($B152,[1]Kundenübersicht!$E$4:$BA$1003,MATCH("Alltagsbegleitung [€/Stunde]",[1]Kundenübersicht!$E$3:$BA$3,FALSE),FALSE)),0))</f>
        <v>32.75</v>
      </c>
      <c r="V152" s="16">
        <f t="shared" si="30"/>
        <v>49.125</v>
      </c>
      <c r="W152" s="16">
        <f t="shared" si="24"/>
        <v>0</v>
      </c>
      <c r="X152" s="16" t="str">
        <f>VLOOKUP(B152,[1]Kundenübersicht!E:AG,MATCH($X$3,[1]Kundenübersicht!$E$3:$AY$3,0),FALSE)</f>
        <v>Alt</v>
      </c>
      <c r="Z152" s="20" t="str">
        <f t="shared" si="22"/>
        <v>Ja</v>
      </c>
      <c r="AA152" s="19">
        <v>45950</v>
      </c>
      <c r="AC152" s="19">
        <v>45986</v>
      </c>
      <c r="AE152" s="9">
        <f t="shared" si="31"/>
        <v>2025</v>
      </c>
      <c r="AF152" s="17" t="str">
        <f t="shared" si="32"/>
        <v>09.2025</v>
      </c>
      <c r="AG152" s="17" t="str">
        <f t="shared" si="33"/>
        <v>Ursula Ullmann</v>
      </c>
      <c r="AH152" s="17" t="str">
        <f>IFERROR(VLOOKUP(B152,[1]Kundenübersicht!$E$4:$F$85,2,FALSE),"")</f>
        <v>Ellenore Lein</v>
      </c>
      <c r="AI152" s="17" t="str">
        <f t="shared" si="25"/>
        <v>Hauswirtschaft</v>
      </c>
      <c r="AJ152" s="17" t="str">
        <f t="shared" si="25"/>
        <v>Entlastungsleistung</v>
      </c>
      <c r="AL152" s="18">
        <f t="shared" si="26"/>
        <v>38</v>
      </c>
      <c r="AM152" s="18">
        <f t="shared" si="27"/>
        <v>57</v>
      </c>
      <c r="AN152" s="18">
        <f t="shared" si="28"/>
        <v>0</v>
      </c>
    </row>
    <row r="153" spans="2:40" x14ac:dyDescent="0.25">
      <c r="B153" s="30" t="s">
        <v>56</v>
      </c>
      <c r="C153" s="31">
        <v>45925</v>
      </c>
      <c r="D153" s="32">
        <v>0.375</v>
      </c>
      <c r="E153" s="32">
        <v>0.45833333333333331</v>
      </c>
      <c r="F153" s="12">
        <f t="shared" si="29"/>
        <v>1.9999999999999996</v>
      </c>
      <c r="G153" s="12"/>
      <c r="H153" s="30" t="s">
        <v>55</v>
      </c>
      <c r="I153" s="30" t="s">
        <v>27</v>
      </c>
      <c r="J153" s="30" t="s">
        <v>28</v>
      </c>
      <c r="K153" s="9" t="str">
        <f>VLOOKUP($B153,[1]Kundenübersicht!$E$4:$AC$1003,MATCH(K$3,[1]Kundenübersicht!$E$3:$BA$3,FALSE),FALSE)</f>
        <v>Barmer Pflegekasse</v>
      </c>
      <c r="L153" s="13">
        <f>VLOOKUP(B153,[1]Kundenübersicht!$E$4:$AC$1003,MATCH(L$3,[1]Kundenübersicht!$E$3:$BA$3,FALSE),FALSE)</f>
        <v>184940005</v>
      </c>
      <c r="M153" s="13" t="str">
        <f>VLOOKUP(B153,[1]Kundenübersicht!$E$4:$AC$1003,MATCH(M$3,[1]Kundenübersicht!$E$3:$BA$3,FALSE),FALSE)</f>
        <v>F006688944</v>
      </c>
      <c r="N153" s="13" t="str">
        <f>VLOOKUP(B153,[1]Kundenübersicht!$E$4:$AC$1003,MATCH(N$3,[1]Kundenübersicht!$E$3:$BA$3,FALSE),FALSE)</f>
        <v>PG 1</v>
      </c>
      <c r="P153" s="9" t="s">
        <v>29</v>
      </c>
      <c r="R153" s="9" t="s">
        <v>30</v>
      </c>
      <c r="S153" s="14" t="s">
        <v>31</v>
      </c>
      <c r="U153" s="15">
        <f>IF(YEAR(C153)&lt;=2025,IFERROR(IF(I153="Hauswirtschaft",VLOOKUP($B153,[1]Kundenübersicht!$E$4:$BA$1003,MATCH("Hauswirtschaft [€/Stunde]",[1]Kundenübersicht!$E$3:$BA$3,FALSE),FALSE),VLOOKUP($B153,[1]Kundenübersicht!$E$4:$BA$1003,MATCH("Alltagsbegleitung [€/Stunde]",[1]Kundenübersicht!$E$3:$BA$3,FALSE),FALSE)),0),IFERROR(IF(I153="Hauswirtschaft",VLOOKUP($B153,[1]Kundenübersicht!$E$4:$BA$1003,MATCH("HW ab 2026 [€/Stunde]",[1]Kundenübersicht!$E$3:$BA$3,FALSE),FALSE),VLOOKUP($B153,[1]Kundenübersicht!$E$4:$BA$1003,MATCH("Alltagsbegleitung [€/Stunde]",[1]Kundenübersicht!$E$3:$BA$3,FALSE),FALSE)),0))</f>
        <v>32.75</v>
      </c>
      <c r="V153" s="16">
        <f t="shared" si="30"/>
        <v>65.499999999999986</v>
      </c>
      <c r="W153" s="16">
        <f t="shared" si="24"/>
        <v>0</v>
      </c>
      <c r="X153" s="16" t="str">
        <f>VLOOKUP(B153,[1]Kundenübersicht!E:AG,MATCH($X$3,[1]Kundenübersicht!$E$3:$AY$3,0),FALSE)</f>
        <v>Alt</v>
      </c>
      <c r="Z153" s="20" t="str">
        <f t="shared" si="22"/>
        <v>Ja</v>
      </c>
      <c r="AA153" s="19">
        <v>45959</v>
      </c>
      <c r="AC153" s="19"/>
      <c r="AE153" s="9">
        <f t="shared" si="31"/>
        <v>2025</v>
      </c>
      <c r="AF153" s="17" t="str">
        <f t="shared" si="32"/>
        <v>09.2025</v>
      </c>
      <c r="AG153" s="17" t="str">
        <f t="shared" si="33"/>
        <v>Doreen Luzyna</v>
      </c>
      <c r="AH153" s="17" t="str">
        <f>IFERROR(VLOOKUP(B153,[1]Kundenübersicht!$E$4:$F$85,2,FALSE),"")</f>
        <v>Gudrun Hentschel</v>
      </c>
      <c r="AI153" s="17" t="str">
        <f t="shared" si="25"/>
        <v>Hauswirtschaft</v>
      </c>
      <c r="AJ153" s="17" t="str">
        <f t="shared" si="25"/>
        <v>Entlastungsleistung</v>
      </c>
      <c r="AL153" s="18">
        <f t="shared" si="26"/>
        <v>38</v>
      </c>
      <c r="AM153" s="18">
        <f t="shared" si="27"/>
        <v>75.999999999999986</v>
      </c>
      <c r="AN153" s="18">
        <f t="shared" si="28"/>
        <v>0</v>
      </c>
    </row>
    <row r="154" spans="2:40" x14ac:dyDescent="0.25">
      <c r="B154" s="30" t="s">
        <v>49</v>
      </c>
      <c r="C154" s="31">
        <v>45925</v>
      </c>
      <c r="D154" s="32">
        <v>0.60416666666666663</v>
      </c>
      <c r="E154" s="32">
        <v>0.64583333333333337</v>
      </c>
      <c r="F154" s="12">
        <f t="shared" si="29"/>
        <v>1.0000000000000018</v>
      </c>
      <c r="G154" s="12"/>
      <c r="H154" s="30" t="s">
        <v>46</v>
      </c>
      <c r="I154" s="30" t="s">
        <v>27</v>
      </c>
      <c r="J154" s="30" t="s">
        <v>28</v>
      </c>
      <c r="K154" s="9" t="str">
        <f>VLOOKUP($B154,[1]Kundenübersicht!$E$4:$AC$1003,MATCH(K$3,[1]Kundenübersicht!$E$3:$BA$3,FALSE),FALSE)</f>
        <v>AOK PLUS</v>
      </c>
      <c r="L154" s="13">
        <f>VLOOKUP(B154,[1]Kundenübersicht!$E$4:$AC$1003,MATCH(L$3,[1]Kundenübersicht!$E$3:$BA$3,FALSE),FALSE)</f>
        <v>107299005</v>
      </c>
      <c r="M154" s="13" t="str">
        <f>VLOOKUP(B154,[1]Kundenübersicht!$E$4:$AC$1003,MATCH(M$3,[1]Kundenübersicht!$E$3:$BA$3,FALSE),FALSE)</f>
        <v>T309560658</v>
      </c>
      <c r="N154" s="13" t="str">
        <f>VLOOKUP(B154,[1]Kundenübersicht!$E$4:$AC$1003,MATCH(N$3,[1]Kundenübersicht!$E$3:$BA$3,FALSE),FALSE)</f>
        <v>PG 2</v>
      </c>
      <c r="P154" s="9" t="s">
        <v>29</v>
      </c>
      <c r="R154" s="9" t="s">
        <v>30</v>
      </c>
      <c r="S154" s="14" t="s">
        <v>31</v>
      </c>
      <c r="U154" s="15">
        <f>IF(YEAR(C154)&lt;=2025,IFERROR(IF(I154="Hauswirtschaft",VLOOKUP($B154,[1]Kundenübersicht!$E$4:$BA$1003,MATCH("Hauswirtschaft [€/Stunde]",[1]Kundenübersicht!$E$3:$BA$3,FALSE),FALSE),VLOOKUP($B154,[1]Kundenübersicht!$E$4:$BA$1003,MATCH("Alltagsbegleitung [€/Stunde]",[1]Kundenübersicht!$E$3:$BA$3,FALSE),FALSE)),0),IFERROR(IF(I154="Hauswirtschaft",VLOOKUP($B154,[1]Kundenübersicht!$E$4:$BA$1003,MATCH("HW ab 2026 [€/Stunde]",[1]Kundenübersicht!$E$3:$BA$3,FALSE),FALSE),VLOOKUP($B154,[1]Kundenübersicht!$E$4:$BA$1003,MATCH("Alltagsbegleitung [€/Stunde]",[1]Kundenübersicht!$E$3:$BA$3,FALSE),FALSE)),0))</f>
        <v>32.75</v>
      </c>
      <c r="V154" s="16">
        <f t="shared" si="30"/>
        <v>32.750000000000057</v>
      </c>
      <c r="W154" s="16">
        <f t="shared" si="24"/>
        <v>0</v>
      </c>
      <c r="X154" s="16" t="str">
        <f>VLOOKUP(B154,[1]Kundenübersicht!E:AG,MATCH($X$3,[1]Kundenübersicht!$E$3:$AY$3,0),FALSE)</f>
        <v>Alt</v>
      </c>
      <c r="Z154" s="20" t="str">
        <f t="shared" si="22"/>
        <v>Ja</v>
      </c>
      <c r="AA154" s="19">
        <v>45950</v>
      </c>
      <c r="AC154" s="19">
        <v>45975</v>
      </c>
      <c r="AE154" s="9">
        <f t="shared" si="31"/>
        <v>2025</v>
      </c>
      <c r="AF154" s="17" t="str">
        <f t="shared" si="32"/>
        <v>09.2025</v>
      </c>
      <c r="AG154" s="17" t="str">
        <f t="shared" si="33"/>
        <v>Manuela Richter</v>
      </c>
      <c r="AH154" s="17" t="str">
        <f>IFERROR(VLOOKUP(B154,[1]Kundenübersicht!$E$4:$F$85,2,FALSE),"")</f>
        <v>Rita Neubert</v>
      </c>
      <c r="AI154" s="17" t="str">
        <f t="shared" si="25"/>
        <v>Hauswirtschaft</v>
      </c>
      <c r="AJ154" s="17" t="str">
        <f t="shared" si="25"/>
        <v>Entlastungsleistung</v>
      </c>
      <c r="AL154" s="18">
        <f t="shared" si="26"/>
        <v>38</v>
      </c>
      <c r="AM154" s="18">
        <f t="shared" si="27"/>
        <v>38.000000000000071</v>
      </c>
      <c r="AN154" s="18">
        <f t="shared" si="28"/>
        <v>0</v>
      </c>
    </row>
    <row r="155" spans="2:40" x14ac:dyDescent="0.25">
      <c r="B155" s="30" t="s">
        <v>45</v>
      </c>
      <c r="C155" s="31">
        <v>45925</v>
      </c>
      <c r="D155" s="32">
        <v>0.64583333333333337</v>
      </c>
      <c r="E155" s="32">
        <v>0.70833333333333337</v>
      </c>
      <c r="F155" s="12">
        <f t="shared" si="29"/>
        <v>1.5</v>
      </c>
      <c r="G155" s="12"/>
      <c r="H155" s="30" t="s">
        <v>46</v>
      </c>
      <c r="I155" s="30" t="s">
        <v>27</v>
      </c>
      <c r="J155" s="30" t="s">
        <v>28</v>
      </c>
      <c r="K155" s="28" t="s">
        <v>47</v>
      </c>
      <c r="L155" s="29">
        <v>109990508</v>
      </c>
      <c r="M155" s="29" t="s">
        <v>48</v>
      </c>
      <c r="N155" s="13" t="str">
        <f>VLOOKUP(B155,[1]Kundenübersicht!$E$4:$AC$1003,MATCH(N$3,[1]Kundenübersicht!$E$3:$BA$3,FALSE),FALSE)</f>
        <v>PG 1</v>
      </c>
      <c r="P155" s="9" t="s">
        <v>29</v>
      </c>
      <c r="R155" s="9" t="s">
        <v>30</v>
      </c>
      <c r="S155" s="14" t="s">
        <v>31</v>
      </c>
      <c r="U155" s="15">
        <f>IF(YEAR(C155)&lt;=2025,IFERROR(IF(I155="Hauswirtschaft",VLOOKUP($B155,[1]Kundenübersicht!$E$4:$BA$1003,MATCH("Hauswirtschaft [€/Stunde]",[1]Kundenübersicht!$E$3:$BA$3,FALSE),FALSE),VLOOKUP($B155,[1]Kundenübersicht!$E$4:$BA$1003,MATCH("Alltagsbegleitung [€/Stunde]",[1]Kundenübersicht!$E$3:$BA$3,FALSE),FALSE)),0),IFERROR(IF(I155="Hauswirtschaft",VLOOKUP($B155,[1]Kundenübersicht!$E$4:$BA$1003,MATCH("HW ab 2026 [€/Stunde]",[1]Kundenübersicht!$E$3:$BA$3,FALSE),FALSE),VLOOKUP($B155,[1]Kundenübersicht!$E$4:$BA$1003,MATCH("Alltagsbegleitung [€/Stunde]",[1]Kundenübersicht!$E$3:$BA$3,FALSE),FALSE)),0))</f>
        <v>32.75</v>
      </c>
      <c r="V155" s="16">
        <f t="shared" si="30"/>
        <v>49.125</v>
      </c>
      <c r="W155" s="16">
        <f t="shared" si="24"/>
        <v>0</v>
      </c>
      <c r="X155" s="16" t="str">
        <f>VLOOKUP(B155,[1]Kundenübersicht!E:AG,MATCH($X$3,[1]Kundenübersicht!$E$3:$AY$3,0),FALSE)</f>
        <v>Alt</v>
      </c>
      <c r="Z155" s="20" t="str">
        <f t="shared" si="22"/>
        <v>Ja</v>
      </c>
      <c r="AA155" s="19">
        <v>45950</v>
      </c>
      <c r="AC155" s="10">
        <v>45966</v>
      </c>
      <c r="AE155" s="9">
        <f t="shared" si="31"/>
        <v>2025</v>
      </c>
      <c r="AF155" s="17" t="str">
        <f t="shared" si="32"/>
        <v>09.2025</v>
      </c>
      <c r="AG155" s="17" t="str">
        <f t="shared" si="33"/>
        <v>Manuela Richter</v>
      </c>
      <c r="AH155" s="17" t="str">
        <f>IFERROR(VLOOKUP(B155,[1]Kundenübersicht!$E$4:$F$85,2,FALSE),"")</f>
        <v>Hella Reißig</v>
      </c>
      <c r="AI155" s="17" t="str">
        <f t="shared" si="25"/>
        <v>Hauswirtschaft</v>
      </c>
      <c r="AJ155" s="17" t="str">
        <f t="shared" si="25"/>
        <v>Entlastungsleistung</v>
      </c>
      <c r="AL155" s="18">
        <f t="shared" si="26"/>
        <v>38</v>
      </c>
      <c r="AM155" s="18">
        <f t="shared" si="27"/>
        <v>57</v>
      </c>
      <c r="AN155" s="18">
        <f t="shared" si="28"/>
        <v>0</v>
      </c>
    </row>
    <row r="156" spans="2:40" x14ac:dyDescent="0.25">
      <c r="B156" s="30" t="s">
        <v>38</v>
      </c>
      <c r="C156" s="31">
        <v>45926</v>
      </c>
      <c r="D156" s="32">
        <v>0.5625</v>
      </c>
      <c r="E156" s="32">
        <v>0.66666666666666663</v>
      </c>
      <c r="F156" s="12">
        <f t="shared" si="29"/>
        <v>2.4999999999999991</v>
      </c>
      <c r="G156" s="12"/>
      <c r="H156" s="30" t="s">
        <v>33</v>
      </c>
      <c r="I156" s="30" t="s">
        <v>27</v>
      </c>
      <c r="J156" s="30" t="s">
        <v>28</v>
      </c>
      <c r="K156" s="9" t="str">
        <f>VLOOKUP($B156,[1]Kundenübersicht!$E$4:$AC$1003,MATCH(K$3,[1]Kundenübersicht!$E$3:$BA$3,FALSE),FALSE)</f>
        <v>AOK PLUS</v>
      </c>
      <c r="L156" s="13">
        <f>VLOOKUP(B156,[1]Kundenübersicht!$E$4:$AC$1003,MATCH(L$3,[1]Kundenübersicht!$E$3:$BA$3,FALSE),FALSE)</f>
        <v>107299005</v>
      </c>
      <c r="M156" s="13" t="str">
        <f>VLOOKUP(B156,[1]Kundenübersicht!$E$4:$AC$1003,MATCH(M$3,[1]Kundenübersicht!$E$3:$BA$3,FALSE),FALSE)</f>
        <v>R782602114</v>
      </c>
      <c r="N156" s="13" t="str">
        <f>VLOOKUP(B156,[1]Kundenübersicht!$E$4:$AC$1003,MATCH(N$3,[1]Kundenübersicht!$E$3:$BA$3,FALSE),FALSE)</f>
        <v>PG 1</v>
      </c>
      <c r="P156" s="9" t="s">
        <v>29</v>
      </c>
      <c r="R156" s="9" t="s">
        <v>30</v>
      </c>
      <c r="S156" s="14" t="s">
        <v>31</v>
      </c>
      <c r="U156" s="15">
        <f>IF(YEAR(C156)&lt;=2025,IFERROR(IF(I156="Hauswirtschaft",VLOOKUP($B156,[1]Kundenübersicht!$E$4:$BA$1003,MATCH("Hauswirtschaft [€/Stunde]",[1]Kundenübersicht!$E$3:$BA$3,FALSE),FALSE),VLOOKUP($B156,[1]Kundenübersicht!$E$4:$BA$1003,MATCH("Alltagsbegleitung [€/Stunde]",[1]Kundenübersicht!$E$3:$BA$3,FALSE),FALSE)),0),IFERROR(IF(I156="Hauswirtschaft",VLOOKUP($B156,[1]Kundenübersicht!$E$4:$BA$1003,MATCH("HW ab 2026 [€/Stunde]",[1]Kundenübersicht!$E$3:$BA$3,FALSE),FALSE),VLOOKUP($B156,[1]Kundenübersicht!$E$4:$BA$1003,MATCH("Alltagsbegleitung [€/Stunde]",[1]Kundenübersicht!$E$3:$BA$3,FALSE),FALSE)),0))</f>
        <v>32.75</v>
      </c>
      <c r="V156" s="16">
        <f t="shared" si="30"/>
        <v>81.874999999999972</v>
      </c>
      <c r="W156" s="16">
        <f t="shared" si="24"/>
        <v>0</v>
      </c>
      <c r="X156" s="16" t="str">
        <f>VLOOKUP(B156,[1]Kundenübersicht!E:AG,MATCH($X$3,[1]Kundenübersicht!$E$3:$AY$3,0),FALSE)</f>
        <v>Alt</v>
      </c>
      <c r="Z156" s="20" t="str">
        <f t="shared" si="22"/>
        <v>Ja</v>
      </c>
      <c r="AA156" s="19">
        <v>45950</v>
      </c>
      <c r="AC156" s="19">
        <v>45975</v>
      </c>
      <c r="AE156" s="9">
        <f t="shared" si="31"/>
        <v>2025</v>
      </c>
      <c r="AF156" s="17" t="str">
        <f t="shared" si="32"/>
        <v>09.2025</v>
      </c>
      <c r="AG156" s="17" t="str">
        <f t="shared" si="33"/>
        <v>Christiane Fiebag</v>
      </c>
      <c r="AH156" s="17" t="str">
        <f>IFERROR(VLOOKUP(B156,[1]Kundenübersicht!$E$4:$F$85,2,FALSE),"")</f>
        <v>Christian Jungnickel</v>
      </c>
      <c r="AI156" s="17" t="str">
        <f t="shared" si="25"/>
        <v>Hauswirtschaft</v>
      </c>
      <c r="AJ156" s="17" t="str">
        <f t="shared" si="25"/>
        <v>Entlastungsleistung</v>
      </c>
      <c r="AL156" s="18">
        <f t="shared" si="26"/>
        <v>38</v>
      </c>
      <c r="AM156" s="18">
        <f t="shared" si="27"/>
        <v>94.999999999999972</v>
      </c>
      <c r="AN156" s="18">
        <f t="shared" si="28"/>
        <v>0</v>
      </c>
    </row>
    <row r="157" spans="2:40" x14ac:dyDescent="0.25">
      <c r="B157" s="30" t="s">
        <v>54</v>
      </c>
      <c r="C157" s="31">
        <v>45926</v>
      </c>
      <c r="D157" s="32">
        <v>0.36458333333333331</v>
      </c>
      <c r="E157" s="32">
        <v>0.44791666666666669</v>
      </c>
      <c r="F157" s="12">
        <f t="shared" si="29"/>
        <v>2.0000000000000009</v>
      </c>
      <c r="G157" s="12"/>
      <c r="H157" s="30" t="s">
        <v>33</v>
      </c>
      <c r="I157" s="30" t="s">
        <v>27</v>
      </c>
      <c r="J157" s="30" t="s">
        <v>28</v>
      </c>
      <c r="K157" s="9" t="str">
        <f>VLOOKUP($B157,[1]Kundenübersicht!$E$4:$AC$1003,MATCH(K$3,[1]Kundenübersicht!$E$3:$BA$3,FALSE),FALSE)</f>
        <v>Barmer Pflegekasse</v>
      </c>
      <c r="L157" s="13">
        <f>VLOOKUP(B157,[1]Kundenübersicht!$E$4:$AC$1003,MATCH(L$3,[1]Kundenübersicht!$E$3:$BA$3,FALSE),FALSE)</f>
        <v>184940005</v>
      </c>
      <c r="M157" s="13" t="str">
        <f>VLOOKUP(B157,[1]Kundenübersicht!$E$4:$AC$1003,MATCH(M$3,[1]Kundenübersicht!$E$3:$BA$3,FALSE),FALSE)</f>
        <v>J775476677</v>
      </c>
      <c r="N157" s="13" t="str">
        <f>VLOOKUP(B157,[1]Kundenübersicht!$E$4:$AC$1003,MATCH(N$3,[1]Kundenübersicht!$E$3:$BA$3,FALSE),FALSE)</f>
        <v>PG 1</v>
      </c>
      <c r="P157" s="9" t="s">
        <v>29</v>
      </c>
      <c r="R157" s="9" t="s">
        <v>30</v>
      </c>
      <c r="S157" s="14" t="s">
        <v>31</v>
      </c>
      <c r="U157" s="15">
        <f>IF(YEAR(C157)&lt;=2025,IFERROR(IF(I157="Hauswirtschaft",VLOOKUP($B157,[1]Kundenübersicht!$E$4:$BA$1003,MATCH("Hauswirtschaft [€/Stunde]",[1]Kundenübersicht!$E$3:$BA$3,FALSE),FALSE),VLOOKUP($B157,[1]Kundenübersicht!$E$4:$BA$1003,MATCH("Alltagsbegleitung [€/Stunde]",[1]Kundenübersicht!$E$3:$BA$3,FALSE),FALSE)),0),IFERROR(IF(I157="Hauswirtschaft",VLOOKUP($B157,[1]Kundenübersicht!$E$4:$BA$1003,MATCH("HW ab 2026 [€/Stunde]",[1]Kundenübersicht!$E$3:$BA$3,FALSE),FALSE),VLOOKUP($B157,[1]Kundenübersicht!$E$4:$BA$1003,MATCH("Alltagsbegleitung [€/Stunde]",[1]Kundenübersicht!$E$3:$BA$3,FALSE),FALSE)),0))</f>
        <v>32.75</v>
      </c>
      <c r="V157" s="16">
        <f t="shared" si="30"/>
        <v>65.500000000000028</v>
      </c>
      <c r="W157" s="16">
        <f t="shared" si="24"/>
        <v>0</v>
      </c>
      <c r="X157" s="16" t="str">
        <f>VLOOKUP(B157,[1]Kundenübersicht!E:AG,MATCH($X$3,[1]Kundenübersicht!$E$3:$AY$3,0),FALSE)</f>
        <v>Alt</v>
      </c>
      <c r="Z157" s="20" t="str">
        <f t="shared" si="22"/>
        <v>Ja</v>
      </c>
      <c r="AA157" s="19">
        <v>45959</v>
      </c>
      <c r="AC157" s="19"/>
      <c r="AE157" s="9">
        <f t="shared" si="31"/>
        <v>2025</v>
      </c>
      <c r="AF157" s="17" t="str">
        <f t="shared" si="32"/>
        <v>09.2025</v>
      </c>
      <c r="AG157" s="17" t="str">
        <f t="shared" si="33"/>
        <v>Christiane Fiebag</v>
      </c>
      <c r="AH157" s="17" t="str">
        <f>IFERROR(VLOOKUP(B157,[1]Kundenübersicht!$E$4:$F$85,2,FALSE),"")</f>
        <v>Rita Nitschke</v>
      </c>
      <c r="AI157" s="17" t="str">
        <f t="shared" si="25"/>
        <v>Hauswirtschaft</v>
      </c>
      <c r="AJ157" s="17" t="str">
        <f t="shared" si="25"/>
        <v>Entlastungsleistung</v>
      </c>
      <c r="AL157" s="18">
        <f t="shared" si="26"/>
        <v>38</v>
      </c>
      <c r="AM157" s="18">
        <f t="shared" si="27"/>
        <v>76.000000000000028</v>
      </c>
      <c r="AN157" s="18">
        <f t="shared" si="28"/>
        <v>0</v>
      </c>
    </row>
    <row r="158" spans="2:40" x14ac:dyDescent="0.25">
      <c r="B158" s="30" t="s">
        <v>70</v>
      </c>
      <c r="C158" s="31">
        <v>45926</v>
      </c>
      <c r="D158" s="32">
        <v>0.47916666666666669</v>
      </c>
      <c r="E158" s="32">
        <v>0.54166666666666663</v>
      </c>
      <c r="F158" s="12">
        <f t="shared" si="29"/>
        <v>1.4999999999999987</v>
      </c>
      <c r="G158" s="12"/>
      <c r="H158" s="30" t="s">
        <v>33</v>
      </c>
      <c r="I158" s="30" t="s">
        <v>27</v>
      </c>
      <c r="J158" s="30" t="s">
        <v>28</v>
      </c>
      <c r="K158" s="9" t="str">
        <f>VLOOKUP($B158,[1]Kundenübersicht!$E$4:$AC$1003,MATCH(K$3,[1]Kundenübersicht!$E$3:$BA$3,FALSE),FALSE)</f>
        <v>Barmer Pflegekasse</v>
      </c>
      <c r="L158" s="13">
        <f>VLOOKUP(B158,[1]Kundenübersicht!$E$4:$AC$1003,MATCH(L$3,[1]Kundenübersicht!$E$3:$BA$3,FALSE),FALSE)</f>
        <v>184940005</v>
      </c>
      <c r="M158" s="13" t="str">
        <f>VLOOKUP(B158,[1]Kundenübersicht!$E$4:$AC$1003,MATCH(M$3,[1]Kundenübersicht!$E$3:$BA$3,FALSE),FALSE)</f>
        <v>W255296774</v>
      </c>
      <c r="N158" s="13" t="str">
        <f>VLOOKUP(B158,[1]Kundenübersicht!$E$4:$AC$1003,MATCH(N$3,[1]Kundenübersicht!$E$3:$BA$3,FALSE),FALSE)</f>
        <v>PG 1</v>
      </c>
      <c r="P158" s="9" t="s">
        <v>29</v>
      </c>
      <c r="R158" s="9" t="s">
        <v>30</v>
      </c>
      <c r="S158" s="14" t="s">
        <v>31</v>
      </c>
      <c r="U158" s="15">
        <f>IF(YEAR(C158)&lt;=2025,IFERROR(IF(I158="Hauswirtschaft",VLOOKUP($B158,[1]Kundenübersicht!$E$4:$BA$1003,MATCH("Hauswirtschaft [€/Stunde]",[1]Kundenübersicht!$E$3:$BA$3,FALSE),FALSE),VLOOKUP($B158,[1]Kundenübersicht!$E$4:$BA$1003,MATCH("Alltagsbegleitung [€/Stunde]",[1]Kundenübersicht!$E$3:$BA$3,FALSE),FALSE)),0),IFERROR(IF(I158="Hauswirtschaft",VLOOKUP($B158,[1]Kundenübersicht!$E$4:$BA$1003,MATCH("HW ab 2026 [€/Stunde]",[1]Kundenübersicht!$E$3:$BA$3,FALSE),FALSE),VLOOKUP($B158,[1]Kundenübersicht!$E$4:$BA$1003,MATCH("Alltagsbegleitung [€/Stunde]",[1]Kundenübersicht!$E$3:$BA$3,FALSE),FALSE)),0))</f>
        <v>38</v>
      </c>
      <c r="V158" s="16">
        <f t="shared" si="30"/>
        <v>56.99999999999995</v>
      </c>
      <c r="W158" s="16">
        <f t="shared" si="24"/>
        <v>0</v>
      </c>
      <c r="X158" s="16" t="str">
        <f>VLOOKUP(B158,[1]Kundenübersicht!E:AG,MATCH($X$3,[1]Kundenübersicht!$E$3:$AY$3,0),FALSE)</f>
        <v>Neu</v>
      </c>
      <c r="Z158" s="20" t="str">
        <f t="shared" si="22"/>
        <v>Ja</v>
      </c>
      <c r="AA158" s="19">
        <v>45959</v>
      </c>
      <c r="AC158" s="19"/>
      <c r="AE158" s="9">
        <f t="shared" si="31"/>
        <v>2025</v>
      </c>
      <c r="AF158" s="17" t="str">
        <f t="shared" si="32"/>
        <v>09.2025</v>
      </c>
      <c r="AG158" s="17" t="str">
        <f t="shared" si="33"/>
        <v>Christiane Fiebag</v>
      </c>
      <c r="AH158" s="17" t="str">
        <f>IFERROR(VLOOKUP(B158,[1]Kundenübersicht!$E$4:$F$85,2,FALSE),"")</f>
        <v>Renate Schade</v>
      </c>
      <c r="AI158" s="17" t="str">
        <f t="shared" si="25"/>
        <v>Hauswirtschaft</v>
      </c>
      <c r="AJ158" s="17" t="str">
        <f t="shared" si="25"/>
        <v>Entlastungsleistung</v>
      </c>
      <c r="AL158" s="18">
        <f t="shared" si="26"/>
        <v>38</v>
      </c>
      <c r="AM158" s="18">
        <f t="shared" si="27"/>
        <v>56.99999999999995</v>
      </c>
      <c r="AN158" s="18">
        <f t="shared" si="28"/>
        <v>0</v>
      </c>
    </row>
    <row r="159" spans="2:40" x14ac:dyDescent="0.25">
      <c r="B159" s="30" t="s">
        <v>50</v>
      </c>
      <c r="C159" s="31">
        <v>45926</v>
      </c>
      <c r="D159" s="32">
        <v>0.58333333333333337</v>
      </c>
      <c r="E159" s="32">
        <v>0.66666666666666663</v>
      </c>
      <c r="F159" s="12">
        <f t="shared" si="29"/>
        <v>1.9999999999999982</v>
      </c>
      <c r="G159" s="12"/>
      <c r="H159" s="30" t="s">
        <v>46</v>
      </c>
      <c r="I159" s="30" t="s">
        <v>27</v>
      </c>
      <c r="J159" s="30" t="s">
        <v>28</v>
      </c>
      <c r="K159" s="9" t="str">
        <f>VLOOKUP($B159,[1]Kundenübersicht!$E$4:$AC$1003,MATCH(K$3,[1]Kundenübersicht!$E$3:$BA$3,FALSE),FALSE)</f>
        <v>AOK PLUS</v>
      </c>
      <c r="L159" s="13">
        <f>VLOOKUP(B159,[1]Kundenübersicht!$E$4:$AC$1003,MATCH(L$3,[1]Kundenübersicht!$E$3:$BA$3,FALSE),FALSE)</f>
        <v>107299005</v>
      </c>
      <c r="M159" s="13" t="str">
        <f>VLOOKUP(B159,[1]Kundenübersicht!$E$4:$AC$1003,MATCH(M$3,[1]Kundenübersicht!$E$3:$BA$3,FALSE),FALSE)</f>
        <v>L212281967</v>
      </c>
      <c r="N159" s="13" t="str">
        <f>VLOOKUP(B159,[1]Kundenübersicht!$E$4:$AC$1003,MATCH(N$3,[1]Kundenübersicht!$E$3:$BA$3,FALSE),FALSE)</f>
        <v>PG 1</v>
      </c>
      <c r="P159" s="9" t="s">
        <v>29</v>
      </c>
      <c r="R159" s="9" t="s">
        <v>30</v>
      </c>
      <c r="S159" s="14" t="s">
        <v>31</v>
      </c>
      <c r="U159" s="15">
        <f>IF(YEAR(C159)&lt;=2025,IFERROR(IF(I159="Hauswirtschaft",VLOOKUP($B159,[1]Kundenübersicht!$E$4:$BA$1003,MATCH("Hauswirtschaft [€/Stunde]",[1]Kundenübersicht!$E$3:$BA$3,FALSE),FALSE),VLOOKUP($B159,[1]Kundenübersicht!$E$4:$BA$1003,MATCH("Alltagsbegleitung [€/Stunde]",[1]Kundenübersicht!$E$3:$BA$3,FALSE),FALSE)),0),IFERROR(IF(I159="Hauswirtschaft",VLOOKUP($B159,[1]Kundenübersicht!$E$4:$BA$1003,MATCH("HW ab 2026 [€/Stunde]",[1]Kundenübersicht!$E$3:$BA$3,FALSE),FALSE),VLOOKUP($B159,[1]Kundenübersicht!$E$4:$BA$1003,MATCH("Alltagsbegleitung [€/Stunde]",[1]Kundenübersicht!$E$3:$BA$3,FALSE),FALSE)),0))</f>
        <v>32.75</v>
      </c>
      <c r="V159" s="16">
        <f t="shared" si="30"/>
        <v>65.499999999999943</v>
      </c>
      <c r="W159" s="16">
        <f t="shared" si="24"/>
        <v>0</v>
      </c>
      <c r="X159" s="16" t="str">
        <f>VLOOKUP(B159,[1]Kundenübersicht!E:AG,MATCH($X$3,[1]Kundenübersicht!$E$3:$AY$3,0),FALSE)</f>
        <v>Alt</v>
      </c>
      <c r="Z159" s="20" t="str">
        <f t="shared" si="22"/>
        <v>Ja</v>
      </c>
      <c r="AA159" s="19">
        <v>45950</v>
      </c>
      <c r="AC159" s="19">
        <v>45975</v>
      </c>
      <c r="AE159" s="9">
        <f t="shared" si="31"/>
        <v>2025</v>
      </c>
      <c r="AF159" s="17" t="str">
        <f t="shared" si="32"/>
        <v>09.2025</v>
      </c>
      <c r="AG159" s="17" t="str">
        <f t="shared" si="33"/>
        <v>Manuela Richter</v>
      </c>
      <c r="AH159" s="17" t="str">
        <f>IFERROR(VLOOKUP(B159,[1]Kundenübersicht!$E$4:$F$85,2,FALSE),"")</f>
        <v>Lothar Krawalski</v>
      </c>
      <c r="AI159" s="17" t="str">
        <f t="shared" si="25"/>
        <v>Hauswirtschaft</v>
      </c>
      <c r="AJ159" s="17" t="str">
        <f t="shared" si="25"/>
        <v>Entlastungsleistung</v>
      </c>
      <c r="AL159" s="18">
        <f t="shared" si="26"/>
        <v>38</v>
      </c>
      <c r="AM159" s="18">
        <f t="shared" si="27"/>
        <v>75.999999999999929</v>
      </c>
      <c r="AN159" s="18">
        <f t="shared" si="28"/>
        <v>0</v>
      </c>
    </row>
    <row r="160" spans="2:40" x14ac:dyDescent="0.25">
      <c r="B160" s="30" t="s">
        <v>67</v>
      </c>
      <c r="C160" s="31">
        <v>45926</v>
      </c>
      <c r="D160" s="32">
        <v>0.35416666666666669</v>
      </c>
      <c r="E160" s="32">
        <v>0.39583333333333331</v>
      </c>
      <c r="F160" s="12">
        <f t="shared" si="29"/>
        <v>0.99999999999999911</v>
      </c>
      <c r="G160" s="35">
        <v>3.5</v>
      </c>
      <c r="H160" s="30" t="s">
        <v>64</v>
      </c>
      <c r="I160" s="30" t="s">
        <v>27</v>
      </c>
      <c r="J160" s="30" t="s">
        <v>28</v>
      </c>
      <c r="K160" s="9" t="str">
        <f>VLOOKUP($B160,[1]Kundenübersicht!$E$4:$AC$1003,MATCH(K$3,[1]Kundenübersicht!$E$3:$BA$3,FALSE),FALSE)</f>
        <v>Barmer Pflegekasse</v>
      </c>
      <c r="L160" s="13">
        <f>VLOOKUP(B160,[1]Kundenübersicht!$E$4:$AC$1003,MATCH(L$3,[1]Kundenübersicht!$E$3:$BA$3,FALSE),FALSE)</f>
        <v>184940005</v>
      </c>
      <c r="M160" s="13" t="str">
        <f>VLOOKUP(B160,[1]Kundenübersicht!$E$4:$AC$1003,MATCH(M$3,[1]Kundenübersicht!$E$3:$BA$3,FALSE),FALSE)</f>
        <v>K535388327</v>
      </c>
      <c r="N160" s="13" t="str">
        <f>VLOOKUP(B160,[1]Kundenübersicht!$E$4:$AC$1003,MATCH(N$3,[1]Kundenübersicht!$E$3:$BA$3,FALSE),FALSE)</f>
        <v>PG 2</v>
      </c>
      <c r="P160" s="9" t="s">
        <v>29</v>
      </c>
      <c r="R160" s="9" t="s">
        <v>30</v>
      </c>
      <c r="S160" s="14" t="s">
        <v>31</v>
      </c>
      <c r="U160" s="15">
        <f>IF(YEAR(C160)&lt;=2025,IFERROR(IF(I160="Hauswirtschaft",VLOOKUP($B160,[1]Kundenübersicht!$E$4:$BA$1003,MATCH("Hauswirtschaft [€/Stunde]",[1]Kundenübersicht!$E$3:$BA$3,FALSE),FALSE),VLOOKUP($B160,[1]Kundenübersicht!$E$4:$BA$1003,MATCH("Alltagsbegleitung [€/Stunde]",[1]Kundenübersicht!$E$3:$BA$3,FALSE),FALSE)),0),IFERROR(IF(I160="Hauswirtschaft",VLOOKUP($B160,[1]Kundenübersicht!$E$4:$BA$1003,MATCH("HW ab 2026 [€/Stunde]",[1]Kundenübersicht!$E$3:$BA$3,FALSE),FALSE),VLOOKUP($B160,[1]Kundenübersicht!$E$4:$BA$1003,MATCH("Alltagsbegleitung [€/Stunde]",[1]Kundenübersicht!$E$3:$BA$3,FALSE),FALSE)),0))</f>
        <v>32.75</v>
      </c>
      <c r="V160" s="16">
        <f t="shared" si="30"/>
        <v>32.749999999999972</v>
      </c>
      <c r="W160" s="16">
        <f t="shared" si="24"/>
        <v>0</v>
      </c>
      <c r="X160" s="16" t="str">
        <f>VLOOKUP(B160,[1]Kundenübersicht!E:AG,MATCH($X$3,[1]Kundenübersicht!$E$3:$AY$3,0),FALSE)</f>
        <v>Alt</v>
      </c>
      <c r="Z160" s="20" t="str">
        <f t="shared" si="22"/>
        <v>Ja</v>
      </c>
      <c r="AA160" s="19">
        <v>45959</v>
      </c>
      <c r="AC160" s="19"/>
      <c r="AE160" s="9">
        <f t="shared" si="31"/>
        <v>2025</v>
      </c>
      <c r="AF160" s="17" t="str">
        <f t="shared" si="32"/>
        <v>09.2025</v>
      </c>
      <c r="AG160" s="17" t="str">
        <f t="shared" si="33"/>
        <v>Ursula Ullmann</v>
      </c>
      <c r="AH160" s="17" t="str">
        <f>IFERROR(VLOOKUP(B160,[1]Kundenübersicht!$E$4:$F$85,2,FALSE),"")</f>
        <v>Luzia Pohlers</v>
      </c>
      <c r="AI160" s="17" t="str">
        <f t="shared" si="25"/>
        <v>Hauswirtschaft</v>
      </c>
      <c r="AJ160" s="17" t="str">
        <f t="shared" si="25"/>
        <v>Entlastungsleistung</v>
      </c>
      <c r="AL160" s="18">
        <f t="shared" si="26"/>
        <v>38</v>
      </c>
      <c r="AM160" s="18">
        <f t="shared" si="27"/>
        <v>37.999999999999964</v>
      </c>
      <c r="AN160" s="18">
        <f t="shared" si="28"/>
        <v>1.2249999999999999</v>
      </c>
    </row>
    <row r="161" spans="2:40" x14ac:dyDescent="0.25">
      <c r="B161" s="30" t="s">
        <v>34</v>
      </c>
      <c r="C161" s="31">
        <v>45929</v>
      </c>
      <c r="D161" s="32">
        <v>0.44791666666666669</v>
      </c>
      <c r="E161" s="32">
        <v>0.53125</v>
      </c>
      <c r="F161" s="12">
        <f t="shared" si="29"/>
        <v>1.9999999999999996</v>
      </c>
      <c r="G161" s="12"/>
      <c r="H161" s="30" t="s">
        <v>33</v>
      </c>
      <c r="I161" s="30" t="s">
        <v>27</v>
      </c>
      <c r="J161" s="30" t="s">
        <v>28</v>
      </c>
      <c r="K161" s="9" t="str">
        <f>VLOOKUP($B161,[1]Kundenübersicht!$E$4:$AC$1003,MATCH(K$3,[1]Kundenübersicht!$E$3:$BA$3,FALSE),FALSE)</f>
        <v>AOK PLUS</v>
      </c>
      <c r="L161" s="13">
        <f>VLOOKUP(B161,[1]Kundenübersicht!$E$4:$AC$1003,MATCH(L$3,[1]Kundenübersicht!$E$3:$BA$3,FALSE),FALSE)</f>
        <v>107299005</v>
      </c>
      <c r="M161" s="13" t="str">
        <f>VLOOKUP(B161,[1]Kundenübersicht!$E$4:$AC$1003,MATCH(M$3,[1]Kundenübersicht!$E$3:$BA$3,FALSE),FALSE)</f>
        <v>R234942678</v>
      </c>
      <c r="N161" s="13" t="str">
        <f>VLOOKUP(B161,[1]Kundenübersicht!$E$4:$AC$1003,MATCH(N$3,[1]Kundenübersicht!$E$3:$BA$3,FALSE),FALSE)</f>
        <v>PG 2</v>
      </c>
      <c r="P161" s="9" t="s">
        <v>29</v>
      </c>
      <c r="R161" s="9" t="s">
        <v>30</v>
      </c>
      <c r="S161" s="14" t="s">
        <v>31</v>
      </c>
      <c r="U161" s="15">
        <f>IF(YEAR(C161)&lt;=2025,IFERROR(IF(I161="Hauswirtschaft",VLOOKUP($B161,[1]Kundenübersicht!$E$4:$BA$1003,MATCH("Hauswirtschaft [€/Stunde]",[1]Kundenübersicht!$E$3:$BA$3,FALSE),FALSE),VLOOKUP($B161,[1]Kundenübersicht!$E$4:$BA$1003,MATCH("Alltagsbegleitung [€/Stunde]",[1]Kundenübersicht!$E$3:$BA$3,FALSE),FALSE)),0),IFERROR(IF(I161="Hauswirtschaft",VLOOKUP($B161,[1]Kundenübersicht!$E$4:$BA$1003,MATCH("HW ab 2026 [€/Stunde]",[1]Kundenübersicht!$E$3:$BA$3,FALSE),FALSE),VLOOKUP($B161,[1]Kundenübersicht!$E$4:$BA$1003,MATCH("Alltagsbegleitung [€/Stunde]",[1]Kundenübersicht!$E$3:$BA$3,FALSE),FALSE)),0))</f>
        <v>32.75</v>
      </c>
      <c r="V161" s="16">
        <f t="shared" si="30"/>
        <v>65.499999999999986</v>
      </c>
      <c r="W161" s="16">
        <f t="shared" si="24"/>
        <v>0</v>
      </c>
      <c r="X161" s="16" t="str">
        <f>VLOOKUP(B161,[1]Kundenübersicht!E:AG,MATCH($X$3,[1]Kundenübersicht!$E$3:$AY$3,0),FALSE)</f>
        <v>Alt</v>
      </c>
      <c r="Z161" s="20" t="str">
        <f t="shared" si="22"/>
        <v>Ja</v>
      </c>
      <c r="AA161" s="19">
        <v>45950</v>
      </c>
      <c r="AC161" s="19">
        <v>45975</v>
      </c>
      <c r="AE161" s="9">
        <f t="shared" si="31"/>
        <v>2025</v>
      </c>
      <c r="AF161" s="17" t="str">
        <f t="shared" si="32"/>
        <v>09.2025</v>
      </c>
      <c r="AG161" s="17" t="str">
        <f t="shared" si="33"/>
        <v>Christiane Fiebag</v>
      </c>
      <c r="AH161" s="17" t="str">
        <f>IFERROR(VLOOKUP(B161,[1]Kundenübersicht!$E$4:$F$85,2,FALSE),"")</f>
        <v>Dieter Berghold</v>
      </c>
      <c r="AI161" s="17" t="str">
        <f t="shared" si="25"/>
        <v>Hauswirtschaft</v>
      </c>
      <c r="AJ161" s="17" t="str">
        <f t="shared" si="25"/>
        <v>Entlastungsleistung</v>
      </c>
      <c r="AL161" s="18">
        <f t="shared" si="26"/>
        <v>38</v>
      </c>
      <c r="AM161" s="18">
        <f t="shared" si="27"/>
        <v>75.999999999999986</v>
      </c>
      <c r="AN161" s="18">
        <f t="shared" si="28"/>
        <v>0</v>
      </c>
    </row>
    <row r="162" spans="2:40" x14ac:dyDescent="0.25">
      <c r="B162" s="30" t="s">
        <v>68</v>
      </c>
      <c r="C162" s="31">
        <v>45929</v>
      </c>
      <c r="D162" s="32">
        <v>0.375</v>
      </c>
      <c r="E162" s="32">
        <v>0.4375</v>
      </c>
      <c r="F162" s="12">
        <f t="shared" si="29"/>
        <v>1.5</v>
      </c>
      <c r="G162" s="34">
        <v>4</v>
      </c>
      <c r="H162" s="30" t="s">
        <v>64</v>
      </c>
      <c r="I162" s="30" t="s">
        <v>27</v>
      </c>
      <c r="J162" s="30" t="s">
        <v>28</v>
      </c>
      <c r="K162" s="9" t="str">
        <f>VLOOKUP($B162,[1]Kundenübersicht!$E$4:$AC$1003,MATCH(K$3,[1]Kundenübersicht!$E$3:$BA$3,FALSE),FALSE)</f>
        <v>AOK PLUS</v>
      </c>
      <c r="L162" s="13">
        <f>VLOOKUP(B162,[1]Kundenübersicht!$E$4:$AC$1003,MATCH(L$3,[1]Kundenübersicht!$E$3:$BA$3,FALSE),FALSE)</f>
        <v>107299005</v>
      </c>
      <c r="M162" s="13" t="str">
        <f>VLOOKUP(B162,[1]Kundenübersicht!$E$4:$AC$1003,MATCH(M$3,[1]Kundenübersicht!$E$3:$BA$3,FALSE),FALSE)</f>
        <v>W183342294</v>
      </c>
      <c r="N162" s="13" t="str">
        <f>VLOOKUP(B162,[1]Kundenübersicht!$E$4:$AC$1003,MATCH(N$3,[1]Kundenübersicht!$E$3:$BA$3,FALSE),FALSE)</f>
        <v>PG 1</v>
      </c>
      <c r="P162" s="9" t="s">
        <v>29</v>
      </c>
      <c r="R162" s="9" t="s">
        <v>30</v>
      </c>
      <c r="S162" s="14" t="s">
        <v>31</v>
      </c>
      <c r="U162" s="15">
        <f>IF(YEAR(C162)&lt;=2025,IFERROR(IF(I162="Hauswirtschaft",VLOOKUP($B162,[1]Kundenübersicht!$E$4:$BA$1003,MATCH("Hauswirtschaft [€/Stunde]",[1]Kundenübersicht!$E$3:$BA$3,FALSE),FALSE),VLOOKUP($B162,[1]Kundenübersicht!$E$4:$BA$1003,MATCH("Alltagsbegleitung [€/Stunde]",[1]Kundenübersicht!$E$3:$BA$3,FALSE),FALSE)),0),IFERROR(IF(I162="Hauswirtschaft",VLOOKUP($B162,[1]Kundenübersicht!$E$4:$BA$1003,MATCH("HW ab 2026 [€/Stunde]",[1]Kundenübersicht!$E$3:$BA$3,FALSE),FALSE),VLOOKUP($B162,[1]Kundenübersicht!$E$4:$BA$1003,MATCH("Alltagsbegleitung [€/Stunde]",[1]Kundenübersicht!$E$3:$BA$3,FALSE),FALSE)),0))</f>
        <v>38</v>
      </c>
      <c r="V162" s="16">
        <f t="shared" si="30"/>
        <v>57</v>
      </c>
      <c r="W162" s="16">
        <f t="shared" si="24"/>
        <v>1.4</v>
      </c>
      <c r="X162" s="16" t="str">
        <f>VLOOKUP(B162,[1]Kundenübersicht!E:AG,MATCH($X$3,[1]Kundenübersicht!$E$3:$AY$3,0),FALSE)</f>
        <v>Neu</v>
      </c>
      <c r="Z162" s="20" t="str">
        <f t="shared" si="22"/>
        <v>Ja</v>
      </c>
      <c r="AA162" s="19">
        <v>45950</v>
      </c>
      <c r="AC162" s="19">
        <v>45975</v>
      </c>
      <c r="AE162" s="9">
        <f t="shared" si="31"/>
        <v>2025</v>
      </c>
      <c r="AF162" s="17" t="str">
        <f t="shared" si="32"/>
        <v>09.2025</v>
      </c>
      <c r="AG162" s="17" t="str">
        <f t="shared" si="33"/>
        <v>Ursula Ullmann</v>
      </c>
      <c r="AH162" s="17" t="str">
        <f>IFERROR(VLOOKUP(B162,[1]Kundenübersicht!$E$4:$F$85,2,FALSE),"")</f>
        <v>Jutta Seidel</v>
      </c>
      <c r="AI162" s="17" t="str">
        <f t="shared" si="25"/>
        <v>Hauswirtschaft</v>
      </c>
      <c r="AJ162" s="17" t="str">
        <f t="shared" si="25"/>
        <v>Entlastungsleistung</v>
      </c>
      <c r="AL162" s="18">
        <f t="shared" si="26"/>
        <v>38</v>
      </c>
      <c r="AM162" s="18">
        <f t="shared" si="27"/>
        <v>57</v>
      </c>
      <c r="AN162" s="18">
        <f t="shared" si="28"/>
        <v>1.4</v>
      </c>
    </row>
    <row r="163" spans="2:40" x14ac:dyDescent="0.25">
      <c r="B163" s="30" t="s">
        <v>58</v>
      </c>
      <c r="C163" s="31">
        <v>45929</v>
      </c>
      <c r="D163" s="32">
        <v>0.40625</v>
      </c>
      <c r="E163" s="32">
        <v>0.4375</v>
      </c>
      <c r="F163" s="12">
        <f t="shared" si="29"/>
        <v>0.75</v>
      </c>
      <c r="G163" s="12"/>
      <c r="H163" s="30" t="s">
        <v>55</v>
      </c>
      <c r="I163" s="30" t="s">
        <v>27</v>
      </c>
      <c r="J163" s="30" t="s">
        <v>28</v>
      </c>
      <c r="K163" s="9" t="str">
        <f>VLOOKUP($B163,[1]Kundenübersicht!$E$4:$AC$1003,MATCH(K$3,[1]Kundenübersicht!$E$3:$BA$3,FALSE),FALSE)</f>
        <v>IKK Classic</v>
      </c>
      <c r="L163" s="13">
        <f>VLOOKUP(B163,[1]Kundenübersicht!$E$4:$AC$1003,MATCH(L$3,[1]Kundenübersicht!$E$3:$BA$3,FALSE),FALSE)</f>
        <v>187202793</v>
      </c>
      <c r="M163" s="13" t="str">
        <f>VLOOKUP(B163,[1]Kundenübersicht!$E$4:$AC$1003,MATCH(M$3,[1]Kundenübersicht!$E$3:$BA$3,FALSE),FALSE)</f>
        <v>G520510754</v>
      </c>
      <c r="N163" s="13" t="str">
        <f>VLOOKUP(B163,[1]Kundenübersicht!$E$4:$AC$1003,MATCH(N$3,[1]Kundenübersicht!$E$3:$BA$3,FALSE),FALSE)</f>
        <v>PG 2</v>
      </c>
      <c r="P163" s="9" t="s">
        <v>29</v>
      </c>
      <c r="R163" s="9" t="s">
        <v>30</v>
      </c>
      <c r="S163" s="14" t="s">
        <v>31</v>
      </c>
      <c r="U163" s="15">
        <f>IF(YEAR(C163)&lt;=2025,IFERROR(IF(I163="Hauswirtschaft",VLOOKUP($B163,[1]Kundenübersicht!$E$4:$BA$1003,MATCH("Hauswirtschaft [€/Stunde]",[1]Kundenübersicht!$E$3:$BA$3,FALSE),FALSE),VLOOKUP($B163,[1]Kundenübersicht!$E$4:$BA$1003,MATCH("Alltagsbegleitung [€/Stunde]",[1]Kundenübersicht!$E$3:$BA$3,FALSE),FALSE)),0),IFERROR(IF(I163="Hauswirtschaft",VLOOKUP($B163,[1]Kundenübersicht!$E$4:$BA$1003,MATCH("HW ab 2026 [€/Stunde]",[1]Kundenübersicht!$E$3:$BA$3,FALSE),FALSE),VLOOKUP($B163,[1]Kundenübersicht!$E$4:$BA$1003,MATCH("Alltagsbegleitung [€/Stunde]",[1]Kundenübersicht!$E$3:$BA$3,FALSE),FALSE)),0))</f>
        <v>32.75</v>
      </c>
      <c r="V163" s="16">
        <f t="shared" si="30"/>
        <v>24.5625</v>
      </c>
      <c r="W163" s="16">
        <f t="shared" si="24"/>
        <v>0</v>
      </c>
      <c r="X163" s="16" t="str">
        <f>VLOOKUP(B163,[1]Kundenübersicht!E:AG,MATCH($X$3,[1]Kundenübersicht!$E$3:$AY$3,0),FALSE)</f>
        <v>Alt</v>
      </c>
      <c r="Z163" s="20" t="str">
        <f t="shared" si="22"/>
        <v>Ja</v>
      </c>
      <c r="AA163" s="19">
        <v>45950</v>
      </c>
      <c r="AC163" s="19">
        <v>45967</v>
      </c>
      <c r="AE163" s="9">
        <f t="shared" si="31"/>
        <v>2025</v>
      </c>
      <c r="AF163" s="17" t="str">
        <f t="shared" si="32"/>
        <v>09.2025</v>
      </c>
      <c r="AG163" s="17" t="str">
        <f t="shared" si="33"/>
        <v>Doreen Luzyna</v>
      </c>
      <c r="AH163" s="17" t="str">
        <f>IFERROR(VLOOKUP(B163,[1]Kundenübersicht!$E$4:$F$85,2,FALSE),"")</f>
        <v>Bernd Fischer</v>
      </c>
      <c r="AI163" s="17" t="str">
        <f t="shared" ref="AI163:AJ178" si="35">IF(I163="","",I163)</f>
        <v>Hauswirtschaft</v>
      </c>
      <c r="AJ163" s="17" t="str">
        <f t="shared" si="35"/>
        <v>Entlastungsleistung</v>
      </c>
      <c r="AL163" s="18">
        <f t="shared" si="26"/>
        <v>38</v>
      </c>
      <c r="AM163" s="18">
        <f t="shared" si="27"/>
        <v>28.5</v>
      </c>
      <c r="AN163" s="18">
        <f t="shared" si="28"/>
        <v>0</v>
      </c>
    </row>
    <row r="164" spans="2:40" x14ac:dyDescent="0.25">
      <c r="B164" s="30" t="s">
        <v>59</v>
      </c>
      <c r="C164" s="31">
        <v>45929</v>
      </c>
      <c r="D164" s="32">
        <v>0.375</v>
      </c>
      <c r="E164" s="32">
        <v>0.40625</v>
      </c>
      <c r="F164" s="12">
        <f t="shared" si="29"/>
        <v>0.75</v>
      </c>
      <c r="G164" s="12"/>
      <c r="H164" s="30" t="s">
        <v>55</v>
      </c>
      <c r="I164" s="30" t="s">
        <v>27</v>
      </c>
      <c r="J164" s="30" t="s">
        <v>28</v>
      </c>
      <c r="K164" s="9" t="str">
        <f>VLOOKUP($B164,[1]Kundenübersicht!$E$4:$AC$1003,MATCH(K$3,[1]Kundenübersicht!$E$3:$BA$3,FALSE),FALSE)</f>
        <v>IKK Classic</v>
      </c>
      <c r="L164" s="13">
        <f>VLOOKUP(B164,[1]Kundenübersicht!$E$4:$AC$1003,MATCH(L$3,[1]Kundenübersicht!$E$3:$BA$3,FALSE),FALSE)</f>
        <v>187202793</v>
      </c>
      <c r="M164" s="13" t="str">
        <f>VLOOKUP(B164,[1]Kundenübersicht!$E$4:$AC$1003,MATCH(M$3,[1]Kundenübersicht!$E$3:$BA$3,FALSE),FALSE)</f>
        <v>E747849508</v>
      </c>
      <c r="N164" s="13" t="str">
        <f>VLOOKUP(B164,[1]Kundenübersicht!$E$4:$AC$1003,MATCH(N$3,[1]Kundenübersicht!$E$3:$BA$3,FALSE),FALSE)</f>
        <v>PG 3</v>
      </c>
      <c r="P164" s="9" t="s">
        <v>29</v>
      </c>
      <c r="R164" s="9" t="s">
        <v>30</v>
      </c>
      <c r="S164" s="14" t="s">
        <v>31</v>
      </c>
      <c r="U164" s="15">
        <f>IF(YEAR(C164)&lt;=2025,IFERROR(IF(I164="Hauswirtschaft",VLOOKUP($B164,[1]Kundenübersicht!$E$4:$BA$1003,MATCH("Hauswirtschaft [€/Stunde]",[1]Kundenübersicht!$E$3:$BA$3,FALSE),FALSE),VLOOKUP($B164,[1]Kundenübersicht!$E$4:$BA$1003,MATCH("Alltagsbegleitung [€/Stunde]",[1]Kundenübersicht!$E$3:$BA$3,FALSE),FALSE)),0),IFERROR(IF(I164="Hauswirtschaft",VLOOKUP($B164,[1]Kundenübersicht!$E$4:$BA$1003,MATCH("HW ab 2026 [€/Stunde]",[1]Kundenübersicht!$E$3:$BA$3,FALSE),FALSE),VLOOKUP($B164,[1]Kundenübersicht!$E$4:$BA$1003,MATCH("Alltagsbegleitung [€/Stunde]",[1]Kundenübersicht!$E$3:$BA$3,FALSE),FALSE)),0))</f>
        <v>32.75</v>
      </c>
      <c r="V164" s="16">
        <f t="shared" si="30"/>
        <v>24.5625</v>
      </c>
      <c r="W164" s="16">
        <f t="shared" si="24"/>
        <v>0</v>
      </c>
      <c r="X164" s="16" t="str">
        <f>VLOOKUP(B164,[1]Kundenübersicht!E:AG,MATCH($X$3,[1]Kundenübersicht!$E$3:$AY$3,0),FALSE)</f>
        <v>Alt</v>
      </c>
      <c r="Z164" s="20" t="str">
        <f t="shared" ref="Z164:Z167" si="36">IF(AA164&lt;&gt;"","Ja","Nein")</f>
        <v>Ja</v>
      </c>
      <c r="AA164" s="19">
        <v>45950</v>
      </c>
      <c r="AC164" s="19">
        <v>45967</v>
      </c>
      <c r="AE164" s="9">
        <f t="shared" si="31"/>
        <v>2025</v>
      </c>
      <c r="AF164" s="17" t="str">
        <f t="shared" si="32"/>
        <v>09.2025</v>
      </c>
      <c r="AG164" s="17" t="str">
        <f t="shared" si="33"/>
        <v>Doreen Luzyna</v>
      </c>
      <c r="AH164" s="17" t="str">
        <f>IFERROR(VLOOKUP(B164,[1]Kundenübersicht!$E$4:$F$85,2,FALSE),"")</f>
        <v>Anita Fischer</v>
      </c>
      <c r="AI164" s="17" t="str">
        <f t="shared" si="35"/>
        <v>Hauswirtschaft</v>
      </c>
      <c r="AJ164" s="17" t="str">
        <f t="shared" si="35"/>
        <v>Entlastungsleistung</v>
      </c>
      <c r="AL164" s="18">
        <f t="shared" si="26"/>
        <v>38</v>
      </c>
      <c r="AM164" s="18">
        <f t="shared" si="27"/>
        <v>28.5</v>
      </c>
      <c r="AN164" s="18">
        <f t="shared" si="28"/>
        <v>0</v>
      </c>
    </row>
    <row r="165" spans="2:40" x14ac:dyDescent="0.25">
      <c r="B165" s="30" t="s">
        <v>62</v>
      </c>
      <c r="C165" s="31">
        <v>45930</v>
      </c>
      <c r="D165" s="32">
        <v>0.375</v>
      </c>
      <c r="E165" s="32">
        <v>0.45833333333333331</v>
      </c>
      <c r="F165" s="12">
        <f t="shared" si="29"/>
        <v>1.9999999999999996</v>
      </c>
      <c r="G165" s="12"/>
      <c r="H165" s="30" t="s">
        <v>55</v>
      </c>
      <c r="I165" s="30" t="s">
        <v>27</v>
      </c>
      <c r="J165" s="30" t="s">
        <v>28</v>
      </c>
      <c r="K165" s="9" t="str">
        <f>VLOOKUP($B165,[1]Kundenübersicht!$E$4:$AC$1003,MATCH(K$3,[1]Kundenübersicht!$E$3:$BA$3,FALSE),FALSE)</f>
        <v>IKK Classic</v>
      </c>
      <c r="L165" s="13">
        <f>VLOOKUP(B165,[1]Kundenübersicht!$E$4:$AC$1003,MATCH(L$3,[1]Kundenübersicht!$E$3:$BA$3,FALSE),FALSE)</f>
        <v>187202793</v>
      </c>
      <c r="M165" s="13" t="str">
        <f>VLOOKUP(B165,[1]Kundenübersicht!$E$4:$AC$1003,MATCH(M$3,[1]Kundenübersicht!$E$3:$BA$3,FALSE),FALSE)</f>
        <v>D629015744</v>
      </c>
      <c r="N165" s="13" t="str">
        <f>VLOOKUP(B165,[1]Kundenübersicht!$E$4:$AC$1003,MATCH(N$3,[1]Kundenübersicht!$E$3:$BA$3,FALSE),FALSE)</f>
        <v>PG 2</v>
      </c>
      <c r="P165" s="9" t="s">
        <v>29</v>
      </c>
      <c r="R165" s="9" t="s">
        <v>30</v>
      </c>
      <c r="S165" s="14" t="s">
        <v>31</v>
      </c>
      <c r="U165" s="15">
        <f>IF(YEAR(C165)&lt;=2025,IFERROR(IF(I165="Hauswirtschaft",VLOOKUP($B165,[1]Kundenübersicht!$E$4:$BA$1003,MATCH("Hauswirtschaft [€/Stunde]",[1]Kundenübersicht!$E$3:$BA$3,FALSE),FALSE),VLOOKUP($B165,[1]Kundenübersicht!$E$4:$BA$1003,MATCH("Alltagsbegleitung [€/Stunde]",[1]Kundenübersicht!$E$3:$BA$3,FALSE),FALSE)),0),IFERROR(IF(I165="Hauswirtschaft",VLOOKUP($B165,[1]Kundenübersicht!$E$4:$BA$1003,MATCH("HW ab 2026 [€/Stunde]",[1]Kundenübersicht!$E$3:$BA$3,FALSE),FALSE),VLOOKUP($B165,[1]Kundenübersicht!$E$4:$BA$1003,MATCH("Alltagsbegleitung [€/Stunde]",[1]Kundenübersicht!$E$3:$BA$3,FALSE),FALSE)),0))</f>
        <v>32.75</v>
      </c>
      <c r="V165" s="16">
        <f t="shared" si="30"/>
        <v>65.499999999999986</v>
      </c>
      <c r="W165" s="16">
        <f t="shared" si="24"/>
        <v>0</v>
      </c>
      <c r="X165" s="16" t="str">
        <f>VLOOKUP(B165,[1]Kundenübersicht!E:AG,MATCH($X$3,[1]Kundenübersicht!$E$3:$AY$3,0),FALSE)</f>
        <v>Alt</v>
      </c>
      <c r="Z165" s="20" t="str">
        <f t="shared" si="36"/>
        <v>Ja</v>
      </c>
      <c r="AA165" s="19">
        <v>45950</v>
      </c>
      <c r="AC165" s="19">
        <v>45967</v>
      </c>
      <c r="AE165" s="9">
        <f t="shared" si="31"/>
        <v>2025</v>
      </c>
      <c r="AF165" s="17" t="str">
        <f t="shared" si="32"/>
        <v>09.2025</v>
      </c>
      <c r="AG165" s="17" t="str">
        <f t="shared" si="33"/>
        <v>Doreen Luzyna</v>
      </c>
      <c r="AH165" s="17" t="str">
        <f>IFERROR(VLOOKUP(B165,[1]Kundenübersicht!$E$4:$F$85,2,FALSE),"")</f>
        <v>Hannelore Köhler</v>
      </c>
      <c r="AI165" s="17" t="str">
        <f t="shared" si="35"/>
        <v>Hauswirtschaft</v>
      </c>
      <c r="AJ165" s="17" t="str">
        <f t="shared" si="35"/>
        <v>Entlastungsleistung</v>
      </c>
      <c r="AL165" s="18">
        <f t="shared" si="26"/>
        <v>38</v>
      </c>
      <c r="AM165" s="18">
        <f t="shared" si="27"/>
        <v>75.999999999999986</v>
      </c>
      <c r="AN165" s="18">
        <f t="shared" si="28"/>
        <v>0</v>
      </c>
    </row>
    <row r="166" spans="2:40" x14ac:dyDescent="0.25">
      <c r="B166" s="30" t="s">
        <v>71</v>
      </c>
      <c r="C166" s="31">
        <v>45930</v>
      </c>
      <c r="D166" s="32">
        <v>0.625</v>
      </c>
      <c r="E166" s="32">
        <v>0.66666666666666663</v>
      </c>
      <c r="F166" s="12">
        <f t="shared" si="29"/>
        <v>0.99999999999999911</v>
      </c>
      <c r="G166" s="34">
        <v>4</v>
      </c>
      <c r="H166" s="30" t="s">
        <v>64</v>
      </c>
      <c r="I166" s="30" t="s">
        <v>41</v>
      </c>
      <c r="J166" s="30" t="s">
        <v>72</v>
      </c>
      <c r="K166" s="9" t="str">
        <f>VLOOKUP($B166,[1]Kundenübersicht!$E$4:$AC$1003,MATCH(K$3,[1]Kundenübersicht!$E$3:$BA$3,FALSE),FALSE)</f>
        <v>Techniker Krankenkasse</v>
      </c>
      <c r="L166" s="13">
        <f>VLOOKUP(B166,[1]Kundenübersicht!$E$4:$AC$1003,MATCH(L$3,[1]Kundenübersicht!$E$3:$BA$3,FALSE),FALSE)</f>
        <v>101575519</v>
      </c>
      <c r="M166" s="13" t="str">
        <f>VLOOKUP(B166,[1]Kundenübersicht!$E$4:$AC$1003,MATCH(M$3,[1]Kundenübersicht!$E$3:$BA$3,FALSE),FALSE)</f>
        <v>V281460760</v>
      </c>
      <c r="N166" s="13" t="str">
        <f>VLOOKUP(B166,[1]Kundenübersicht!$E$4:$AC$1003,MATCH(N$3,[1]Kundenübersicht!$E$3:$BA$3,FALSE),FALSE)</f>
        <v>PG 2</v>
      </c>
      <c r="P166" s="9" t="s">
        <v>29</v>
      </c>
      <c r="R166" s="9" t="s">
        <v>30</v>
      </c>
      <c r="S166" s="14" t="s">
        <v>31</v>
      </c>
      <c r="U166" s="15">
        <f>IF(YEAR(C166)&lt;=2025,IFERROR(IF(I166="Hauswirtschaft",VLOOKUP($B166,[1]Kundenübersicht!$E$4:$BA$1003,MATCH("Hauswirtschaft [€/Stunde]",[1]Kundenübersicht!$E$3:$BA$3,FALSE),FALSE),VLOOKUP($B166,[1]Kundenübersicht!$E$4:$BA$1003,MATCH("Alltagsbegleitung [€/Stunde]",[1]Kundenübersicht!$E$3:$BA$3,FALSE),FALSE)),0),IFERROR(IF(I166="Hauswirtschaft",VLOOKUP($B166,[1]Kundenübersicht!$E$4:$BA$1003,MATCH("HW ab 2026 [€/Stunde]",[1]Kundenübersicht!$E$3:$BA$3,FALSE),FALSE),VLOOKUP($B166,[1]Kundenübersicht!$E$4:$BA$1003,MATCH("Alltagsbegleitung [€/Stunde]",[1]Kundenübersicht!$E$3:$BA$3,FALSE),FALSE)),0))</f>
        <v>42</v>
      </c>
      <c r="V166" s="16">
        <f t="shared" si="30"/>
        <v>41.999999999999964</v>
      </c>
      <c r="W166" s="16">
        <f t="shared" si="24"/>
        <v>1.4</v>
      </c>
      <c r="X166" s="16" t="str">
        <f>VLOOKUP(B166,[1]Kundenübersicht!E:AG,MATCH($X$3,[1]Kundenübersicht!$E$3:$AY$3,0),FALSE)</f>
        <v>Neu</v>
      </c>
      <c r="Z166" s="20" t="str">
        <f t="shared" si="36"/>
        <v>Ja</v>
      </c>
      <c r="AA166" s="19">
        <v>45950</v>
      </c>
      <c r="AC166" s="19">
        <v>45974</v>
      </c>
      <c r="AE166" s="9">
        <f t="shared" si="31"/>
        <v>2025</v>
      </c>
      <c r="AF166" s="17" t="str">
        <f t="shared" si="32"/>
        <v>09.2025</v>
      </c>
      <c r="AG166" s="17" t="str">
        <f t="shared" si="33"/>
        <v>Ursula Ullmann</v>
      </c>
      <c r="AH166" s="17" t="str">
        <f>IFERROR(VLOOKUP(B166,[1]Kundenübersicht!$E$4:$F$85,2,FALSE),"")</f>
        <v>Wolfgang Seidel</v>
      </c>
      <c r="AI166" s="17" t="str">
        <f t="shared" si="35"/>
        <v>Alltagsbegleitung</v>
      </c>
      <c r="AJ166" s="17" t="str">
        <f t="shared" si="35"/>
        <v>Verhinderungs-/Kurzzeitpflege</v>
      </c>
      <c r="AL166" s="18">
        <f t="shared" si="26"/>
        <v>42</v>
      </c>
      <c r="AM166" s="18">
        <f t="shared" si="27"/>
        <v>41.999999999999964</v>
      </c>
      <c r="AN166" s="18">
        <f t="shared" si="28"/>
        <v>1.4</v>
      </c>
    </row>
    <row r="167" spans="2:40" x14ac:dyDescent="0.25">
      <c r="B167" s="30" t="s">
        <v>73</v>
      </c>
      <c r="C167" s="31">
        <v>45908</v>
      </c>
      <c r="D167" s="32">
        <v>0.39583333333333331</v>
      </c>
      <c r="E167" s="32">
        <v>0.45833333333333331</v>
      </c>
      <c r="F167" s="12">
        <f t="shared" si="29"/>
        <v>1.5</v>
      </c>
      <c r="G167" s="12"/>
      <c r="H167" s="30" t="s">
        <v>26</v>
      </c>
      <c r="I167" s="30" t="s">
        <v>27</v>
      </c>
      <c r="J167" s="30" t="s">
        <v>28</v>
      </c>
      <c r="K167" s="9" t="str">
        <f>VLOOKUP($B167,[1]Kundenübersicht!$E$4:$AC$1003,MATCH(K$3,[1]Kundenübersicht!$E$3:$BA$3,FALSE),FALSE)</f>
        <v>AOK PLUS</v>
      </c>
      <c r="L167" s="13">
        <f>VLOOKUP(B167,[1]Kundenübersicht!$E$4:$AC$1003,MATCH(L$3,[1]Kundenübersicht!$E$3:$BA$3,FALSE),FALSE)</f>
        <v>107299005</v>
      </c>
      <c r="M167" s="13" t="str">
        <f>VLOOKUP(B167,[1]Kundenübersicht!$E$4:$AC$1003,MATCH(M$3,[1]Kundenübersicht!$E$3:$BA$3,FALSE),FALSE)</f>
        <v>A758670111</v>
      </c>
      <c r="N167" s="13" t="str">
        <f>VLOOKUP(B167,[1]Kundenübersicht!$E$4:$AC$1003,MATCH(N$3,[1]Kundenübersicht!$E$3:$BA$3,FALSE),FALSE)</f>
        <v>PG 2</v>
      </c>
      <c r="P167" s="9" t="s">
        <v>29</v>
      </c>
      <c r="R167" s="9" t="str">
        <f t="shared" ref="R167:R172" si="37">IF(S167="Link","Unterschrieben","Fehlt")</f>
        <v>Unterschrieben</v>
      </c>
      <c r="S167" s="14" t="s">
        <v>31</v>
      </c>
      <c r="U167" s="15">
        <f>IF(YEAR(C167)&lt;=2025,IFERROR(IF(I167="Hauswirtschaft",VLOOKUP($B167,[1]Kundenübersicht!$E$4:$BA$1003,MATCH("Hauswirtschaft [€/Stunde]",[1]Kundenübersicht!$E$3:$BA$3,FALSE),FALSE),VLOOKUP($B167,[1]Kundenübersicht!$E$4:$BA$1003,MATCH("Alltagsbegleitung [€/Stunde]",[1]Kundenübersicht!$E$3:$BA$3,FALSE),FALSE)),0),IFERROR(IF(I167="Hauswirtschaft",VLOOKUP($B167,[1]Kundenübersicht!$E$4:$BA$1003,MATCH("HW ab 2026 [€/Stunde]",[1]Kundenübersicht!$E$3:$BA$3,FALSE),FALSE),VLOOKUP($B167,[1]Kundenübersicht!$E$4:$BA$1003,MATCH("Alltagsbegleitung [€/Stunde]",[1]Kundenübersicht!$E$3:$BA$3,FALSE),FALSE)),0))</f>
        <v>38</v>
      </c>
      <c r="V167" s="16">
        <f t="shared" si="30"/>
        <v>57</v>
      </c>
      <c r="W167" s="16">
        <f t="shared" si="24"/>
        <v>0</v>
      </c>
      <c r="X167" s="16" t="str">
        <f>VLOOKUP(B167,[1]Kundenübersicht!E:AG,MATCH($X$3,[1]Kundenübersicht!$E$3:$AY$3,0),FALSE)</f>
        <v>Neu</v>
      </c>
      <c r="Z167" s="20" t="str">
        <f>IF(AA167&lt;&gt;"","Ja","Nein")</f>
        <v>Ja</v>
      </c>
      <c r="AA167" s="19">
        <v>46057</v>
      </c>
      <c r="AC167" s="19"/>
      <c r="AE167" s="9">
        <f t="shared" si="31"/>
        <v>2025</v>
      </c>
      <c r="AF167" s="17" t="str">
        <f t="shared" si="32"/>
        <v>09.2025</v>
      </c>
      <c r="AG167" s="17" t="str">
        <f t="shared" si="33"/>
        <v>Celina Panther</v>
      </c>
      <c r="AH167" s="17" t="str">
        <f>IFERROR(VLOOKUP(B167,[1]Kundenübersicht!$E$4:$F$85,2,FALSE),"")</f>
        <v>Christine Klewer</v>
      </c>
      <c r="AI167" s="17" t="str">
        <f t="shared" si="35"/>
        <v>Hauswirtschaft</v>
      </c>
      <c r="AJ167" s="17" t="str">
        <f t="shared" si="35"/>
        <v>Entlastungsleistung</v>
      </c>
      <c r="AL167" s="18">
        <f t="shared" si="26"/>
        <v>38</v>
      </c>
      <c r="AM167" s="18">
        <f t="shared" si="27"/>
        <v>57</v>
      </c>
      <c r="AN167" s="18">
        <f t="shared" si="28"/>
        <v>0</v>
      </c>
    </row>
    <row r="168" spans="2:40" x14ac:dyDescent="0.25">
      <c r="B168" s="30" t="s">
        <v>73</v>
      </c>
      <c r="C168" s="31">
        <v>45919</v>
      </c>
      <c r="D168" s="32">
        <v>0.39583333333333331</v>
      </c>
      <c r="E168" s="32">
        <v>0.45833333333333331</v>
      </c>
      <c r="F168" s="12">
        <f t="shared" si="29"/>
        <v>1.5</v>
      </c>
      <c r="G168" s="12"/>
      <c r="H168" s="30" t="s">
        <v>26</v>
      </c>
      <c r="I168" s="30" t="s">
        <v>27</v>
      </c>
      <c r="J168" s="30" t="s">
        <v>28</v>
      </c>
      <c r="K168" s="9" t="str">
        <f>VLOOKUP($B168,[1]Kundenübersicht!$E$4:$AC$1003,MATCH(K$3,[1]Kundenübersicht!$E$3:$BA$3,FALSE),FALSE)</f>
        <v>AOK PLUS</v>
      </c>
      <c r="L168" s="13">
        <f>VLOOKUP(B168,[1]Kundenübersicht!$E$4:$AC$1003,MATCH(L$3,[1]Kundenübersicht!$E$3:$BA$3,FALSE),FALSE)</f>
        <v>107299005</v>
      </c>
      <c r="M168" s="13" t="str">
        <f>VLOOKUP(B168,[1]Kundenübersicht!$E$4:$AC$1003,MATCH(M$3,[1]Kundenübersicht!$E$3:$BA$3,FALSE),FALSE)</f>
        <v>A758670111</v>
      </c>
      <c r="N168" s="13" t="str">
        <f>VLOOKUP(B168,[1]Kundenübersicht!$E$4:$AC$1003,MATCH(N$3,[1]Kundenübersicht!$E$3:$BA$3,FALSE),FALSE)</f>
        <v>PG 2</v>
      </c>
      <c r="P168" s="9" t="s">
        <v>29</v>
      </c>
      <c r="R168" s="9" t="str">
        <f t="shared" si="37"/>
        <v>Unterschrieben</v>
      </c>
      <c r="S168" s="14" t="s">
        <v>31</v>
      </c>
      <c r="U168" s="15">
        <f>IF(YEAR(C168)&lt;=2025,IFERROR(IF(I168="Hauswirtschaft",VLOOKUP($B168,[1]Kundenübersicht!$E$4:$BA$1003,MATCH("Hauswirtschaft [€/Stunde]",[1]Kundenübersicht!$E$3:$BA$3,FALSE),FALSE),VLOOKUP($B168,[1]Kundenübersicht!$E$4:$BA$1003,MATCH("Alltagsbegleitung [€/Stunde]",[1]Kundenübersicht!$E$3:$BA$3,FALSE),FALSE)),0),IFERROR(IF(I168="Hauswirtschaft",VLOOKUP($B168,[1]Kundenübersicht!$E$4:$BA$1003,MATCH("HW ab 2026 [€/Stunde]",[1]Kundenübersicht!$E$3:$BA$3,FALSE),FALSE),VLOOKUP($B168,[1]Kundenübersicht!$E$4:$BA$1003,MATCH("Alltagsbegleitung [€/Stunde]",[1]Kundenübersicht!$E$3:$BA$3,FALSE),FALSE)),0))</f>
        <v>38</v>
      </c>
      <c r="V168" s="16">
        <f t="shared" si="30"/>
        <v>57</v>
      </c>
      <c r="W168" s="16">
        <f t="shared" si="24"/>
        <v>0</v>
      </c>
      <c r="X168" s="16" t="str">
        <f>VLOOKUP(B168,[1]Kundenübersicht!E:AG,MATCH($X$3,[1]Kundenübersicht!$E$3:$AY$3,0),FALSE)</f>
        <v>Neu</v>
      </c>
      <c r="Z168" s="20" t="str">
        <f t="shared" ref="Z168:Z231" si="38">IF(AA168&lt;&gt;"","Ja","Nein")</f>
        <v>Ja</v>
      </c>
      <c r="AA168" s="19">
        <v>46057</v>
      </c>
      <c r="AC168" s="19"/>
      <c r="AE168" s="9">
        <f t="shared" si="31"/>
        <v>2025</v>
      </c>
      <c r="AF168" s="17" t="str">
        <f t="shared" si="32"/>
        <v>09.2025</v>
      </c>
      <c r="AG168" s="17" t="str">
        <f t="shared" si="33"/>
        <v>Celina Panther</v>
      </c>
      <c r="AH168" s="17" t="str">
        <f>IFERROR(VLOOKUP(B168,[1]Kundenübersicht!$E$4:$F$85,2,FALSE),"")</f>
        <v>Christine Klewer</v>
      </c>
      <c r="AI168" s="17" t="str">
        <f t="shared" si="35"/>
        <v>Hauswirtschaft</v>
      </c>
      <c r="AJ168" s="17" t="str">
        <f t="shared" si="35"/>
        <v>Entlastungsleistung</v>
      </c>
      <c r="AL168" s="18">
        <f t="shared" si="26"/>
        <v>38</v>
      </c>
      <c r="AM168" s="18">
        <f t="shared" si="27"/>
        <v>57</v>
      </c>
      <c r="AN168" s="18">
        <f t="shared" si="28"/>
        <v>0</v>
      </c>
    </row>
    <row r="169" spans="2:40" x14ac:dyDescent="0.25">
      <c r="B169" s="30" t="s">
        <v>25</v>
      </c>
      <c r="C169" s="31">
        <v>45938</v>
      </c>
      <c r="D169" s="32">
        <v>0.375</v>
      </c>
      <c r="E169" s="32">
        <v>0.45833333333333331</v>
      </c>
      <c r="F169" s="12">
        <f t="shared" si="29"/>
        <v>1.9999999999999996</v>
      </c>
      <c r="G169" s="12"/>
      <c r="H169" s="30" t="s">
        <v>26</v>
      </c>
      <c r="I169" s="30" t="s">
        <v>27</v>
      </c>
      <c r="J169" s="30" t="s">
        <v>28</v>
      </c>
      <c r="K169" s="9" t="str">
        <f>VLOOKUP($B169,[1]Kundenübersicht!$E$4:$AC$1003,MATCH(K$3,[1]Kundenübersicht!$E$3:$BA$3,FALSE),FALSE)</f>
        <v>Barmer Pflegekasse</v>
      </c>
      <c r="L169" s="13">
        <f>VLOOKUP(B169,[1]Kundenübersicht!$E$4:$AC$1003,MATCH(L$3,[1]Kundenübersicht!$E$3:$BA$3,FALSE),FALSE)</f>
        <v>184940005</v>
      </c>
      <c r="M169" s="13" t="str">
        <f>VLOOKUP(B169,[1]Kundenübersicht!$E$4:$AC$1003,MATCH(M$3,[1]Kundenübersicht!$E$3:$BA$3,FALSE),FALSE)</f>
        <v>Z817157321</v>
      </c>
      <c r="N169" s="13" t="str">
        <f>VLOOKUP(B169,[1]Kundenübersicht!$E$4:$AC$1003,MATCH(N$3,[1]Kundenübersicht!$E$3:$BA$3,FALSE),FALSE)</f>
        <v>PG 1</v>
      </c>
      <c r="P169" s="9" t="s">
        <v>29</v>
      </c>
      <c r="R169" s="9" t="str">
        <f t="shared" si="37"/>
        <v>Unterschrieben</v>
      </c>
      <c r="S169" s="14" t="s">
        <v>31</v>
      </c>
      <c r="U169" s="15">
        <f>IF(YEAR(C169)&lt;=2025,IFERROR(IF(I169="Hauswirtschaft",VLOOKUP($B169,[1]Kundenübersicht!$E$4:$BA$1003,MATCH("Hauswirtschaft [€/Stunde]",[1]Kundenübersicht!$E$3:$BA$3,FALSE),FALSE),VLOOKUP($B169,[1]Kundenübersicht!$E$4:$BA$1003,MATCH("Alltagsbegleitung [€/Stunde]",[1]Kundenübersicht!$E$3:$BA$3,FALSE),FALSE)),0),IFERROR(IF(I169="Hauswirtschaft",VLOOKUP($B169,[1]Kundenübersicht!$E$4:$BA$1003,MATCH("HW ab 2026 [€/Stunde]",[1]Kundenübersicht!$E$3:$BA$3,FALSE),FALSE),VLOOKUP($B169,[1]Kundenübersicht!$E$4:$BA$1003,MATCH("Alltagsbegleitung [€/Stunde]",[1]Kundenübersicht!$E$3:$BA$3,FALSE),FALSE)),0))</f>
        <v>32.75</v>
      </c>
      <c r="V169" s="16">
        <f t="shared" si="30"/>
        <v>65.499999999999986</v>
      </c>
      <c r="W169" s="16">
        <f t="shared" si="24"/>
        <v>0</v>
      </c>
      <c r="X169" s="16" t="str">
        <f>VLOOKUP(B169,[1]Kundenübersicht!E:AG,MATCH($X$3,[1]Kundenübersicht!$E$3:$AY$3,0),FALSE)</f>
        <v>Alt</v>
      </c>
      <c r="Z169" s="20" t="str">
        <f t="shared" si="38"/>
        <v>Ja</v>
      </c>
      <c r="AA169" s="19">
        <v>46057</v>
      </c>
      <c r="AC169" s="19"/>
      <c r="AE169" s="9">
        <f t="shared" si="31"/>
        <v>2025</v>
      </c>
      <c r="AF169" s="17" t="str">
        <f t="shared" si="32"/>
        <v>10.2025</v>
      </c>
      <c r="AG169" s="17" t="str">
        <f t="shared" si="33"/>
        <v>Celina Panther</v>
      </c>
      <c r="AH169" s="17" t="str">
        <f>IFERROR(VLOOKUP(B169,[1]Kundenübersicht!$E$4:$F$85,2,FALSE),"")</f>
        <v>Rosemarie Schröder</v>
      </c>
      <c r="AI169" s="17" t="str">
        <f t="shared" si="35"/>
        <v>Hauswirtschaft</v>
      </c>
      <c r="AJ169" s="17" t="str">
        <f t="shared" si="35"/>
        <v>Entlastungsleistung</v>
      </c>
      <c r="AL169" s="18">
        <f t="shared" si="26"/>
        <v>38</v>
      </c>
      <c r="AM169" s="18">
        <f t="shared" si="27"/>
        <v>75.999999999999986</v>
      </c>
      <c r="AN169" s="18">
        <f t="shared" si="28"/>
        <v>0</v>
      </c>
    </row>
    <row r="170" spans="2:40" x14ac:dyDescent="0.25">
      <c r="B170" s="30" t="s">
        <v>25</v>
      </c>
      <c r="C170" s="31">
        <v>45952</v>
      </c>
      <c r="D170" s="32">
        <v>0.375</v>
      </c>
      <c r="E170" s="32">
        <v>0.4375</v>
      </c>
      <c r="F170" s="12">
        <f t="shared" si="29"/>
        <v>1.5</v>
      </c>
      <c r="G170" s="12"/>
      <c r="H170" s="30" t="s">
        <v>26</v>
      </c>
      <c r="I170" s="30" t="s">
        <v>27</v>
      </c>
      <c r="J170" s="30" t="s">
        <v>28</v>
      </c>
      <c r="K170" s="9" t="str">
        <f>VLOOKUP($B170,[1]Kundenübersicht!$E$4:$AC$1003,MATCH(K$3,[1]Kundenübersicht!$E$3:$BA$3,FALSE),FALSE)</f>
        <v>Barmer Pflegekasse</v>
      </c>
      <c r="L170" s="13">
        <f>VLOOKUP(B170,[1]Kundenübersicht!$E$4:$AC$1003,MATCH(L$3,[1]Kundenübersicht!$E$3:$BA$3,FALSE),FALSE)</f>
        <v>184940005</v>
      </c>
      <c r="M170" s="13" t="str">
        <f>VLOOKUP(B170,[1]Kundenübersicht!$E$4:$AC$1003,MATCH(M$3,[1]Kundenübersicht!$E$3:$BA$3,FALSE),FALSE)</f>
        <v>Z817157321</v>
      </c>
      <c r="N170" s="13" t="str">
        <f>VLOOKUP(B170,[1]Kundenübersicht!$E$4:$AC$1003,MATCH(N$3,[1]Kundenübersicht!$E$3:$BA$3,FALSE),FALSE)</f>
        <v>PG 1</v>
      </c>
      <c r="P170" s="9" t="s">
        <v>29</v>
      </c>
      <c r="R170" s="9" t="str">
        <f t="shared" si="37"/>
        <v>Unterschrieben</v>
      </c>
      <c r="S170" s="14" t="s">
        <v>31</v>
      </c>
      <c r="U170" s="15">
        <f>IF(YEAR(C170)&lt;=2025,IFERROR(IF(I170="Hauswirtschaft",VLOOKUP($B170,[1]Kundenübersicht!$E$4:$BA$1003,MATCH("Hauswirtschaft [€/Stunde]",[1]Kundenübersicht!$E$3:$BA$3,FALSE),FALSE),VLOOKUP($B170,[1]Kundenübersicht!$E$4:$BA$1003,MATCH("Alltagsbegleitung [€/Stunde]",[1]Kundenübersicht!$E$3:$BA$3,FALSE),FALSE)),0),IFERROR(IF(I170="Hauswirtschaft",VLOOKUP($B170,[1]Kundenübersicht!$E$4:$BA$1003,MATCH("HW ab 2026 [€/Stunde]",[1]Kundenübersicht!$E$3:$BA$3,FALSE),FALSE),VLOOKUP($B170,[1]Kundenübersicht!$E$4:$BA$1003,MATCH("Alltagsbegleitung [€/Stunde]",[1]Kundenübersicht!$E$3:$BA$3,FALSE),FALSE)),0))</f>
        <v>32.75</v>
      </c>
      <c r="V170" s="16">
        <f t="shared" si="30"/>
        <v>49.125</v>
      </c>
      <c r="W170" s="16">
        <f t="shared" si="24"/>
        <v>0</v>
      </c>
      <c r="X170" s="16" t="str">
        <f>VLOOKUP(B170,[1]Kundenübersicht!E:AG,MATCH($X$3,[1]Kundenübersicht!$E$3:$AY$3,0),FALSE)</f>
        <v>Alt</v>
      </c>
      <c r="Z170" s="20" t="str">
        <f t="shared" si="38"/>
        <v>Ja</v>
      </c>
      <c r="AA170" s="19">
        <v>46057</v>
      </c>
      <c r="AC170" s="19"/>
      <c r="AE170" s="9">
        <f t="shared" si="31"/>
        <v>2025</v>
      </c>
      <c r="AF170" s="17" t="str">
        <f t="shared" si="32"/>
        <v>10.2025</v>
      </c>
      <c r="AG170" s="17" t="str">
        <f t="shared" si="33"/>
        <v>Celina Panther</v>
      </c>
      <c r="AH170" s="17" t="str">
        <f>IFERROR(VLOOKUP(B170,[1]Kundenübersicht!$E$4:$F$85,2,FALSE),"")</f>
        <v>Rosemarie Schröder</v>
      </c>
      <c r="AI170" s="17" t="str">
        <f t="shared" si="35"/>
        <v>Hauswirtschaft</v>
      </c>
      <c r="AJ170" s="17" t="str">
        <f t="shared" si="35"/>
        <v>Entlastungsleistung</v>
      </c>
      <c r="AL170" s="18">
        <f t="shared" si="26"/>
        <v>38</v>
      </c>
      <c r="AM170" s="18">
        <f t="shared" si="27"/>
        <v>57</v>
      </c>
      <c r="AN170" s="18">
        <f t="shared" si="28"/>
        <v>0</v>
      </c>
    </row>
    <row r="171" spans="2:40" x14ac:dyDescent="0.25">
      <c r="B171" s="30" t="s">
        <v>73</v>
      </c>
      <c r="C171" s="31">
        <v>45936</v>
      </c>
      <c r="D171" s="32">
        <v>0.39583333333333331</v>
      </c>
      <c r="E171" s="32">
        <v>0.45833333333333331</v>
      </c>
      <c r="F171" s="12">
        <f t="shared" si="29"/>
        <v>1.5</v>
      </c>
      <c r="G171" s="12"/>
      <c r="H171" s="30" t="s">
        <v>26</v>
      </c>
      <c r="I171" s="30" t="s">
        <v>27</v>
      </c>
      <c r="J171" s="30" t="s">
        <v>28</v>
      </c>
      <c r="K171" s="9" t="str">
        <f>VLOOKUP($B171,[1]Kundenübersicht!$E$4:$AC$1003,MATCH(K$3,[1]Kundenübersicht!$E$3:$BA$3,FALSE),FALSE)</f>
        <v>AOK PLUS</v>
      </c>
      <c r="L171" s="13">
        <f>VLOOKUP(B171,[1]Kundenübersicht!$E$4:$AC$1003,MATCH(L$3,[1]Kundenübersicht!$E$3:$BA$3,FALSE),FALSE)</f>
        <v>107299005</v>
      </c>
      <c r="M171" s="13" t="str">
        <f>VLOOKUP(B171,[1]Kundenübersicht!$E$4:$AC$1003,MATCH(M$3,[1]Kundenübersicht!$E$3:$BA$3,FALSE),FALSE)</f>
        <v>A758670111</v>
      </c>
      <c r="N171" s="13" t="str">
        <f>VLOOKUP(B171,[1]Kundenübersicht!$E$4:$AC$1003,MATCH(N$3,[1]Kundenübersicht!$E$3:$BA$3,FALSE),FALSE)</f>
        <v>PG 2</v>
      </c>
      <c r="P171" s="9" t="s">
        <v>29</v>
      </c>
      <c r="R171" s="9" t="str">
        <f t="shared" si="37"/>
        <v>Unterschrieben</v>
      </c>
      <c r="S171" s="14" t="s">
        <v>31</v>
      </c>
      <c r="U171" s="15">
        <f>IF(YEAR(C171)&lt;=2025,IFERROR(IF(I171="Hauswirtschaft",VLOOKUP($B171,[1]Kundenübersicht!$E$4:$BA$1003,MATCH("Hauswirtschaft [€/Stunde]",[1]Kundenübersicht!$E$3:$BA$3,FALSE),FALSE),VLOOKUP($B171,[1]Kundenübersicht!$E$4:$BA$1003,MATCH("Alltagsbegleitung [€/Stunde]",[1]Kundenübersicht!$E$3:$BA$3,FALSE),FALSE)),0),IFERROR(IF(I171="Hauswirtschaft",VLOOKUP($B171,[1]Kundenübersicht!$E$4:$BA$1003,MATCH("HW ab 2026 [€/Stunde]",[1]Kundenübersicht!$E$3:$BA$3,FALSE),FALSE),VLOOKUP($B171,[1]Kundenübersicht!$E$4:$BA$1003,MATCH("Alltagsbegleitung [€/Stunde]",[1]Kundenübersicht!$E$3:$BA$3,FALSE),FALSE)),0))</f>
        <v>38</v>
      </c>
      <c r="V171" s="16">
        <f t="shared" si="30"/>
        <v>57</v>
      </c>
      <c r="W171" s="16">
        <f t="shared" si="24"/>
        <v>0</v>
      </c>
      <c r="X171" s="16" t="str">
        <f>VLOOKUP(B171,[1]Kundenübersicht!E:AG,MATCH($X$3,[1]Kundenübersicht!$E$3:$AY$3,0),FALSE)</f>
        <v>Neu</v>
      </c>
      <c r="Z171" s="20" t="str">
        <f t="shared" si="38"/>
        <v>Ja</v>
      </c>
      <c r="AA171" s="19">
        <v>46057</v>
      </c>
      <c r="AC171" s="19"/>
      <c r="AE171" s="9">
        <f t="shared" si="31"/>
        <v>2025</v>
      </c>
      <c r="AF171" s="17" t="str">
        <f t="shared" si="32"/>
        <v>10.2025</v>
      </c>
      <c r="AG171" s="17" t="str">
        <f t="shared" si="33"/>
        <v>Celina Panther</v>
      </c>
      <c r="AH171" s="17" t="str">
        <f>IFERROR(VLOOKUP(B171,[1]Kundenübersicht!$E$4:$F$85,2,FALSE),"")</f>
        <v>Christine Klewer</v>
      </c>
      <c r="AI171" s="17" t="str">
        <f t="shared" si="35"/>
        <v>Hauswirtschaft</v>
      </c>
      <c r="AJ171" s="17" t="str">
        <f t="shared" si="35"/>
        <v>Entlastungsleistung</v>
      </c>
      <c r="AL171" s="18">
        <f t="shared" si="26"/>
        <v>38</v>
      </c>
      <c r="AM171" s="18">
        <f t="shared" si="27"/>
        <v>57</v>
      </c>
      <c r="AN171" s="18">
        <f t="shared" si="28"/>
        <v>0</v>
      </c>
    </row>
    <row r="172" spans="2:40" x14ac:dyDescent="0.25">
      <c r="B172" s="30" t="s">
        <v>73</v>
      </c>
      <c r="C172" s="31">
        <v>45950</v>
      </c>
      <c r="D172" s="32">
        <v>0.39583333333333331</v>
      </c>
      <c r="E172" s="32">
        <v>0.45833333333333331</v>
      </c>
      <c r="F172" s="12">
        <f t="shared" si="29"/>
        <v>1.5</v>
      </c>
      <c r="G172" s="12"/>
      <c r="H172" s="30" t="s">
        <v>26</v>
      </c>
      <c r="I172" s="30" t="s">
        <v>27</v>
      </c>
      <c r="J172" s="30" t="s">
        <v>28</v>
      </c>
      <c r="K172" s="9" t="str">
        <f>VLOOKUP($B172,[1]Kundenübersicht!$E$4:$AC$1003,MATCH(K$3,[1]Kundenübersicht!$E$3:$BA$3,FALSE),FALSE)</f>
        <v>AOK PLUS</v>
      </c>
      <c r="L172" s="13">
        <f>VLOOKUP(B172,[1]Kundenübersicht!$E$4:$AC$1003,MATCH(L$3,[1]Kundenübersicht!$E$3:$BA$3,FALSE),FALSE)</f>
        <v>107299005</v>
      </c>
      <c r="M172" s="13" t="str">
        <f>VLOOKUP(B172,[1]Kundenübersicht!$E$4:$AC$1003,MATCH(M$3,[1]Kundenübersicht!$E$3:$BA$3,FALSE),FALSE)</f>
        <v>A758670111</v>
      </c>
      <c r="N172" s="13" t="str">
        <f>VLOOKUP(B172,[1]Kundenübersicht!$E$4:$AC$1003,MATCH(N$3,[1]Kundenübersicht!$E$3:$BA$3,FALSE),FALSE)</f>
        <v>PG 2</v>
      </c>
      <c r="P172" s="9" t="s">
        <v>29</v>
      </c>
      <c r="R172" s="9" t="str">
        <f t="shared" si="37"/>
        <v>Unterschrieben</v>
      </c>
      <c r="S172" s="14" t="s">
        <v>31</v>
      </c>
      <c r="U172" s="15">
        <f>IF(YEAR(C172)&lt;=2025,IFERROR(IF(I172="Hauswirtschaft",VLOOKUP($B172,[1]Kundenübersicht!$E$4:$BA$1003,MATCH("Hauswirtschaft [€/Stunde]",[1]Kundenübersicht!$E$3:$BA$3,FALSE),FALSE),VLOOKUP($B172,[1]Kundenübersicht!$E$4:$BA$1003,MATCH("Alltagsbegleitung [€/Stunde]",[1]Kundenübersicht!$E$3:$BA$3,FALSE),FALSE)),0),IFERROR(IF(I172="Hauswirtschaft",VLOOKUP($B172,[1]Kundenübersicht!$E$4:$BA$1003,MATCH("HW ab 2026 [€/Stunde]",[1]Kundenübersicht!$E$3:$BA$3,FALSE),FALSE),VLOOKUP($B172,[1]Kundenübersicht!$E$4:$BA$1003,MATCH("Alltagsbegleitung [€/Stunde]",[1]Kundenübersicht!$E$3:$BA$3,FALSE),FALSE)),0))</f>
        <v>38</v>
      </c>
      <c r="V172" s="16">
        <f t="shared" si="30"/>
        <v>57</v>
      </c>
      <c r="W172" s="16">
        <f t="shared" si="24"/>
        <v>0</v>
      </c>
      <c r="X172" s="16" t="str">
        <f>VLOOKUP(B172,[1]Kundenübersicht!E:AG,MATCH($X$3,[1]Kundenübersicht!$E$3:$AY$3,0),FALSE)</f>
        <v>Neu</v>
      </c>
      <c r="Z172" s="20" t="str">
        <f t="shared" si="38"/>
        <v>Ja</v>
      </c>
      <c r="AA172" s="19">
        <v>46057</v>
      </c>
      <c r="AC172" s="19"/>
      <c r="AE172" s="9">
        <f t="shared" si="31"/>
        <v>2025</v>
      </c>
      <c r="AF172" s="17" t="str">
        <f t="shared" si="32"/>
        <v>10.2025</v>
      </c>
      <c r="AG172" s="17" t="str">
        <f t="shared" si="33"/>
        <v>Celina Panther</v>
      </c>
      <c r="AH172" s="17" t="str">
        <f>IFERROR(VLOOKUP(B172,[1]Kundenübersicht!$E$4:$F$85,2,FALSE),"")</f>
        <v>Christine Klewer</v>
      </c>
      <c r="AI172" s="17" t="str">
        <f t="shared" si="35"/>
        <v>Hauswirtschaft</v>
      </c>
      <c r="AJ172" s="17" t="str">
        <f t="shared" si="35"/>
        <v>Entlastungsleistung</v>
      </c>
      <c r="AL172" s="18">
        <f t="shared" si="26"/>
        <v>38</v>
      </c>
      <c r="AM172" s="18">
        <f t="shared" si="27"/>
        <v>57</v>
      </c>
      <c r="AN172" s="18">
        <f t="shared" si="28"/>
        <v>0</v>
      </c>
    </row>
    <row r="173" spans="2:40" x14ac:dyDescent="0.25">
      <c r="B173" s="28" t="s">
        <v>57</v>
      </c>
      <c r="C173" s="31">
        <v>45957</v>
      </c>
      <c r="D173" s="32">
        <v>0.54166666666666663</v>
      </c>
      <c r="E173" s="32">
        <v>0.60416666666666663</v>
      </c>
      <c r="F173" s="12">
        <f t="shared" si="29"/>
        <v>1.5</v>
      </c>
      <c r="G173" s="12">
        <v>6.5</v>
      </c>
      <c r="H173" s="30" t="s">
        <v>64</v>
      </c>
      <c r="I173" s="30" t="s">
        <v>27</v>
      </c>
      <c r="J173" s="30" t="s">
        <v>28</v>
      </c>
      <c r="K173" s="9" t="str">
        <f>VLOOKUP($B173,[1]Kundenübersicht!$E$4:$AC$1003,MATCH(K$3,[1]Kundenübersicht!$E$3:$BA$3,FALSE),FALSE)</f>
        <v>AOK PLUS</v>
      </c>
      <c r="L173" s="13">
        <f>VLOOKUP(B173,[1]Kundenübersicht!$E$4:$AC$1003,MATCH(L$3,[1]Kundenübersicht!$E$3:$BA$3,FALSE),FALSE)</f>
        <v>107299005</v>
      </c>
      <c r="M173" s="13" t="str">
        <f>VLOOKUP(B173,[1]Kundenübersicht!$E$4:$AC$1003,MATCH(M$3,[1]Kundenübersicht!$E$3:$BA$3,FALSE),FALSE)</f>
        <v>N303904545</v>
      </c>
      <c r="N173" s="13" t="str">
        <f>VLOOKUP(B173,[1]Kundenübersicht!$E$4:$AC$1003,MATCH(N$3,[1]Kundenübersicht!$E$3:$BA$3,FALSE),FALSE)</f>
        <v>PG 1</v>
      </c>
      <c r="P173" s="9" t="s">
        <v>29</v>
      </c>
      <c r="R173" s="9" t="s">
        <v>30</v>
      </c>
      <c r="S173" s="14" t="s">
        <v>31</v>
      </c>
      <c r="U173" s="15">
        <f>IF(YEAR(C173)&lt;=2025,IFERROR(IF(I173="Hauswirtschaft",VLOOKUP($B173,[1]Kundenübersicht!$E$4:$BA$1003,MATCH("Hauswirtschaft [€/Stunde]",[1]Kundenübersicht!$E$3:$BA$3,FALSE),FALSE),VLOOKUP($B173,[1]Kundenübersicht!$E$4:$BA$1003,MATCH("Alltagsbegleitung [€/Stunde]",[1]Kundenübersicht!$E$3:$BA$3,FALSE),FALSE)),0),IFERROR(IF(I173="Hauswirtschaft",VLOOKUP($B173,[1]Kundenübersicht!$E$4:$BA$1003,MATCH("HW ab 2026 [€/Stunde]",[1]Kundenübersicht!$E$3:$BA$3,FALSE),FALSE),VLOOKUP($B173,[1]Kundenübersicht!$E$4:$BA$1003,MATCH("Alltagsbegleitung [€/Stunde]",[1]Kundenübersicht!$E$3:$BA$3,FALSE),FALSE)),0))</f>
        <v>32.75</v>
      </c>
      <c r="V173" s="16">
        <f t="shared" si="30"/>
        <v>49.125</v>
      </c>
      <c r="W173" s="16">
        <f t="shared" si="24"/>
        <v>0</v>
      </c>
      <c r="X173" s="16" t="str">
        <f>VLOOKUP(B173,[1]Kundenübersicht!E:AG,MATCH($X$3,[1]Kundenübersicht!$E$3:$AY$3,0),FALSE)</f>
        <v>Alt</v>
      </c>
      <c r="Z173" s="20" t="str">
        <f t="shared" si="38"/>
        <v>Ja</v>
      </c>
      <c r="AA173" s="19">
        <v>45979</v>
      </c>
      <c r="AC173" s="19">
        <v>46002</v>
      </c>
      <c r="AE173" s="9">
        <f t="shared" si="31"/>
        <v>2025</v>
      </c>
      <c r="AF173" s="17" t="str">
        <f t="shared" si="32"/>
        <v>10.2025</v>
      </c>
      <c r="AG173" s="17" t="str">
        <f t="shared" si="33"/>
        <v>Ursula Ullmann</v>
      </c>
      <c r="AH173" s="17" t="str">
        <f>IFERROR(VLOOKUP(B173,[1]Kundenübersicht!$E$4:$F$85,2,FALSE),"")</f>
        <v>Egon Bochmann</v>
      </c>
      <c r="AI173" s="17" t="str">
        <f t="shared" si="35"/>
        <v>Hauswirtschaft</v>
      </c>
      <c r="AJ173" s="17" t="str">
        <f t="shared" si="35"/>
        <v>Entlastungsleistung</v>
      </c>
      <c r="AL173" s="18">
        <f t="shared" si="26"/>
        <v>38</v>
      </c>
      <c r="AM173" s="18">
        <f t="shared" si="27"/>
        <v>57</v>
      </c>
      <c r="AN173" s="18">
        <f t="shared" si="28"/>
        <v>2.2749999999999999</v>
      </c>
    </row>
    <row r="174" spans="2:40" x14ac:dyDescent="0.25">
      <c r="B174" s="28" t="s">
        <v>58</v>
      </c>
      <c r="C174" s="31">
        <v>45957</v>
      </c>
      <c r="D174" s="32">
        <v>0.625</v>
      </c>
      <c r="E174" s="32">
        <v>0.6875</v>
      </c>
      <c r="F174" s="12">
        <f t="shared" si="29"/>
        <v>1.5</v>
      </c>
      <c r="G174" s="12">
        <v>7</v>
      </c>
      <c r="H174" s="30" t="s">
        <v>64</v>
      </c>
      <c r="I174" s="30" t="s">
        <v>27</v>
      </c>
      <c r="J174" s="30" t="s">
        <v>28</v>
      </c>
      <c r="K174" s="9" t="str">
        <f>VLOOKUP($B174,[1]Kundenübersicht!$E$4:$AC$1003,MATCH(K$3,[1]Kundenübersicht!$E$3:$BA$3,FALSE),FALSE)</f>
        <v>IKK Classic</v>
      </c>
      <c r="L174" s="13">
        <f>VLOOKUP(B174,[1]Kundenübersicht!$E$4:$AC$1003,MATCH(L$3,[1]Kundenübersicht!$E$3:$BA$3,FALSE),FALSE)</f>
        <v>187202793</v>
      </c>
      <c r="M174" s="13" t="str">
        <f>VLOOKUP(B174,[1]Kundenübersicht!$E$4:$AC$1003,MATCH(M$3,[1]Kundenübersicht!$E$3:$BA$3,FALSE),FALSE)</f>
        <v>G520510754</v>
      </c>
      <c r="N174" s="13" t="str">
        <f>VLOOKUP(B174,[1]Kundenübersicht!$E$4:$AC$1003,MATCH(N$3,[1]Kundenübersicht!$E$3:$BA$3,FALSE),FALSE)</f>
        <v>PG 2</v>
      </c>
      <c r="P174" s="9" t="s">
        <v>29</v>
      </c>
      <c r="R174" s="9" t="s">
        <v>30</v>
      </c>
      <c r="S174" s="14" t="s">
        <v>31</v>
      </c>
      <c r="U174" s="15">
        <f>IF(YEAR(C174)&lt;=2025,IFERROR(IF(I174="Hauswirtschaft",VLOOKUP($B174,[1]Kundenübersicht!$E$4:$BA$1003,MATCH("Hauswirtschaft [€/Stunde]",[1]Kundenübersicht!$E$3:$BA$3,FALSE),FALSE),VLOOKUP($B174,[1]Kundenübersicht!$E$4:$BA$1003,MATCH("Alltagsbegleitung [€/Stunde]",[1]Kundenübersicht!$E$3:$BA$3,FALSE),FALSE)),0),IFERROR(IF(I174="Hauswirtschaft",VLOOKUP($B174,[1]Kundenübersicht!$E$4:$BA$1003,MATCH("HW ab 2026 [€/Stunde]",[1]Kundenübersicht!$E$3:$BA$3,FALSE),FALSE),VLOOKUP($B174,[1]Kundenübersicht!$E$4:$BA$1003,MATCH("Alltagsbegleitung [€/Stunde]",[1]Kundenübersicht!$E$3:$BA$3,FALSE),FALSE)),0))</f>
        <v>32.75</v>
      </c>
      <c r="V174" s="16">
        <f t="shared" si="30"/>
        <v>49.125</v>
      </c>
      <c r="W174" s="16">
        <f t="shared" si="24"/>
        <v>0</v>
      </c>
      <c r="X174" s="16" t="str">
        <f>VLOOKUP(B174,[1]Kundenübersicht!E:AG,MATCH($X$3,[1]Kundenübersicht!$E$3:$AY$3,0),FALSE)</f>
        <v>Alt</v>
      </c>
      <c r="Z174" s="20" t="str">
        <f t="shared" si="38"/>
        <v>Ja</v>
      </c>
      <c r="AA174" s="19">
        <v>45979</v>
      </c>
      <c r="AC174" s="10">
        <v>45995</v>
      </c>
      <c r="AE174" s="9">
        <f t="shared" si="31"/>
        <v>2025</v>
      </c>
      <c r="AF174" s="17" t="str">
        <f t="shared" si="32"/>
        <v>10.2025</v>
      </c>
      <c r="AG174" s="17" t="str">
        <f t="shared" si="33"/>
        <v>Ursula Ullmann</v>
      </c>
      <c r="AH174" s="17" t="str">
        <f>IFERROR(VLOOKUP(B174,[1]Kundenübersicht!$E$4:$F$85,2,FALSE),"")</f>
        <v>Bernd Fischer</v>
      </c>
      <c r="AI174" s="17" t="str">
        <f t="shared" si="35"/>
        <v>Hauswirtschaft</v>
      </c>
      <c r="AJ174" s="17" t="str">
        <f t="shared" si="35"/>
        <v>Entlastungsleistung</v>
      </c>
      <c r="AL174" s="18">
        <f t="shared" si="26"/>
        <v>38</v>
      </c>
      <c r="AM174" s="18">
        <f t="shared" si="27"/>
        <v>57</v>
      </c>
      <c r="AN174" s="18">
        <f t="shared" si="28"/>
        <v>2.4499999999999997</v>
      </c>
    </row>
    <row r="175" spans="2:40" x14ac:dyDescent="0.25">
      <c r="B175" s="30" t="s">
        <v>43</v>
      </c>
      <c r="C175" s="31">
        <v>45931</v>
      </c>
      <c r="D175" s="32">
        <v>0.33333333333333331</v>
      </c>
      <c r="E175" s="32">
        <v>0.375</v>
      </c>
      <c r="F175" s="12">
        <f t="shared" si="29"/>
        <v>1.0000000000000004</v>
      </c>
      <c r="G175" s="12"/>
      <c r="H175" s="30" t="s">
        <v>46</v>
      </c>
      <c r="I175" s="30" t="s">
        <v>27</v>
      </c>
      <c r="J175" s="30" t="s">
        <v>28</v>
      </c>
      <c r="K175" s="9" t="str">
        <f>VLOOKUP($B175,[1]Kundenübersicht!$E$4:$AC$1003,MATCH(K$3,[1]Kundenübersicht!$E$3:$BA$3,FALSE),FALSE)</f>
        <v>AOK PLUS</v>
      </c>
      <c r="L175" s="13">
        <f>VLOOKUP(B175,[1]Kundenübersicht!$E$4:$AC$1003,MATCH(L$3,[1]Kundenübersicht!$E$3:$BA$3,FALSE),FALSE)</f>
        <v>107299005</v>
      </c>
      <c r="M175" s="13" t="str">
        <f>VLOOKUP(B175,[1]Kundenübersicht!$E$4:$AC$1003,MATCH(M$3,[1]Kundenübersicht!$E$3:$BA$3,FALSE),FALSE)</f>
        <v>I323820679</v>
      </c>
      <c r="N175" s="13" t="str">
        <f>VLOOKUP(B175,[1]Kundenübersicht!$E$4:$AC$1003,MATCH(N$3,[1]Kundenübersicht!$E$3:$BA$3,FALSE),FALSE)</f>
        <v>PG 1</v>
      </c>
      <c r="P175" s="9" t="s">
        <v>29</v>
      </c>
      <c r="R175" s="9" t="s">
        <v>30</v>
      </c>
      <c r="S175" s="14" t="s">
        <v>31</v>
      </c>
      <c r="U175" s="15">
        <f>IF(YEAR(C175)&lt;=2025,IFERROR(IF(I175="Hauswirtschaft",VLOOKUP($B175,[1]Kundenübersicht!$E$4:$BA$1003,MATCH("Hauswirtschaft [€/Stunde]",[1]Kundenübersicht!$E$3:$BA$3,FALSE),FALSE),VLOOKUP($B175,[1]Kundenübersicht!$E$4:$BA$1003,MATCH("Alltagsbegleitung [€/Stunde]",[1]Kundenübersicht!$E$3:$BA$3,FALSE),FALSE)),0),IFERROR(IF(I175="Hauswirtschaft",VLOOKUP($B175,[1]Kundenübersicht!$E$4:$BA$1003,MATCH("HW ab 2026 [€/Stunde]",[1]Kundenübersicht!$E$3:$BA$3,FALSE),FALSE),VLOOKUP($B175,[1]Kundenübersicht!$E$4:$BA$1003,MATCH("Alltagsbegleitung [€/Stunde]",[1]Kundenübersicht!$E$3:$BA$3,FALSE),FALSE)),0))</f>
        <v>32.75</v>
      </c>
      <c r="V175" s="16">
        <f t="shared" si="30"/>
        <v>32.750000000000014</v>
      </c>
      <c r="W175" s="16">
        <f t="shared" si="24"/>
        <v>0</v>
      </c>
      <c r="X175" s="16" t="str">
        <f>VLOOKUP(B175,[1]Kundenübersicht!E:AG,MATCH($X$3,[1]Kundenübersicht!$E$3:$AY$3,0),FALSE)</f>
        <v>Alt</v>
      </c>
      <c r="Z175" s="20" t="str">
        <f t="shared" si="38"/>
        <v>Ja</v>
      </c>
      <c r="AA175" s="19">
        <v>45979</v>
      </c>
      <c r="AC175" s="19">
        <v>46057</v>
      </c>
      <c r="AE175" s="9">
        <f t="shared" si="31"/>
        <v>2025</v>
      </c>
      <c r="AF175" s="17" t="str">
        <f t="shared" si="32"/>
        <v>10.2025</v>
      </c>
      <c r="AG175" s="17" t="str">
        <f t="shared" si="33"/>
        <v>Manuela Richter</v>
      </c>
      <c r="AH175" s="17" t="str">
        <f>IFERROR(VLOOKUP(B175,[1]Kundenübersicht!$E$4:$F$85,2,FALSE),"")</f>
        <v>Inge Leupold</v>
      </c>
      <c r="AI175" s="17" t="str">
        <f t="shared" si="35"/>
        <v>Hauswirtschaft</v>
      </c>
      <c r="AJ175" s="17" t="str">
        <f t="shared" si="35"/>
        <v>Entlastungsleistung</v>
      </c>
      <c r="AL175" s="18">
        <f t="shared" si="26"/>
        <v>38</v>
      </c>
      <c r="AM175" s="18">
        <f t="shared" si="27"/>
        <v>38.000000000000014</v>
      </c>
      <c r="AN175" s="18">
        <f t="shared" si="28"/>
        <v>0</v>
      </c>
    </row>
    <row r="176" spans="2:40" x14ac:dyDescent="0.25">
      <c r="B176" s="30" t="s">
        <v>45</v>
      </c>
      <c r="C176" s="31">
        <v>45932</v>
      </c>
      <c r="D176" s="32">
        <v>0.64583333333333337</v>
      </c>
      <c r="E176" s="32">
        <v>0.70833333333333337</v>
      </c>
      <c r="F176" s="12">
        <f t="shared" si="29"/>
        <v>1.5</v>
      </c>
      <c r="G176" s="12"/>
      <c r="H176" s="30" t="s">
        <v>46</v>
      </c>
      <c r="I176" s="30" t="s">
        <v>27</v>
      </c>
      <c r="J176" s="30" t="s">
        <v>28</v>
      </c>
      <c r="K176" s="28" t="s">
        <v>47</v>
      </c>
      <c r="L176" s="29">
        <v>109990508</v>
      </c>
      <c r="M176" s="29" t="s">
        <v>48</v>
      </c>
      <c r="N176" s="13" t="str">
        <f>VLOOKUP(B176,[1]Kundenübersicht!$E$4:$AC$1003,MATCH(N$3,[1]Kundenübersicht!$E$3:$BA$3,FALSE),FALSE)</f>
        <v>PG 1</v>
      </c>
      <c r="P176" s="9" t="s">
        <v>29</v>
      </c>
      <c r="R176" s="9" t="s">
        <v>30</v>
      </c>
      <c r="S176" s="14" t="s">
        <v>31</v>
      </c>
      <c r="U176" s="15">
        <f>IF(YEAR(C176)&lt;=2025,IFERROR(IF(I176="Hauswirtschaft",VLOOKUP($B176,[1]Kundenübersicht!$E$4:$BA$1003,MATCH("Hauswirtschaft [€/Stunde]",[1]Kundenübersicht!$E$3:$BA$3,FALSE),FALSE),VLOOKUP($B176,[1]Kundenübersicht!$E$4:$BA$1003,MATCH("Alltagsbegleitung [€/Stunde]",[1]Kundenübersicht!$E$3:$BA$3,FALSE),FALSE)),0),IFERROR(IF(I176="Hauswirtschaft",VLOOKUP($B176,[1]Kundenübersicht!$E$4:$BA$1003,MATCH("HW ab 2026 [€/Stunde]",[1]Kundenübersicht!$E$3:$BA$3,FALSE),FALSE),VLOOKUP($B176,[1]Kundenübersicht!$E$4:$BA$1003,MATCH("Alltagsbegleitung [€/Stunde]",[1]Kundenübersicht!$E$3:$BA$3,FALSE),FALSE)),0))</f>
        <v>32.75</v>
      </c>
      <c r="V176" s="16">
        <f t="shared" si="30"/>
        <v>49.125</v>
      </c>
      <c r="W176" s="16">
        <f t="shared" si="24"/>
        <v>0</v>
      </c>
      <c r="X176" s="16" t="str">
        <f>VLOOKUP(B176,[1]Kundenübersicht!E:AG,MATCH($X$3,[1]Kundenübersicht!$E$3:$AY$3,0),FALSE)</f>
        <v>Alt</v>
      </c>
      <c r="Z176" s="20" t="str">
        <f t="shared" si="38"/>
        <v>Ja</v>
      </c>
      <c r="AA176" s="19">
        <v>45979</v>
      </c>
      <c r="AC176" s="19">
        <v>45999</v>
      </c>
      <c r="AE176" s="9">
        <f t="shared" si="31"/>
        <v>2025</v>
      </c>
      <c r="AF176" s="17" t="str">
        <f t="shared" si="32"/>
        <v>10.2025</v>
      </c>
      <c r="AG176" s="17" t="str">
        <f t="shared" si="33"/>
        <v>Manuela Richter</v>
      </c>
      <c r="AH176" s="17" t="str">
        <f>IFERROR(VLOOKUP(B176,[1]Kundenübersicht!$E$4:$F$85,2,FALSE),"")</f>
        <v>Hella Reißig</v>
      </c>
      <c r="AI176" s="17" t="str">
        <f t="shared" si="35"/>
        <v>Hauswirtschaft</v>
      </c>
      <c r="AJ176" s="17" t="str">
        <f t="shared" si="35"/>
        <v>Entlastungsleistung</v>
      </c>
      <c r="AL176" s="18">
        <f t="shared" si="26"/>
        <v>38</v>
      </c>
      <c r="AM176" s="18">
        <f t="shared" si="27"/>
        <v>57</v>
      </c>
      <c r="AN176" s="18">
        <f t="shared" si="28"/>
        <v>0</v>
      </c>
    </row>
    <row r="177" spans="2:40" x14ac:dyDescent="0.25">
      <c r="B177" s="30" t="s">
        <v>49</v>
      </c>
      <c r="C177" s="31">
        <v>45932</v>
      </c>
      <c r="D177" s="32">
        <v>0.60416666666666663</v>
      </c>
      <c r="E177" s="32">
        <v>0.64583333333333337</v>
      </c>
      <c r="F177" s="12">
        <f t="shared" si="29"/>
        <v>1.0000000000000018</v>
      </c>
      <c r="G177" s="12"/>
      <c r="H177" s="30" t="s">
        <v>46</v>
      </c>
      <c r="I177" s="30" t="s">
        <v>27</v>
      </c>
      <c r="J177" s="30" t="s">
        <v>28</v>
      </c>
      <c r="K177" s="9" t="str">
        <f>VLOOKUP($B177,[1]Kundenübersicht!$E$4:$AC$1003,MATCH(K$3,[1]Kundenübersicht!$E$3:$BA$3,FALSE),FALSE)</f>
        <v>AOK PLUS</v>
      </c>
      <c r="L177" s="13">
        <f>VLOOKUP(B177,[1]Kundenübersicht!$E$4:$AC$1003,MATCH(L$3,[1]Kundenübersicht!$E$3:$BA$3,FALSE),FALSE)</f>
        <v>107299005</v>
      </c>
      <c r="M177" s="13" t="str">
        <f>VLOOKUP(B177,[1]Kundenübersicht!$E$4:$AC$1003,MATCH(M$3,[1]Kundenübersicht!$E$3:$BA$3,FALSE),FALSE)</f>
        <v>T309560658</v>
      </c>
      <c r="N177" s="13" t="str">
        <f>VLOOKUP(B177,[1]Kundenübersicht!$E$4:$AC$1003,MATCH(N$3,[1]Kundenübersicht!$E$3:$BA$3,FALSE),FALSE)</f>
        <v>PG 2</v>
      </c>
      <c r="P177" s="9" t="s">
        <v>29</v>
      </c>
      <c r="R177" s="9" t="s">
        <v>30</v>
      </c>
      <c r="S177" s="14" t="s">
        <v>31</v>
      </c>
      <c r="U177" s="15">
        <f>IF(YEAR(C177)&lt;=2025,IFERROR(IF(I177="Hauswirtschaft",VLOOKUP($B177,[1]Kundenübersicht!$E$4:$BA$1003,MATCH("Hauswirtschaft [€/Stunde]",[1]Kundenübersicht!$E$3:$BA$3,FALSE),FALSE),VLOOKUP($B177,[1]Kundenübersicht!$E$4:$BA$1003,MATCH("Alltagsbegleitung [€/Stunde]",[1]Kundenübersicht!$E$3:$BA$3,FALSE),FALSE)),0),IFERROR(IF(I177="Hauswirtschaft",VLOOKUP($B177,[1]Kundenübersicht!$E$4:$BA$1003,MATCH("HW ab 2026 [€/Stunde]",[1]Kundenübersicht!$E$3:$BA$3,FALSE),FALSE),VLOOKUP($B177,[1]Kundenübersicht!$E$4:$BA$1003,MATCH("Alltagsbegleitung [€/Stunde]",[1]Kundenübersicht!$E$3:$BA$3,FALSE),FALSE)),0))</f>
        <v>32.75</v>
      </c>
      <c r="V177" s="16">
        <f t="shared" si="30"/>
        <v>32.750000000000057</v>
      </c>
      <c r="W177" s="16">
        <f t="shared" si="24"/>
        <v>0</v>
      </c>
      <c r="X177" s="16" t="str">
        <f>VLOOKUP(B177,[1]Kundenübersicht!E:AG,MATCH($X$3,[1]Kundenübersicht!$E$3:$AY$3,0),FALSE)</f>
        <v>Alt</v>
      </c>
      <c r="Z177" s="20" t="str">
        <f t="shared" si="38"/>
        <v>Ja</v>
      </c>
      <c r="AA177" s="19">
        <v>45979</v>
      </c>
      <c r="AC177" s="19">
        <v>46002</v>
      </c>
      <c r="AE177" s="9">
        <f t="shared" si="31"/>
        <v>2025</v>
      </c>
      <c r="AF177" s="17" t="str">
        <f t="shared" si="32"/>
        <v>10.2025</v>
      </c>
      <c r="AG177" s="17" t="str">
        <f t="shared" si="33"/>
        <v>Manuela Richter</v>
      </c>
      <c r="AH177" s="17" t="str">
        <f>IFERROR(VLOOKUP(B177,[1]Kundenübersicht!$E$4:$F$85,2,FALSE),"")</f>
        <v>Rita Neubert</v>
      </c>
      <c r="AI177" s="17" t="str">
        <f t="shared" si="35"/>
        <v>Hauswirtschaft</v>
      </c>
      <c r="AJ177" s="17" t="str">
        <f t="shared" si="35"/>
        <v>Entlastungsleistung</v>
      </c>
      <c r="AL177" s="18">
        <f t="shared" si="26"/>
        <v>38</v>
      </c>
      <c r="AM177" s="18">
        <f t="shared" si="27"/>
        <v>38.000000000000071</v>
      </c>
      <c r="AN177" s="18">
        <f t="shared" si="28"/>
        <v>0</v>
      </c>
    </row>
    <row r="178" spans="2:40" x14ac:dyDescent="0.25">
      <c r="B178" s="30" t="s">
        <v>69</v>
      </c>
      <c r="C178" s="31">
        <v>45936</v>
      </c>
      <c r="D178" s="32">
        <v>0.33333333333333331</v>
      </c>
      <c r="E178" s="32">
        <v>0.41666666666666669</v>
      </c>
      <c r="F178" s="12">
        <f t="shared" si="29"/>
        <v>2.0000000000000009</v>
      </c>
      <c r="G178" s="12">
        <v>12.3</v>
      </c>
      <c r="H178" s="30" t="s">
        <v>33</v>
      </c>
      <c r="I178" s="30" t="s">
        <v>27</v>
      </c>
      <c r="J178" s="30" t="s">
        <v>28</v>
      </c>
      <c r="K178" s="9" t="str">
        <f>VLOOKUP($B178,[1]Kundenübersicht!$E$4:$AC$1003,MATCH(K$3,[1]Kundenübersicht!$E$3:$BA$3,FALSE),FALSE)</f>
        <v>Barmer Pflegekasse</v>
      </c>
      <c r="L178" s="13">
        <f>VLOOKUP(B178,[1]Kundenübersicht!$E$4:$AC$1003,MATCH(L$3,[1]Kundenübersicht!$E$3:$BA$3,FALSE),FALSE)</f>
        <v>184940005</v>
      </c>
      <c r="M178" s="13" t="str">
        <f>VLOOKUP(B178,[1]Kundenübersicht!$E$4:$AC$1003,MATCH(M$3,[1]Kundenübersicht!$E$3:$BA$3,FALSE),FALSE)</f>
        <v>G192083809</v>
      </c>
      <c r="N178" s="13" t="str">
        <f>VLOOKUP(B178,[1]Kundenübersicht!$E$4:$AC$1003,MATCH(N$3,[1]Kundenübersicht!$E$3:$BA$3,FALSE),FALSE)</f>
        <v>PG 2</v>
      </c>
      <c r="P178" s="9" t="s">
        <v>29</v>
      </c>
      <c r="R178" s="9" t="s">
        <v>30</v>
      </c>
      <c r="S178" s="14" t="s">
        <v>31</v>
      </c>
      <c r="U178" s="15">
        <f>IF(YEAR(C178)&lt;=2025,IFERROR(IF(I178="Hauswirtschaft",VLOOKUP($B178,[1]Kundenübersicht!$E$4:$BA$1003,MATCH("Hauswirtschaft [€/Stunde]",[1]Kundenübersicht!$E$3:$BA$3,FALSE),FALSE),VLOOKUP($B178,[1]Kundenübersicht!$E$4:$BA$1003,MATCH("Alltagsbegleitung [€/Stunde]",[1]Kundenübersicht!$E$3:$BA$3,FALSE),FALSE)),0),IFERROR(IF(I178="Hauswirtschaft",VLOOKUP($B178,[1]Kundenübersicht!$E$4:$BA$1003,MATCH("HW ab 2026 [€/Stunde]",[1]Kundenübersicht!$E$3:$BA$3,FALSE),FALSE),VLOOKUP($B178,[1]Kundenübersicht!$E$4:$BA$1003,MATCH("Alltagsbegleitung [€/Stunde]",[1]Kundenübersicht!$E$3:$BA$3,FALSE),FALSE)),0))</f>
        <v>32.75</v>
      </c>
      <c r="V178" s="16">
        <f t="shared" si="30"/>
        <v>65.500000000000028</v>
      </c>
      <c r="W178" s="16">
        <f>IF(AND(YEAR(C178)&lt;=2025,X178="Alt"),0,G178*0.35)</f>
        <v>0</v>
      </c>
      <c r="X178" s="16" t="str">
        <f>VLOOKUP(B178,[1]Kundenübersicht!E:AG,MATCH($X$3,[1]Kundenübersicht!$E$3:$AY$3,0),FALSE)</f>
        <v>Alt</v>
      </c>
      <c r="Z178" s="20" t="str">
        <f t="shared" si="38"/>
        <v>Ja</v>
      </c>
      <c r="AA178" s="19">
        <v>45979</v>
      </c>
      <c r="AC178" s="19"/>
      <c r="AE178" s="9">
        <f t="shared" si="31"/>
        <v>2025</v>
      </c>
      <c r="AF178" s="17" t="str">
        <f t="shared" si="32"/>
        <v>10.2025</v>
      </c>
      <c r="AG178" s="17" t="str">
        <f t="shared" si="33"/>
        <v>Christiane Fiebag</v>
      </c>
      <c r="AH178" s="17" t="str">
        <f>IFERROR(VLOOKUP(B178,[1]Kundenübersicht!$E$4:$F$85,2,FALSE),"")</f>
        <v>Bettina Jungnickel</v>
      </c>
      <c r="AI178" s="17" t="str">
        <f t="shared" si="35"/>
        <v>Hauswirtschaft</v>
      </c>
      <c r="AJ178" s="17" t="str">
        <f t="shared" si="35"/>
        <v>Entlastungsleistung</v>
      </c>
      <c r="AL178" s="18">
        <f t="shared" si="26"/>
        <v>38</v>
      </c>
      <c r="AM178" s="18">
        <f t="shared" si="27"/>
        <v>76.000000000000028</v>
      </c>
      <c r="AN178" s="18">
        <f t="shared" si="28"/>
        <v>4.3049999999999997</v>
      </c>
    </row>
    <row r="179" spans="2:40" x14ac:dyDescent="0.25">
      <c r="B179" s="30" t="s">
        <v>59</v>
      </c>
      <c r="C179" s="31">
        <v>45951</v>
      </c>
      <c r="D179" s="32">
        <v>0.35416666666666669</v>
      </c>
      <c r="E179" s="32">
        <v>0.41666666666666669</v>
      </c>
      <c r="F179" s="12">
        <f t="shared" si="29"/>
        <v>1.5</v>
      </c>
      <c r="G179" s="12">
        <v>7</v>
      </c>
      <c r="H179" s="30" t="s">
        <v>64</v>
      </c>
      <c r="I179" s="30" t="s">
        <v>27</v>
      </c>
      <c r="J179" s="30" t="s">
        <v>28</v>
      </c>
      <c r="K179" s="9" t="str">
        <f>VLOOKUP($B179,[1]Kundenübersicht!$E$4:$AC$1003,MATCH(K$3,[1]Kundenübersicht!$E$3:$BA$3,FALSE),FALSE)</f>
        <v>IKK Classic</v>
      </c>
      <c r="L179" s="13">
        <f>VLOOKUP(B179,[1]Kundenübersicht!$E$4:$AC$1003,MATCH(L$3,[1]Kundenübersicht!$E$3:$BA$3,FALSE),FALSE)</f>
        <v>187202793</v>
      </c>
      <c r="M179" s="13" t="str">
        <f>VLOOKUP(B179,[1]Kundenübersicht!$E$4:$AC$1003,MATCH(M$3,[1]Kundenübersicht!$E$3:$BA$3,FALSE),FALSE)</f>
        <v>E747849508</v>
      </c>
      <c r="N179" s="13" t="str">
        <f>VLOOKUP(B179,[1]Kundenübersicht!$E$4:$AC$1003,MATCH(N$3,[1]Kundenübersicht!$E$3:$BA$3,FALSE),FALSE)</f>
        <v>PG 3</v>
      </c>
      <c r="P179" s="9" t="s">
        <v>29</v>
      </c>
      <c r="R179" s="9" t="s">
        <v>30</v>
      </c>
      <c r="S179" s="14" t="s">
        <v>31</v>
      </c>
      <c r="U179" s="15">
        <f>IF(YEAR(C179)&lt;=2025,IFERROR(IF(I179="Hauswirtschaft",VLOOKUP($B179,[1]Kundenübersicht!$E$4:$BA$1003,MATCH("Hauswirtschaft [€/Stunde]",[1]Kundenübersicht!$E$3:$BA$3,FALSE),FALSE),VLOOKUP($B179,[1]Kundenübersicht!$E$4:$BA$1003,MATCH("Alltagsbegleitung [€/Stunde]",[1]Kundenübersicht!$E$3:$BA$3,FALSE),FALSE)),0),IFERROR(IF(I179="Hauswirtschaft",VLOOKUP($B179,[1]Kundenübersicht!$E$4:$BA$1003,MATCH("HW ab 2026 [€/Stunde]",[1]Kundenübersicht!$E$3:$BA$3,FALSE),FALSE),VLOOKUP($B179,[1]Kundenübersicht!$E$4:$BA$1003,MATCH("Alltagsbegleitung [€/Stunde]",[1]Kundenübersicht!$E$3:$BA$3,FALSE),FALSE)),0))</f>
        <v>32.75</v>
      </c>
      <c r="V179" s="16">
        <f t="shared" si="30"/>
        <v>49.125</v>
      </c>
      <c r="W179" s="16">
        <f t="shared" si="24"/>
        <v>0</v>
      </c>
      <c r="X179" s="16" t="str">
        <f>VLOOKUP(B179,[1]Kundenübersicht!E:AG,MATCH($X$3,[1]Kundenübersicht!$E$3:$AY$3,0),FALSE)</f>
        <v>Alt</v>
      </c>
      <c r="Z179" s="20" t="str">
        <f t="shared" si="38"/>
        <v>Ja</v>
      </c>
      <c r="AA179" s="19">
        <v>45979</v>
      </c>
      <c r="AC179" s="10">
        <v>45995</v>
      </c>
      <c r="AE179" s="9">
        <f t="shared" si="31"/>
        <v>2025</v>
      </c>
      <c r="AF179" s="17" t="str">
        <f t="shared" si="32"/>
        <v>10.2025</v>
      </c>
      <c r="AG179" s="17" t="str">
        <f t="shared" si="33"/>
        <v>Ursula Ullmann</v>
      </c>
      <c r="AH179" s="17" t="str">
        <f>IFERROR(VLOOKUP(B179,[1]Kundenübersicht!$E$4:$F$85,2,FALSE),"")</f>
        <v>Anita Fischer</v>
      </c>
      <c r="AI179" s="17" t="str">
        <f t="shared" ref="AI179:AJ210" si="39">IF(I179="","",I179)</f>
        <v>Hauswirtschaft</v>
      </c>
      <c r="AJ179" s="17" t="str">
        <f t="shared" si="39"/>
        <v>Entlastungsleistung</v>
      </c>
      <c r="AL179" s="18">
        <f t="shared" si="26"/>
        <v>38</v>
      </c>
      <c r="AM179" s="18">
        <f t="shared" si="27"/>
        <v>57</v>
      </c>
      <c r="AN179" s="18">
        <f t="shared" si="28"/>
        <v>2.4499999999999997</v>
      </c>
    </row>
    <row r="180" spans="2:40" x14ac:dyDescent="0.25">
      <c r="B180" s="30" t="s">
        <v>35</v>
      </c>
      <c r="C180" s="31">
        <v>45936</v>
      </c>
      <c r="D180" s="32">
        <v>0.45833333333333331</v>
      </c>
      <c r="E180" s="32">
        <v>0.54166666666666663</v>
      </c>
      <c r="F180" s="12">
        <f t="shared" si="29"/>
        <v>1.9999999999999996</v>
      </c>
      <c r="G180" s="12">
        <v>9.4</v>
      </c>
      <c r="H180" s="30" t="s">
        <v>33</v>
      </c>
      <c r="I180" s="30" t="s">
        <v>27</v>
      </c>
      <c r="J180" s="30" t="s">
        <v>28</v>
      </c>
      <c r="K180" s="9" t="str">
        <f>VLOOKUP($B180,[1]Kundenübersicht!$E$4:$AC$1003,MATCH(K$3,[1]Kundenübersicht!$E$3:$BA$3,FALSE),FALSE)</f>
        <v>AOK PLUS</v>
      </c>
      <c r="L180" s="13">
        <f>VLOOKUP(B180,[1]Kundenübersicht!$E$4:$AC$1003,MATCH(L$3,[1]Kundenübersicht!$E$3:$BA$3,FALSE),FALSE)</f>
        <v>107299005</v>
      </c>
      <c r="M180" s="13" t="str">
        <f>VLOOKUP(B180,[1]Kundenübersicht!$E$4:$AC$1003,MATCH(M$3,[1]Kundenübersicht!$E$3:$BA$3,FALSE),FALSE)</f>
        <v>P722909118</v>
      </c>
      <c r="N180" s="13" t="str">
        <f>VLOOKUP(B180,[1]Kundenübersicht!$E$4:$AC$1003,MATCH(N$3,[1]Kundenübersicht!$E$3:$BA$3,FALSE),FALSE)</f>
        <v>PG 3</v>
      </c>
      <c r="P180" s="9" t="s">
        <v>29</v>
      </c>
      <c r="R180" s="9" t="s">
        <v>30</v>
      </c>
      <c r="S180" s="14" t="s">
        <v>31</v>
      </c>
      <c r="U180" s="15">
        <f>IF(YEAR(C180)&lt;=2025,IFERROR(IF(I180="Hauswirtschaft",VLOOKUP($B180,[1]Kundenübersicht!$E$4:$BA$1003,MATCH("Hauswirtschaft [€/Stunde]",[1]Kundenübersicht!$E$3:$BA$3,FALSE),FALSE),VLOOKUP($B180,[1]Kundenübersicht!$E$4:$BA$1003,MATCH("Alltagsbegleitung [€/Stunde]",[1]Kundenübersicht!$E$3:$BA$3,FALSE),FALSE)),0),IFERROR(IF(I180="Hauswirtschaft",VLOOKUP($B180,[1]Kundenübersicht!$E$4:$BA$1003,MATCH("HW ab 2026 [€/Stunde]",[1]Kundenübersicht!$E$3:$BA$3,FALSE),FALSE),VLOOKUP($B180,[1]Kundenübersicht!$E$4:$BA$1003,MATCH("Alltagsbegleitung [€/Stunde]",[1]Kundenübersicht!$E$3:$BA$3,FALSE),FALSE)),0))</f>
        <v>32.75</v>
      </c>
      <c r="V180" s="16">
        <f t="shared" si="30"/>
        <v>65.499999999999986</v>
      </c>
      <c r="W180" s="16">
        <f t="shared" si="24"/>
        <v>0</v>
      </c>
      <c r="X180" s="16" t="str">
        <f>VLOOKUP(B180,[1]Kundenübersicht!E:AG,MATCH($X$3,[1]Kundenübersicht!$E$3:$AY$3,0),FALSE)</f>
        <v>Alt</v>
      </c>
      <c r="Z180" s="20" t="str">
        <f t="shared" si="38"/>
        <v>Ja</v>
      </c>
      <c r="AA180" s="19">
        <v>45979</v>
      </c>
      <c r="AC180" s="19">
        <v>46002</v>
      </c>
      <c r="AE180" s="9">
        <f t="shared" si="31"/>
        <v>2025</v>
      </c>
      <c r="AF180" s="17" t="str">
        <f t="shared" si="32"/>
        <v>10.2025</v>
      </c>
      <c r="AG180" s="17" t="str">
        <f t="shared" si="33"/>
        <v>Christiane Fiebag</v>
      </c>
      <c r="AH180" s="17" t="str">
        <f>IFERROR(VLOOKUP(B180,[1]Kundenübersicht!$E$4:$F$85,2,FALSE),"")</f>
        <v>Elke Berghold</v>
      </c>
      <c r="AI180" s="17" t="str">
        <f t="shared" si="39"/>
        <v>Hauswirtschaft</v>
      </c>
      <c r="AJ180" s="17" t="str">
        <f t="shared" si="39"/>
        <v>Entlastungsleistung</v>
      </c>
      <c r="AL180" s="18">
        <f t="shared" si="26"/>
        <v>38</v>
      </c>
      <c r="AM180" s="18">
        <f t="shared" si="27"/>
        <v>75.999999999999986</v>
      </c>
      <c r="AN180" s="18">
        <f t="shared" si="28"/>
        <v>3.29</v>
      </c>
    </row>
    <row r="181" spans="2:40" x14ac:dyDescent="0.25">
      <c r="B181" s="30" t="s">
        <v>70</v>
      </c>
      <c r="C181" s="31">
        <v>45936</v>
      </c>
      <c r="D181" s="32">
        <v>0.54513888888888884</v>
      </c>
      <c r="E181" s="32">
        <v>0.60763888888888884</v>
      </c>
      <c r="F181" s="12">
        <f t="shared" si="29"/>
        <v>1.5</v>
      </c>
      <c r="G181" s="12">
        <v>6.9</v>
      </c>
      <c r="H181" s="30" t="s">
        <v>33</v>
      </c>
      <c r="I181" s="30" t="s">
        <v>27</v>
      </c>
      <c r="J181" s="30" t="s">
        <v>28</v>
      </c>
      <c r="K181" s="9" t="str">
        <f>VLOOKUP($B181,[1]Kundenübersicht!$E$4:$AC$1003,MATCH(K$3,[1]Kundenübersicht!$E$3:$BA$3,FALSE),FALSE)</f>
        <v>Barmer Pflegekasse</v>
      </c>
      <c r="L181" s="13">
        <f>VLOOKUP(B181,[1]Kundenübersicht!$E$4:$AC$1003,MATCH(L$3,[1]Kundenübersicht!$E$3:$BA$3,FALSE),FALSE)</f>
        <v>184940005</v>
      </c>
      <c r="M181" s="13" t="str">
        <f>VLOOKUP(B181,[1]Kundenübersicht!$E$4:$AC$1003,MATCH(M$3,[1]Kundenübersicht!$E$3:$BA$3,FALSE),FALSE)</f>
        <v>W255296774</v>
      </c>
      <c r="N181" s="13" t="str">
        <f>VLOOKUP(B181,[1]Kundenübersicht!$E$4:$AC$1003,MATCH(N$3,[1]Kundenübersicht!$E$3:$BA$3,FALSE),FALSE)</f>
        <v>PG 1</v>
      </c>
      <c r="P181" s="9" t="s">
        <v>29</v>
      </c>
      <c r="R181" s="9" t="s">
        <v>30</v>
      </c>
      <c r="S181" s="14" t="s">
        <v>31</v>
      </c>
      <c r="U181" s="15">
        <f>IF(YEAR(C181)&lt;=2025,IFERROR(IF(I181="Hauswirtschaft",VLOOKUP($B181,[1]Kundenübersicht!$E$4:$BA$1003,MATCH("Hauswirtschaft [€/Stunde]",[1]Kundenübersicht!$E$3:$BA$3,FALSE),FALSE),VLOOKUP($B181,[1]Kundenübersicht!$E$4:$BA$1003,MATCH("Alltagsbegleitung [€/Stunde]",[1]Kundenübersicht!$E$3:$BA$3,FALSE),FALSE)),0),IFERROR(IF(I181="Hauswirtschaft",VLOOKUP($B181,[1]Kundenübersicht!$E$4:$BA$1003,MATCH("HW ab 2026 [€/Stunde]",[1]Kundenübersicht!$E$3:$BA$3,FALSE),FALSE),VLOOKUP($B181,[1]Kundenübersicht!$E$4:$BA$1003,MATCH("Alltagsbegleitung [€/Stunde]",[1]Kundenübersicht!$E$3:$BA$3,FALSE),FALSE)),0))</f>
        <v>38</v>
      </c>
      <c r="V181" s="16">
        <f t="shared" si="30"/>
        <v>57</v>
      </c>
      <c r="W181" s="16">
        <f t="shared" si="24"/>
        <v>2.415</v>
      </c>
      <c r="X181" s="16" t="str">
        <f>VLOOKUP(B181,[1]Kundenübersicht!E:AG,MATCH($X$3,[1]Kundenübersicht!$E$3:$AY$3,0),FALSE)</f>
        <v>Neu</v>
      </c>
      <c r="Z181" s="20" t="str">
        <f t="shared" si="38"/>
        <v>Ja</v>
      </c>
      <c r="AA181" s="19">
        <v>45979</v>
      </c>
      <c r="AC181" s="19"/>
      <c r="AE181" s="9">
        <f t="shared" si="31"/>
        <v>2025</v>
      </c>
      <c r="AF181" s="17" t="str">
        <f t="shared" si="32"/>
        <v>10.2025</v>
      </c>
      <c r="AG181" s="17" t="str">
        <f t="shared" si="33"/>
        <v>Christiane Fiebag</v>
      </c>
      <c r="AH181" s="17" t="str">
        <f>IFERROR(VLOOKUP(B181,[1]Kundenübersicht!$E$4:$F$85,2,FALSE),"")</f>
        <v>Renate Schade</v>
      </c>
      <c r="AI181" s="17" t="str">
        <f t="shared" si="39"/>
        <v>Hauswirtschaft</v>
      </c>
      <c r="AJ181" s="17" t="str">
        <f t="shared" si="39"/>
        <v>Entlastungsleistung</v>
      </c>
      <c r="AL181" s="18">
        <f t="shared" si="26"/>
        <v>38</v>
      </c>
      <c r="AM181" s="18">
        <f t="shared" si="27"/>
        <v>57</v>
      </c>
      <c r="AN181" s="18">
        <f t="shared" si="28"/>
        <v>2.415</v>
      </c>
    </row>
    <row r="182" spans="2:40" x14ac:dyDescent="0.25">
      <c r="B182" s="30" t="s">
        <v>52</v>
      </c>
      <c r="C182" s="31">
        <v>45937</v>
      </c>
      <c r="D182" s="32">
        <v>0.33333333333333331</v>
      </c>
      <c r="E182" s="32">
        <v>0.41666666666666669</v>
      </c>
      <c r="F182" s="12">
        <f t="shared" si="29"/>
        <v>2.0000000000000009</v>
      </c>
      <c r="G182" s="12">
        <v>4.0999999999999996</v>
      </c>
      <c r="H182" s="30" t="s">
        <v>33</v>
      </c>
      <c r="I182" s="30" t="s">
        <v>27</v>
      </c>
      <c r="J182" s="30" t="s">
        <v>28</v>
      </c>
      <c r="K182" s="9" t="str">
        <f>VLOOKUP($B182,[1]Kundenübersicht!$E$4:$AC$1003,MATCH(K$3,[1]Kundenübersicht!$E$3:$BA$3,FALSE),FALSE)</f>
        <v>AOK PLUS</v>
      </c>
      <c r="L182" s="13">
        <f>VLOOKUP(B182,[1]Kundenübersicht!$E$4:$AC$1003,MATCH(L$3,[1]Kundenübersicht!$E$3:$BA$3,FALSE),FALSE)</f>
        <v>107299005</v>
      </c>
      <c r="M182" s="13" t="str">
        <f>VLOOKUP(B182,[1]Kundenübersicht!$E$4:$AC$1003,MATCH(M$3,[1]Kundenübersicht!$E$3:$BA$3,FALSE),FALSE)</f>
        <v>G562042888</v>
      </c>
      <c r="N182" s="13" t="str">
        <f>VLOOKUP(B182,[1]Kundenübersicht!$E$4:$AC$1003,MATCH(N$3,[1]Kundenübersicht!$E$3:$BA$3,FALSE),FALSE)</f>
        <v>PG 2</v>
      </c>
      <c r="P182" s="9" t="s">
        <v>29</v>
      </c>
      <c r="R182" s="9" t="s">
        <v>30</v>
      </c>
      <c r="S182" s="14" t="s">
        <v>31</v>
      </c>
      <c r="U182" s="15">
        <f>IF(YEAR(C182)&lt;=2025,IFERROR(IF(I182="Hauswirtschaft",VLOOKUP($B182,[1]Kundenübersicht!$E$4:$BA$1003,MATCH("Hauswirtschaft [€/Stunde]",[1]Kundenübersicht!$E$3:$BA$3,FALSE),FALSE),VLOOKUP($B182,[1]Kundenübersicht!$E$4:$BA$1003,MATCH("Alltagsbegleitung [€/Stunde]",[1]Kundenübersicht!$E$3:$BA$3,FALSE),FALSE)),0),IFERROR(IF(I182="Hauswirtschaft",VLOOKUP($B182,[1]Kundenübersicht!$E$4:$BA$1003,MATCH("HW ab 2026 [€/Stunde]",[1]Kundenübersicht!$E$3:$BA$3,FALSE),FALSE),VLOOKUP($B182,[1]Kundenübersicht!$E$4:$BA$1003,MATCH("Alltagsbegleitung [€/Stunde]",[1]Kundenübersicht!$E$3:$BA$3,FALSE),FALSE)),0))</f>
        <v>32.75</v>
      </c>
      <c r="V182" s="16">
        <f t="shared" si="30"/>
        <v>65.500000000000028</v>
      </c>
      <c r="W182" s="16">
        <f t="shared" si="24"/>
        <v>0</v>
      </c>
      <c r="X182" s="16" t="str">
        <f>VLOOKUP(B182,[1]Kundenübersicht!E:AG,MATCH($X$3,[1]Kundenübersicht!$E$3:$AY$3,0),FALSE)</f>
        <v>Alt</v>
      </c>
      <c r="Z182" s="20" t="str">
        <f t="shared" si="38"/>
        <v>Ja</v>
      </c>
      <c r="AA182" s="19">
        <v>45979</v>
      </c>
      <c r="AC182" s="19">
        <v>46002</v>
      </c>
      <c r="AE182" s="9">
        <f t="shared" si="31"/>
        <v>2025</v>
      </c>
      <c r="AF182" s="17" t="str">
        <f t="shared" si="32"/>
        <v>10.2025</v>
      </c>
      <c r="AG182" s="17" t="str">
        <f t="shared" si="33"/>
        <v>Christiane Fiebag</v>
      </c>
      <c r="AH182" s="17" t="str">
        <f>IFERROR(VLOOKUP(B182,[1]Kundenübersicht!$E$4:$F$85,2,FALSE),"")</f>
        <v>Matthias Roß</v>
      </c>
      <c r="AI182" s="17" t="str">
        <f t="shared" si="39"/>
        <v>Hauswirtschaft</v>
      </c>
      <c r="AJ182" s="17" t="str">
        <f t="shared" si="39"/>
        <v>Entlastungsleistung</v>
      </c>
      <c r="AL182" s="18">
        <f t="shared" si="26"/>
        <v>38</v>
      </c>
      <c r="AM182" s="18">
        <f t="shared" si="27"/>
        <v>76.000000000000028</v>
      </c>
      <c r="AN182" s="18">
        <f t="shared" si="28"/>
        <v>1.4349999999999998</v>
      </c>
    </row>
    <row r="183" spans="2:40" x14ac:dyDescent="0.25">
      <c r="B183" s="30" t="s">
        <v>62</v>
      </c>
      <c r="C183" s="31">
        <v>45945</v>
      </c>
      <c r="D183" s="32">
        <v>0.375</v>
      </c>
      <c r="E183" s="32">
        <v>0.45833333333333331</v>
      </c>
      <c r="F183" s="12">
        <f t="shared" si="29"/>
        <v>1.9999999999999996</v>
      </c>
      <c r="G183" s="12">
        <v>3.5</v>
      </c>
      <c r="H183" s="30" t="s">
        <v>64</v>
      </c>
      <c r="I183" s="30" t="s">
        <v>27</v>
      </c>
      <c r="J183" s="30" t="s">
        <v>28</v>
      </c>
      <c r="K183" s="9" t="str">
        <f>VLOOKUP($B183,[1]Kundenübersicht!$E$4:$AC$1003,MATCH(K$3,[1]Kundenübersicht!$E$3:$BA$3,FALSE),FALSE)</f>
        <v>IKK Classic</v>
      </c>
      <c r="L183" s="13">
        <f>VLOOKUP(B183,[1]Kundenübersicht!$E$4:$AC$1003,MATCH(L$3,[1]Kundenübersicht!$E$3:$BA$3,FALSE),FALSE)</f>
        <v>187202793</v>
      </c>
      <c r="M183" s="13" t="str">
        <f>VLOOKUP(B183,[1]Kundenübersicht!$E$4:$AC$1003,MATCH(M$3,[1]Kundenübersicht!$E$3:$BA$3,FALSE),FALSE)</f>
        <v>D629015744</v>
      </c>
      <c r="N183" s="13" t="str">
        <f>VLOOKUP(B183,[1]Kundenübersicht!$E$4:$AC$1003,MATCH(N$3,[1]Kundenübersicht!$E$3:$BA$3,FALSE),FALSE)</f>
        <v>PG 2</v>
      </c>
      <c r="P183" s="9" t="s">
        <v>29</v>
      </c>
      <c r="R183" s="9" t="s">
        <v>30</v>
      </c>
      <c r="S183" s="14" t="s">
        <v>31</v>
      </c>
      <c r="U183" s="15">
        <f>IF(YEAR(C183)&lt;=2025,IFERROR(IF(I183="Hauswirtschaft",VLOOKUP($B183,[1]Kundenübersicht!$E$4:$BA$1003,MATCH("Hauswirtschaft [€/Stunde]",[1]Kundenübersicht!$E$3:$BA$3,FALSE),FALSE),VLOOKUP($B183,[1]Kundenübersicht!$E$4:$BA$1003,MATCH("Alltagsbegleitung [€/Stunde]",[1]Kundenübersicht!$E$3:$BA$3,FALSE),FALSE)),0),IFERROR(IF(I183="Hauswirtschaft",VLOOKUP($B183,[1]Kundenübersicht!$E$4:$BA$1003,MATCH("HW ab 2026 [€/Stunde]",[1]Kundenübersicht!$E$3:$BA$3,FALSE),FALSE),VLOOKUP($B183,[1]Kundenübersicht!$E$4:$BA$1003,MATCH("Alltagsbegleitung [€/Stunde]",[1]Kundenübersicht!$E$3:$BA$3,FALSE),FALSE)),0))</f>
        <v>32.75</v>
      </c>
      <c r="V183" s="16">
        <f t="shared" si="30"/>
        <v>65.499999999999986</v>
      </c>
      <c r="W183" s="16">
        <f t="shared" si="24"/>
        <v>0</v>
      </c>
      <c r="X183" s="16" t="str">
        <f>VLOOKUP(B183,[1]Kundenübersicht!E:AG,MATCH($X$3,[1]Kundenübersicht!$E$3:$AY$3,0),FALSE)</f>
        <v>Alt</v>
      </c>
      <c r="Z183" s="20" t="str">
        <f t="shared" si="38"/>
        <v>Ja</v>
      </c>
      <c r="AA183" s="19">
        <v>45979</v>
      </c>
      <c r="AC183" s="10">
        <v>45995</v>
      </c>
      <c r="AE183" s="9">
        <f t="shared" si="31"/>
        <v>2025</v>
      </c>
      <c r="AF183" s="17" t="str">
        <f t="shared" si="32"/>
        <v>10.2025</v>
      </c>
      <c r="AG183" s="17" t="str">
        <f t="shared" si="33"/>
        <v>Ursula Ullmann</v>
      </c>
      <c r="AH183" s="17" t="str">
        <f>IFERROR(VLOOKUP(B183,[1]Kundenübersicht!$E$4:$F$85,2,FALSE),"")</f>
        <v>Hannelore Köhler</v>
      </c>
      <c r="AI183" s="17" t="str">
        <f t="shared" si="39"/>
        <v>Hauswirtschaft</v>
      </c>
      <c r="AJ183" s="17" t="str">
        <f t="shared" si="39"/>
        <v>Entlastungsleistung</v>
      </c>
      <c r="AL183" s="18">
        <f t="shared" si="26"/>
        <v>38</v>
      </c>
      <c r="AM183" s="18">
        <f t="shared" si="27"/>
        <v>75.999999999999986</v>
      </c>
      <c r="AN183" s="18">
        <f t="shared" si="28"/>
        <v>1.2249999999999999</v>
      </c>
    </row>
    <row r="184" spans="2:40" x14ac:dyDescent="0.25">
      <c r="B184" s="30" t="s">
        <v>38</v>
      </c>
      <c r="C184" s="31">
        <v>45939</v>
      </c>
      <c r="D184" s="32">
        <v>0.38194444444444442</v>
      </c>
      <c r="E184" s="32">
        <v>0.44444444444444442</v>
      </c>
      <c r="F184" s="12">
        <f t="shared" si="29"/>
        <v>1.5</v>
      </c>
      <c r="G184" s="12">
        <v>7</v>
      </c>
      <c r="H184" s="30" t="s">
        <v>33</v>
      </c>
      <c r="I184" s="30" t="s">
        <v>27</v>
      </c>
      <c r="J184" s="30" t="s">
        <v>28</v>
      </c>
      <c r="K184" s="9" t="str">
        <f>VLOOKUP($B184,[1]Kundenübersicht!$E$4:$AC$1003,MATCH(K$3,[1]Kundenübersicht!$E$3:$BA$3,FALSE),FALSE)</f>
        <v>AOK PLUS</v>
      </c>
      <c r="L184" s="13">
        <f>VLOOKUP(B184,[1]Kundenübersicht!$E$4:$AC$1003,MATCH(L$3,[1]Kundenübersicht!$E$3:$BA$3,FALSE),FALSE)</f>
        <v>107299005</v>
      </c>
      <c r="M184" s="13" t="str">
        <f>VLOOKUP(B184,[1]Kundenübersicht!$E$4:$AC$1003,MATCH(M$3,[1]Kundenübersicht!$E$3:$BA$3,FALSE),FALSE)</f>
        <v>R782602114</v>
      </c>
      <c r="N184" s="13" t="str">
        <f>VLOOKUP(B184,[1]Kundenübersicht!$E$4:$AC$1003,MATCH(N$3,[1]Kundenübersicht!$E$3:$BA$3,FALSE),FALSE)</f>
        <v>PG 1</v>
      </c>
      <c r="P184" s="9" t="s">
        <v>29</v>
      </c>
      <c r="R184" s="9" t="s">
        <v>30</v>
      </c>
      <c r="S184" s="14" t="s">
        <v>31</v>
      </c>
      <c r="U184" s="15">
        <f>IF(YEAR(C184)&lt;=2025,IFERROR(IF(I184="Hauswirtschaft",VLOOKUP($B184,[1]Kundenübersicht!$E$4:$BA$1003,MATCH("Hauswirtschaft [€/Stunde]",[1]Kundenübersicht!$E$3:$BA$3,FALSE),FALSE),VLOOKUP($B184,[1]Kundenübersicht!$E$4:$BA$1003,MATCH("Alltagsbegleitung [€/Stunde]",[1]Kundenübersicht!$E$3:$BA$3,FALSE),FALSE)),0),IFERROR(IF(I184="Hauswirtschaft",VLOOKUP($B184,[1]Kundenübersicht!$E$4:$BA$1003,MATCH("HW ab 2026 [€/Stunde]",[1]Kundenübersicht!$E$3:$BA$3,FALSE),FALSE),VLOOKUP($B184,[1]Kundenübersicht!$E$4:$BA$1003,MATCH("Alltagsbegleitung [€/Stunde]",[1]Kundenübersicht!$E$3:$BA$3,FALSE),FALSE)),0))</f>
        <v>32.75</v>
      </c>
      <c r="V184" s="16">
        <f t="shared" si="30"/>
        <v>49.125</v>
      </c>
      <c r="W184" s="16">
        <f t="shared" si="24"/>
        <v>0</v>
      </c>
      <c r="X184" s="16" t="str">
        <f>VLOOKUP(B184,[1]Kundenübersicht!E:AG,MATCH($X$3,[1]Kundenübersicht!$E$3:$AY$3,0),FALSE)</f>
        <v>Alt</v>
      </c>
      <c r="Z184" s="20" t="str">
        <f t="shared" si="38"/>
        <v>Ja</v>
      </c>
      <c r="AA184" s="19">
        <v>45979</v>
      </c>
      <c r="AC184" s="19">
        <v>46002</v>
      </c>
      <c r="AE184" s="9">
        <f t="shared" si="31"/>
        <v>2025</v>
      </c>
      <c r="AF184" s="17" t="str">
        <f t="shared" si="32"/>
        <v>10.2025</v>
      </c>
      <c r="AG184" s="17" t="str">
        <f t="shared" si="33"/>
        <v>Christiane Fiebag</v>
      </c>
      <c r="AH184" s="17" t="str">
        <f>IFERROR(VLOOKUP(B184,[1]Kundenübersicht!$E$4:$F$85,2,FALSE),"")</f>
        <v>Christian Jungnickel</v>
      </c>
      <c r="AI184" s="17" t="str">
        <f t="shared" si="39"/>
        <v>Hauswirtschaft</v>
      </c>
      <c r="AJ184" s="17" t="str">
        <f t="shared" si="39"/>
        <v>Entlastungsleistung</v>
      </c>
      <c r="AL184" s="18">
        <f t="shared" si="26"/>
        <v>38</v>
      </c>
      <c r="AM184" s="18">
        <f t="shared" si="27"/>
        <v>57</v>
      </c>
      <c r="AN184" s="18">
        <f t="shared" si="28"/>
        <v>2.4499999999999997</v>
      </c>
    </row>
    <row r="185" spans="2:40" x14ac:dyDescent="0.25">
      <c r="B185" s="30" t="s">
        <v>62</v>
      </c>
      <c r="C185" s="31">
        <v>45945</v>
      </c>
      <c r="D185" s="32">
        <v>0.45833333333333331</v>
      </c>
      <c r="E185" s="32">
        <v>0.5</v>
      </c>
      <c r="F185" s="12">
        <f t="shared" si="29"/>
        <v>1.0000000000000004</v>
      </c>
      <c r="G185" s="12"/>
      <c r="H185" s="30" t="s">
        <v>64</v>
      </c>
      <c r="I185" s="30" t="s">
        <v>41</v>
      </c>
      <c r="J185" s="30" t="s">
        <v>28</v>
      </c>
      <c r="K185" s="9" t="str">
        <f>VLOOKUP($B185,[1]Kundenübersicht!$E$4:$AC$1003,MATCH(K$3,[1]Kundenübersicht!$E$3:$BA$3,FALSE),FALSE)</f>
        <v>IKK Classic</v>
      </c>
      <c r="L185" s="13">
        <f>VLOOKUP(B185,[1]Kundenübersicht!$E$4:$AC$1003,MATCH(L$3,[1]Kundenübersicht!$E$3:$BA$3,FALSE),FALSE)</f>
        <v>187202793</v>
      </c>
      <c r="M185" s="13" t="str">
        <f>VLOOKUP(B185,[1]Kundenübersicht!$E$4:$AC$1003,MATCH(M$3,[1]Kundenübersicht!$E$3:$BA$3,FALSE),FALSE)</f>
        <v>D629015744</v>
      </c>
      <c r="N185" s="13" t="str">
        <f>VLOOKUP(B185,[1]Kundenübersicht!$E$4:$AC$1003,MATCH(N$3,[1]Kundenübersicht!$E$3:$BA$3,FALSE),FALSE)</f>
        <v>PG 2</v>
      </c>
      <c r="P185" s="9" t="s">
        <v>29</v>
      </c>
      <c r="R185" s="9" t="s">
        <v>30</v>
      </c>
      <c r="S185" s="14" t="s">
        <v>31</v>
      </c>
      <c r="U185" s="15">
        <f>IF(YEAR(C185)&lt;=2025,IFERROR(IF(I185="Hauswirtschaft",VLOOKUP($B185,[1]Kundenübersicht!$E$4:$BA$1003,MATCH("Hauswirtschaft [€/Stunde]",[1]Kundenübersicht!$E$3:$BA$3,FALSE),FALSE),VLOOKUP($B185,[1]Kundenübersicht!$E$4:$BA$1003,MATCH("Alltagsbegleitung [€/Stunde]",[1]Kundenübersicht!$E$3:$BA$3,FALSE),FALSE)),0),IFERROR(IF(I185="Hauswirtschaft",VLOOKUP($B185,[1]Kundenübersicht!$E$4:$BA$1003,MATCH("HW ab 2026 [€/Stunde]",[1]Kundenübersicht!$E$3:$BA$3,FALSE),FALSE),VLOOKUP($B185,[1]Kundenübersicht!$E$4:$BA$1003,MATCH("Alltagsbegleitung [€/Stunde]",[1]Kundenübersicht!$E$3:$BA$3,FALSE),FALSE)),0))</f>
        <v>42</v>
      </c>
      <c r="V185" s="16">
        <f t="shared" si="30"/>
        <v>42.000000000000021</v>
      </c>
      <c r="W185" s="16">
        <f t="shared" si="24"/>
        <v>0</v>
      </c>
      <c r="X185" s="16" t="str">
        <f>VLOOKUP(B185,[1]Kundenübersicht!E:AG,MATCH($X$3,[1]Kundenübersicht!$E$3:$AY$3,0),FALSE)</f>
        <v>Alt</v>
      </c>
      <c r="Z185" s="20" t="str">
        <f t="shared" si="38"/>
        <v>Ja</v>
      </c>
      <c r="AA185" s="19">
        <v>45979</v>
      </c>
      <c r="AC185" s="10">
        <v>45995</v>
      </c>
      <c r="AE185" s="9">
        <f t="shared" si="31"/>
        <v>2025</v>
      </c>
      <c r="AF185" s="17" t="str">
        <f t="shared" si="32"/>
        <v>10.2025</v>
      </c>
      <c r="AG185" s="17" t="str">
        <f t="shared" si="33"/>
        <v>Ursula Ullmann</v>
      </c>
      <c r="AH185" s="17" t="str">
        <f>IFERROR(VLOOKUP(B185,[1]Kundenübersicht!$E$4:$F$85,2,FALSE),"")</f>
        <v>Hannelore Köhler</v>
      </c>
      <c r="AI185" s="17" t="str">
        <f t="shared" si="39"/>
        <v>Alltagsbegleitung</v>
      </c>
      <c r="AJ185" s="17" t="str">
        <f t="shared" si="39"/>
        <v>Entlastungsleistung</v>
      </c>
      <c r="AL185" s="18">
        <f t="shared" si="26"/>
        <v>42</v>
      </c>
      <c r="AM185" s="18">
        <f t="shared" si="27"/>
        <v>42.000000000000021</v>
      </c>
      <c r="AN185" s="18">
        <f t="shared" si="28"/>
        <v>0</v>
      </c>
    </row>
    <row r="186" spans="2:40" x14ac:dyDescent="0.25">
      <c r="B186" s="30" t="s">
        <v>42</v>
      </c>
      <c r="C186" s="31">
        <v>45939</v>
      </c>
      <c r="D186" s="32">
        <v>0.45833333333333331</v>
      </c>
      <c r="E186" s="32">
        <v>0.52083333333333337</v>
      </c>
      <c r="F186" s="12">
        <f t="shared" si="29"/>
        <v>1.5000000000000013</v>
      </c>
      <c r="G186" s="12">
        <v>1.5</v>
      </c>
      <c r="H186" s="30" t="s">
        <v>33</v>
      </c>
      <c r="I186" s="30" t="s">
        <v>27</v>
      </c>
      <c r="J186" s="30" t="s">
        <v>28</v>
      </c>
      <c r="K186" s="9" t="str">
        <f>VLOOKUP($B186,[1]Kundenübersicht!$E$4:$AC$1003,MATCH(K$3,[1]Kundenübersicht!$E$3:$BA$3,FALSE),FALSE)</f>
        <v>Techniker Krankenkasse</v>
      </c>
      <c r="L186" s="13">
        <f>VLOOKUP(B186,[1]Kundenübersicht!$E$4:$AC$1003,MATCH(L$3,[1]Kundenübersicht!$E$3:$BA$3,FALSE),FALSE)</f>
        <v>101575519</v>
      </c>
      <c r="M186" s="13" t="str">
        <f>VLOOKUP(B186,[1]Kundenübersicht!$E$4:$AC$1003,MATCH(M$3,[1]Kundenübersicht!$E$3:$BA$3,FALSE),FALSE)</f>
        <v>E759973784</v>
      </c>
      <c r="N186" s="13" t="str">
        <f>VLOOKUP(B186,[1]Kundenübersicht!$E$4:$AC$1003,MATCH(N$3,[1]Kundenübersicht!$E$3:$BA$3,FALSE),FALSE)</f>
        <v>PG 2</v>
      </c>
      <c r="P186" s="9" t="s">
        <v>29</v>
      </c>
      <c r="R186" s="9" t="s">
        <v>30</v>
      </c>
      <c r="S186" s="14" t="s">
        <v>31</v>
      </c>
      <c r="U186" s="15">
        <f>IF(YEAR(C186)&lt;=2025,IFERROR(IF(I186="Hauswirtschaft",VLOOKUP($B186,[1]Kundenübersicht!$E$4:$BA$1003,MATCH("Hauswirtschaft [€/Stunde]",[1]Kundenübersicht!$E$3:$BA$3,FALSE),FALSE),VLOOKUP($B186,[1]Kundenübersicht!$E$4:$BA$1003,MATCH("Alltagsbegleitung [€/Stunde]",[1]Kundenübersicht!$E$3:$BA$3,FALSE),FALSE)),0),IFERROR(IF(I186="Hauswirtschaft",VLOOKUP($B186,[1]Kundenübersicht!$E$4:$BA$1003,MATCH("HW ab 2026 [€/Stunde]",[1]Kundenübersicht!$E$3:$BA$3,FALSE),FALSE),VLOOKUP($B186,[1]Kundenübersicht!$E$4:$BA$1003,MATCH("Alltagsbegleitung [€/Stunde]",[1]Kundenübersicht!$E$3:$BA$3,FALSE),FALSE)),0))</f>
        <v>32.75</v>
      </c>
      <c r="V186" s="16">
        <f t="shared" si="30"/>
        <v>49.125000000000043</v>
      </c>
      <c r="W186" s="16">
        <f t="shared" si="24"/>
        <v>0</v>
      </c>
      <c r="X186" s="16" t="str">
        <f>VLOOKUP(B186,[1]Kundenübersicht!E:AG,MATCH($X$3,[1]Kundenübersicht!$E$3:$AY$3,0),FALSE)</f>
        <v>Alt</v>
      </c>
      <c r="Z186" s="20" t="str">
        <f t="shared" si="38"/>
        <v>Ja</v>
      </c>
      <c r="AA186" s="19">
        <v>45979</v>
      </c>
      <c r="AC186" s="19">
        <v>46007</v>
      </c>
      <c r="AE186" s="9">
        <f t="shared" si="31"/>
        <v>2025</v>
      </c>
      <c r="AF186" s="17" t="str">
        <f t="shared" si="32"/>
        <v>10.2025</v>
      </c>
      <c r="AG186" s="17" t="str">
        <f t="shared" si="33"/>
        <v>Christiane Fiebag</v>
      </c>
      <c r="AH186" s="17" t="str">
        <f>IFERROR(VLOOKUP(B186,[1]Kundenübersicht!$E$4:$F$85,2,FALSE),"")</f>
        <v>Martin Schmidt</v>
      </c>
      <c r="AI186" s="17" t="str">
        <f t="shared" si="39"/>
        <v>Hauswirtschaft</v>
      </c>
      <c r="AJ186" s="17" t="str">
        <f t="shared" si="39"/>
        <v>Entlastungsleistung</v>
      </c>
      <c r="AL186" s="18">
        <f t="shared" si="26"/>
        <v>38</v>
      </c>
      <c r="AM186" s="18">
        <f t="shared" si="27"/>
        <v>57.00000000000005</v>
      </c>
      <c r="AN186" s="18">
        <f t="shared" si="28"/>
        <v>0.52499999999999991</v>
      </c>
    </row>
    <row r="187" spans="2:40" x14ac:dyDescent="0.25">
      <c r="B187" s="30" t="s">
        <v>45</v>
      </c>
      <c r="C187" s="31">
        <v>45939</v>
      </c>
      <c r="D187" s="32">
        <v>0.54166666666666663</v>
      </c>
      <c r="E187" s="32">
        <v>0.60416666666666663</v>
      </c>
      <c r="F187" s="12">
        <f t="shared" si="29"/>
        <v>1.5</v>
      </c>
      <c r="G187" s="12">
        <v>17.399999999999999</v>
      </c>
      <c r="H187" s="30" t="s">
        <v>33</v>
      </c>
      <c r="I187" s="30" t="s">
        <v>27</v>
      </c>
      <c r="J187" s="30" t="s">
        <v>28</v>
      </c>
      <c r="K187" s="28" t="s">
        <v>47</v>
      </c>
      <c r="L187" s="29">
        <v>109990508</v>
      </c>
      <c r="M187" s="29" t="s">
        <v>48</v>
      </c>
      <c r="N187" s="13" t="str">
        <f>VLOOKUP(B187,[1]Kundenübersicht!$E$4:$AC$1003,MATCH(N$3,[1]Kundenübersicht!$E$3:$BA$3,FALSE),FALSE)</f>
        <v>PG 1</v>
      </c>
      <c r="P187" s="9" t="s">
        <v>29</v>
      </c>
      <c r="R187" s="9" t="s">
        <v>30</v>
      </c>
      <c r="S187" s="14" t="s">
        <v>31</v>
      </c>
      <c r="U187" s="15">
        <f>IF(YEAR(C187)&lt;=2025,IFERROR(IF(I187="Hauswirtschaft",VLOOKUP($B187,[1]Kundenübersicht!$E$4:$BA$1003,MATCH("Hauswirtschaft [€/Stunde]",[1]Kundenübersicht!$E$3:$BA$3,FALSE),FALSE),VLOOKUP($B187,[1]Kundenübersicht!$E$4:$BA$1003,MATCH("Alltagsbegleitung [€/Stunde]",[1]Kundenübersicht!$E$3:$BA$3,FALSE),FALSE)),0),IFERROR(IF(I187="Hauswirtschaft",VLOOKUP($B187,[1]Kundenübersicht!$E$4:$BA$1003,MATCH("HW ab 2026 [€/Stunde]",[1]Kundenübersicht!$E$3:$BA$3,FALSE),FALSE),VLOOKUP($B187,[1]Kundenübersicht!$E$4:$BA$1003,MATCH("Alltagsbegleitung [€/Stunde]",[1]Kundenübersicht!$E$3:$BA$3,FALSE),FALSE)),0))</f>
        <v>32.75</v>
      </c>
      <c r="V187" s="16">
        <f t="shared" si="30"/>
        <v>49.125</v>
      </c>
      <c r="W187" s="16">
        <f t="shared" si="24"/>
        <v>0</v>
      </c>
      <c r="X187" s="16" t="str">
        <f>VLOOKUP(B187,[1]Kundenübersicht!E:AG,MATCH($X$3,[1]Kundenübersicht!$E$3:$AY$3,0),FALSE)</f>
        <v>Alt</v>
      </c>
      <c r="Z187" s="20" t="str">
        <f t="shared" si="38"/>
        <v>Ja</v>
      </c>
      <c r="AA187" s="19">
        <v>45979</v>
      </c>
      <c r="AC187" s="19">
        <v>45999</v>
      </c>
      <c r="AE187" s="9">
        <f t="shared" si="31"/>
        <v>2025</v>
      </c>
      <c r="AF187" s="17" t="str">
        <f t="shared" si="32"/>
        <v>10.2025</v>
      </c>
      <c r="AG187" s="17" t="str">
        <f t="shared" si="33"/>
        <v>Christiane Fiebag</v>
      </c>
      <c r="AH187" s="17" t="str">
        <f>IFERROR(VLOOKUP(B187,[1]Kundenübersicht!$E$4:$F$85,2,FALSE),"")</f>
        <v>Hella Reißig</v>
      </c>
      <c r="AI187" s="17" t="str">
        <f t="shared" si="39"/>
        <v>Hauswirtschaft</v>
      </c>
      <c r="AJ187" s="17" t="str">
        <f t="shared" si="39"/>
        <v>Entlastungsleistung</v>
      </c>
      <c r="AL187" s="18">
        <f t="shared" si="26"/>
        <v>38</v>
      </c>
      <c r="AM187" s="18">
        <f t="shared" si="27"/>
        <v>57</v>
      </c>
      <c r="AN187" s="18">
        <f t="shared" si="28"/>
        <v>6.089999999999999</v>
      </c>
    </row>
    <row r="188" spans="2:40" x14ac:dyDescent="0.25">
      <c r="B188" s="30" t="s">
        <v>62</v>
      </c>
      <c r="C188" s="31">
        <v>45959</v>
      </c>
      <c r="D188" s="32">
        <v>0.375</v>
      </c>
      <c r="E188" s="32">
        <v>0.45833333333333331</v>
      </c>
      <c r="F188" s="12">
        <f t="shared" si="29"/>
        <v>1.9999999999999996</v>
      </c>
      <c r="G188" s="12">
        <v>3.5</v>
      </c>
      <c r="H188" s="30" t="s">
        <v>64</v>
      </c>
      <c r="I188" s="30" t="s">
        <v>27</v>
      </c>
      <c r="J188" s="30" t="s">
        <v>28</v>
      </c>
      <c r="K188" s="9" t="str">
        <f>VLOOKUP($B188,[1]Kundenübersicht!$E$4:$AC$1003,MATCH(K$3,[1]Kundenübersicht!$E$3:$BA$3,FALSE),FALSE)</f>
        <v>IKK Classic</v>
      </c>
      <c r="L188" s="13">
        <f>VLOOKUP(B188,[1]Kundenübersicht!$E$4:$AC$1003,MATCH(L$3,[1]Kundenübersicht!$E$3:$BA$3,FALSE),FALSE)</f>
        <v>187202793</v>
      </c>
      <c r="M188" s="13" t="str">
        <f>VLOOKUP(B188,[1]Kundenübersicht!$E$4:$AC$1003,MATCH(M$3,[1]Kundenübersicht!$E$3:$BA$3,FALSE),FALSE)</f>
        <v>D629015744</v>
      </c>
      <c r="N188" s="13" t="str">
        <f>VLOOKUP(B188,[1]Kundenübersicht!$E$4:$AC$1003,MATCH(N$3,[1]Kundenübersicht!$E$3:$BA$3,FALSE),FALSE)</f>
        <v>PG 2</v>
      </c>
      <c r="P188" s="9" t="s">
        <v>29</v>
      </c>
      <c r="R188" s="9" t="s">
        <v>30</v>
      </c>
      <c r="S188" s="14" t="s">
        <v>31</v>
      </c>
      <c r="U188" s="15">
        <f>IF(YEAR(C188)&lt;=2025,IFERROR(IF(I188="Hauswirtschaft",VLOOKUP($B188,[1]Kundenübersicht!$E$4:$BA$1003,MATCH("Hauswirtschaft [€/Stunde]",[1]Kundenübersicht!$E$3:$BA$3,FALSE),FALSE),VLOOKUP($B188,[1]Kundenübersicht!$E$4:$BA$1003,MATCH("Alltagsbegleitung [€/Stunde]",[1]Kundenübersicht!$E$3:$BA$3,FALSE),FALSE)),0),IFERROR(IF(I188="Hauswirtschaft",VLOOKUP($B188,[1]Kundenübersicht!$E$4:$BA$1003,MATCH("HW ab 2026 [€/Stunde]",[1]Kundenübersicht!$E$3:$BA$3,FALSE),FALSE),VLOOKUP($B188,[1]Kundenübersicht!$E$4:$BA$1003,MATCH("Alltagsbegleitung [€/Stunde]",[1]Kundenübersicht!$E$3:$BA$3,FALSE),FALSE)),0))</f>
        <v>32.75</v>
      </c>
      <c r="V188" s="16">
        <f t="shared" si="30"/>
        <v>65.499999999999986</v>
      </c>
      <c r="W188" s="16">
        <f t="shared" si="24"/>
        <v>0</v>
      </c>
      <c r="X188" s="16" t="str">
        <f>VLOOKUP(B188,[1]Kundenübersicht!E:AG,MATCH($X$3,[1]Kundenübersicht!$E$3:$AY$3,0),FALSE)</f>
        <v>Alt</v>
      </c>
      <c r="Z188" s="20" t="str">
        <f t="shared" si="38"/>
        <v>Ja</v>
      </c>
      <c r="AA188" s="19">
        <v>45979</v>
      </c>
      <c r="AC188" s="10">
        <v>45995</v>
      </c>
      <c r="AE188" s="9">
        <f t="shared" si="31"/>
        <v>2025</v>
      </c>
      <c r="AF188" s="17" t="str">
        <f t="shared" si="32"/>
        <v>10.2025</v>
      </c>
      <c r="AG188" s="17" t="str">
        <f t="shared" si="33"/>
        <v>Ursula Ullmann</v>
      </c>
      <c r="AH188" s="17" t="str">
        <f>IFERROR(VLOOKUP(B188,[1]Kundenübersicht!$E$4:$F$85,2,FALSE),"")</f>
        <v>Hannelore Köhler</v>
      </c>
      <c r="AI188" s="17" t="str">
        <f t="shared" si="39"/>
        <v>Hauswirtschaft</v>
      </c>
      <c r="AJ188" s="17" t="str">
        <f t="shared" si="39"/>
        <v>Entlastungsleistung</v>
      </c>
      <c r="AL188" s="18">
        <f t="shared" si="26"/>
        <v>38</v>
      </c>
      <c r="AM188" s="18">
        <f t="shared" si="27"/>
        <v>75.999999999999986</v>
      </c>
      <c r="AN188" s="18">
        <f t="shared" si="28"/>
        <v>1.2249999999999999</v>
      </c>
    </row>
    <row r="189" spans="2:40" x14ac:dyDescent="0.25">
      <c r="B189" s="30" t="s">
        <v>62</v>
      </c>
      <c r="C189" s="31">
        <v>45959</v>
      </c>
      <c r="D189" s="32">
        <v>0.45833333333333331</v>
      </c>
      <c r="E189" s="32">
        <v>0.5</v>
      </c>
      <c r="F189" s="12">
        <f t="shared" si="29"/>
        <v>1.0000000000000004</v>
      </c>
      <c r="G189" s="12"/>
      <c r="H189" s="30" t="s">
        <v>64</v>
      </c>
      <c r="I189" s="30" t="s">
        <v>41</v>
      </c>
      <c r="J189" s="30" t="s">
        <v>28</v>
      </c>
      <c r="K189" s="9" t="str">
        <f>VLOOKUP($B189,[1]Kundenübersicht!$E$4:$AC$1003,MATCH(K$3,[1]Kundenübersicht!$E$3:$BA$3,FALSE),FALSE)</f>
        <v>IKK Classic</v>
      </c>
      <c r="L189" s="13">
        <f>VLOOKUP(B189,[1]Kundenübersicht!$E$4:$AC$1003,MATCH(L$3,[1]Kundenübersicht!$E$3:$BA$3,FALSE),FALSE)</f>
        <v>187202793</v>
      </c>
      <c r="M189" s="13" t="str">
        <f>VLOOKUP(B189,[1]Kundenübersicht!$E$4:$AC$1003,MATCH(M$3,[1]Kundenübersicht!$E$3:$BA$3,FALSE),FALSE)</f>
        <v>D629015744</v>
      </c>
      <c r="N189" s="13" t="str">
        <f>VLOOKUP(B189,[1]Kundenübersicht!$E$4:$AC$1003,MATCH(N$3,[1]Kundenübersicht!$E$3:$BA$3,FALSE),FALSE)</f>
        <v>PG 2</v>
      </c>
      <c r="P189" s="9" t="s">
        <v>29</v>
      </c>
      <c r="R189" s="9" t="s">
        <v>30</v>
      </c>
      <c r="S189" s="14" t="s">
        <v>31</v>
      </c>
      <c r="U189" s="15">
        <f>IF(YEAR(C189)&lt;=2025,IFERROR(IF(I189="Hauswirtschaft",VLOOKUP($B189,[1]Kundenübersicht!$E$4:$BA$1003,MATCH("Hauswirtschaft [€/Stunde]",[1]Kundenübersicht!$E$3:$BA$3,FALSE),FALSE),VLOOKUP($B189,[1]Kundenübersicht!$E$4:$BA$1003,MATCH("Alltagsbegleitung [€/Stunde]",[1]Kundenübersicht!$E$3:$BA$3,FALSE),FALSE)),0),IFERROR(IF(I189="Hauswirtschaft",VLOOKUP($B189,[1]Kundenübersicht!$E$4:$BA$1003,MATCH("HW ab 2026 [€/Stunde]",[1]Kundenübersicht!$E$3:$BA$3,FALSE),FALSE),VLOOKUP($B189,[1]Kundenübersicht!$E$4:$BA$1003,MATCH("Alltagsbegleitung [€/Stunde]",[1]Kundenübersicht!$E$3:$BA$3,FALSE),FALSE)),0))</f>
        <v>42</v>
      </c>
      <c r="V189" s="16">
        <f t="shared" si="30"/>
        <v>42.000000000000021</v>
      </c>
      <c r="W189" s="16">
        <f t="shared" si="24"/>
        <v>0</v>
      </c>
      <c r="X189" s="16" t="str">
        <f>VLOOKUP(B189,[1]Kundenübersicht!E:AG,MATCH($X$3,[1]Kundenübersicht!$E$3:$AY$3,0),FALSE)</f>
        <v>Alt</v>
      </c>
      <c r="Z189" s="20" t="str">
        <f t="shared" si="38"/>
        <v>Ja</v>
      </c>
      <c r="AA189" s="19">
        <v>45979</v>
      </c>
      <c r="AC189" s="10">
        <v>45995</v>
      </c>
      <c r="AE189" s="9">
        <f t="shared" si="31"/>
        <v>2025</v>
      </c>
      <c r="AF189" s="17" t="str">
        <f t="shared" si="32"/>
        <v>10.2025</v>
      </c>
      <c r="AG189" s="17" t="str">
        <f t="shared" si="33"/>
        <v>Ursula Ullmann</v>
      </c>
      <c r="AH189" s="17" t="str">
        <f>IFERROR(VLOOKUP(B189,[1]Kundenübersicht!$E$4:$F$85,2,FALSE),"")</f>
        <v>Hannelore Köhler</v>
      </c>
      <c r="AI189" s="17" t="str">
        <f t="shared" si="39"/>
        <v>Alltagsbegleitung</v>
      </c>
      <c r="AJ189" s="17" t="str">
        <f t="shared" si="39"/>
        <v>Entlastungsleistung</v>
      </c>
      <c r="AL189" s="18">
        <f t="shared" si="26"/>
        <v>42</v>
      </c>
      <c r="AM189" s="18">
        <f t="shared" si="27"/>
        <v>42.000000000000021</v>
      </c>
      <c r="AN189" s="18">
        <f t="shared" si="28"/>
        <v>0</v>
      </c>
    </row>
    <row r="190" spans="2:40" x14ac:dyDescent="0.25">
      <c r="B190" s="30" t="s">
        <v>35</v>
      </c>
      <c r="C190" s="31">
        <v>45943</v>
      </c>
      <c r="D190" s="32">
        <v>0.45833333333333331</v>
      </c>
      <c r="E190" s="32">
        <v>0.54166666666666663</v>
      </c>
      <c r="F190" s="12">
        <f t="shared" si="29"/>
        <v>1.9999999999999996</v>
      </c>
      <c r="G190" s="12">
        <v>7.4</v>
      </c>
      <c r="H190" s="30" t="s">
        <v>33</v>
      </c>
      <c r="I190" s="30" t="s">
        <v>27</v>
      </c>
      <c r="J190" s="30" t="s">
        <v>28</v>
      </c>
      <c r="K190" s="9" t="str">
        <f>VLOOKUP($B190,[1]Kundenübersicht!$E$4:$AC$1003,MATCH(K$3,[1]Kundenübersicht!$E$3:$BA$3,FALSE),FALSE)</f>
        <v>AOK PLUS</v>
      </c>
      <c r="L190" s="13">
        <f>VLOOKUP(B190,[1]Kundenübersicht!$E$4:$AC$1003,MATCH(L$3,[1]Kundenübersicht!$E$3:$BA$3,FALSE),FALSE)</f>
        <v>107299005</v>
      </c>
      <c r="M190" s="13" t="str">
        <f>VLOOKUP(B190,[1]Kundenübersicht!$E$4:$AC$1003,MATCH(M$3,[1]Kundenübersicht!$E$3:$BA$3,FALSE),FALSE)</f>
        <v>P722909118</v>
      </c>
      <c r="N190" s="13" t="str">
        <f>VLOOKUP(B190,[1]Kundenübersicht!$E$4:$AC$1003,MATCH(N$3,[1]Kundenübersicht!$E$3:$BA$3,FALSE),FALSE)</f>
        <v>PG 3</v>
      </c>
      <c r="P190" s="9" t="s">
        <v>29</v>
      </c>
      <c r="R190" s="9" t="s">
        <v>30</v>
      </c>
      <c r="S190" s="14" t="s">
        <v>31</v>
      </c>
      <c r="U190" s="15">
        <f>IF(YEAR(C190)&lt;=2025,IFERROR(IF(I190="Hauswirtschaft",VLOOKUP($B190,[1]Kundenübersicht!$E$4:$BA$1003,MATCH("Hauswirtschaft [€/Stunde]",[1]Kundenübersicht!$E$3:$BA$3,FALSE),FALSE),VLOOKUP($B190,[1]Kundenübersicht!$E$4:$BA$1003,MATCH("Alltagsbegleitung [€/Stunde]",[1]Kundenübersicht!$E$3:$BA$3,FALSE),FALSE)),0),IFERROR(IF(I190="Hauswirtschaft",VLOOKUP($B190,[1]Kundenübersicht!$E$4:$BA$1003,MATCH("HW ab 2026 [€/Stunde]",[1]Kundenübersicht!$E$3:$BA$3,FALSE),FALSE),VLOOKUP($B190,[1]Kundenübersicht!$E$4:$BA$1003,MATCH("Alltagsbegleitung [€/Stunde]",[1]Kundenübersicht!$E$3:$BA$3,FALSE),FALSE)),0))</f>
        <v>32.75</v>
      </c>
      <c r="V190" s="16">
        <f t="shared" si="30"/>
        <v>65.499999999999986</v>
      </c>
      <c r="W190" s="16">
        <f t="shared" si="24"/>
        <v>0</v>
      </c>
      <c r="X190" s="16" t="str">
        <f>VLOOKUP(B190,[1]Kundenübersicht!E:AG,MATCH($X$3,[1]Kundenübersicht!$E$3:$AY$3,0),FALSE)</f>
        <v>Alt</v>
      </c>
      <c r="Z190" s="20" t="str">
        <f t="shared" si="38"/>
        <v>Ja</v>
      </c>
      <c r="AA190" s="19">
        <v>45979</v>
      </c>
      <c r="AC190" s="19">
        <v>46002</v>
      </c>
      <c r="AE190" s="9">
        <f t="shared" si="31"/>
        <v>2025</v>
      </c>
      <c r="AF190" s="17" t="str">
        <f t="shared" si="32"/>
        <v>10.2025</v>
      </c>
      <c r="AG190" s="17" t="str">
        <f t="shared" si="33"/>
        <v>Christiane Fiebag</v>
      </c>
      <c r="AH190" s="17" t="str">
        <f>IFERROR(VLOOKUP(B190,[1]Kundenübersicht!$E$4:$F$85,2,FALSE),"")</f>
        <v>Elke Berghold</v>
      </c>
      <c r="AI190" s="17" t="str">
        <f t="shared" si="39"/>
        <v>Hauswirtschaft</v>
      </c>
      <c r="AJ190" s="17" t="str">
        <f t="shared" si="39"/>
        <v>Entlastungsleistung</v>
      </c>
      <c r="AL190" s="18">
        <f t="shared" si="26"/>
        <v>38</v>
      </c>
      <c r="AM190" s="18">
        <f t="shared" si="27"/>
        <v>75.999999999999986</v>
      </c>
      <c r="AN190" s="18">
        <f t="shared" si="28"/>
        <v>2.59</v>
      </c>
    </row>
    <row r="191" spans="2:40" x14ac:dyDescent="0.25">
      <c r="B191" s="30" t="s">
        <v>44</v>
      </c>
      <c r="C191" s="31">
        <v>45943</v>
      </c>
      <c r="D191" s="32">
        <v>0.55208333333333337</v>
      </c>
      <c r="E191" s="32">
        <v>0.59375</v>
      </c>
      <c r="F191" s="12">
        <f t="shared" si="29"/>
        <v>0.99999999999999911</v>
      </c>
      <c r="G191" s="12">
        <v>2.6</v>
      </c>
      <c r="H191" s="30" t="s">
        <v>33</v>
      </c>
      <c r="I191" s="30" t="s">
        <v>27</v>
      </c>
      <c r="J191" s="30" t="s">
        <v>28</v>
      </c>
      <c r="K191" s="9" t="str">
        <f>VLOOKUP($B191,[1]Kundenübersicht!$E$4:$AC$1003,MATCH(K$3,[1]Kundenübersicht!$E$3:$BA$3,FALSE),FALSE)</f>
        <v>Barmer Pflegekasse</v>
      </c>
      <c r="L191" s="13">
        <f>VLOOKUP(B191,[1]Kundenübersicht!$E$4:$AC$1003,MATCH(L$3,[1]Kundenübersicht!$E$3:$BA$3,FALSE),FALSE)</f>
        <v>184940005</v>
      </c>
      <c r="M191" s="13" t="str">
        <f>VLOOKUP(B191,[1]Kundenübersicht!$E$4:$AC$1003,MATCH(M$3,[1]Kundenübersicht!$E$3:$BA$3,FALSE),FALSE)</f>
        <v>Y800652371</v>
      </c>
      <c r="N191" s="13" t="str">
        <f>VLOOKUP(B191,[1]Kundenübersicht!$E$4:$AC$1003,MATCH(N$3,[1]Kundenübersicht!$E$3:$BA$3,FALSE),FALSE)</f>
        <v>PG 1</v>
      </c>
      <c r="P191" s="9" t="s">
        <v>29</v>
      </c>
      <c r="R191" s="9" t="s">
        <v>30</v>
      </c>
      <c r="S191" s="14" t="s">
        <v>31</v>
      </c>
      <c r="U191" s="15">
        <f>IF(YEAR(C191)&lt;=2025,IFERROR(IF(I191="Hauswirtschaft",VLOOKUP($B191,[1]Kundenübersicht!$E$4:$BA$1003,MATCH("Hauswirtschaft [€/Stunde]",[1]Kundenübersicht!$E$3:$BA$3,FALSE),FALSE),VLOOKUP($B191,[1]Kundenübersicht!$E$4:$BA$1003,MATCH("Alltagsbegleitung [€/Stunde]",[1]Kundenübersicht!$E$3:$BA$3,FALSE),FALSE)),0),IFERROR(IF(I191="Hauswirtschaft",VLOOKUP($B191,[1]Kundenübersicht!$E$4:$BA$1003,MATCH("HW ab 2026 [€/Stunde]",[1]Kundenübersicht!$E$3:$BA$3,FALSE),FALSE),VLOOKUP($B191,[1]Kundenübersicht!$E$4:$BA$1003,MATCH("Alltagsbegleitung [€/Stunde]",[1]Kundenübersicht!$E$3:$BA$3,FALSE),FALSE)),0))</f>
        <v>32.75</v>
      </c>
      <c r="V191" s="16">
        <f t="shared" si="30"/>
        <v>32.749999999999972</v>
      </c>
      <c r="W191" s="16">
        <f t="shared" si="24"/>
        <v>0</v>
      </c>
      <c r="X191" s="16" t="str">
        <f>VLOOKUP(B191,[1]Kundenübersicht!E:AG,MATCH($X$3,[1]Kundenübersicht!$E$3:$AY$3,0),FALSE)</f>
        <v>Alt</v>
      </c>
      <c r="Z191" s="20" t="str">
        <f t="shared" si="38"/>
        <v>Ja</v>
      </c>
      <c r="AA191" s="19">
        <v>45979</v>
      </c>
      <c r="AC191" s="19"/>
      <c r="AE191" s="9">
        <f t="shared" si="31"/>
        <v>2025</v>
      </c>
      <c r="AF191" s="17" t="str">
        <f t="shared" si="32"/>
        <v>10.2025</v>
      </c>
      <c r="AG191" s="17" t="str">
        <f t="shared" si="33"/>
        <v>Christiane Fiebag</v>
      </c>
      <c r="AH191" s="17" t="str">
        <f>IFERROR(VLOOKUP(B191,[1]Kundenübersicht!$E$4:$F$85,2,FALSE),"")</f>
        <v>Dieter Kraft</v>
      </c>
      <c r="AI191" s="17" t="str">
        <f t="shared" si="39"/>
        <v>Hauswirtschaft</v>
      </c>
      <c r="AJ191" s="17" t="str">
        <f t="shared" si="39"/>
        <v>Entlastungsleistung</v>
      </c>
      <c r="AL191" s="18">
        <f t="shared" si="26"/>
        <v>38</v>
      </c>
      <c r="AM191" s="18">
        <f t="shared" si="27"/>
        <v>37.999999999999964</v>
      </c>
      <c r="AN191" s="18">
        <f t="shared" si="28"/>
        <v>0.90999999999999992</v>
      </c>
    </row>
    <row r="192" spans="2:40" x14ac:dyDescent="0.25">
      <c r="B192" s="30" t="s">
        <v>60</v>
      </c>
      <c r="C192" s="31">
        <v>45931</v>
      </c>
      <c r="D192" s="32">
        <v>0.41666666666666669</v>
      </c>
      <c r="E192" s="32">
        <v>0.47916666666666669</v>
      </c>
      <c r="F192" s="12">
        <f t="shared" si="29"/>
        <v>1.5</v>
      </c>
      <c r="G192" s="12">
        <v>7.5</v>
      </c>
      <c r="H192" s="30" t="s">
        <v>64</v>
      </c>
      <c r="I192" s="30" t="s">
        <v>27</v>
      </c>
      <c r="J192" s="30" t="s">
        <v>28</v>
      </c>
      <c r="K192" s="9" t="str">
        <f>VLOOKUP($B192,[1]Kundenübersicht!$E$4:$AC$1003,MATCH(K$3,[1]Kundenübersicht!$E$3:$BA$3,FALSE),FALSE)</f>
        <v>Techniker Krankenkasse</v>
      </c>
      <c r="L192" s="13">
        <f>VLOOKUP(B192,[1]Kundenübersicht!$E$4:$AC$1003,MATCH(L$3,[1]Kundenübersicht!$E$3:$BA$3,FALSE),FALSE)</f>
        <v>101575519</v>
      </c>
      <c r="M192" s="13" t="str">
        <f>VLOOKUP(B192,[1]Kundenübersicht!$E$4:$AC$1003,MATCH(M$3,[1]Kundenübersicht!$E$3:$BA$3,FALSE),FALSE)</f>
        <v>O824144952</v>
      </c>
      <c r="N192" s="13" t="str">
        <f>VLOOKUP(B192,[1]Kundenübersicht!$E$4:$AC$1003,MATCH(N$3,[1]Kundenübersicht!$E$3:$BA$3,FALSE),FALSE)</f>
        <v>PG 2</v>
      </c>
      <c r="P192" s="9" t="s">
        <v>29</v>
      </c>
      <c r="R192" s="9" t="s">
        <v>30</v>
      </c>
      <c r="S192" s="14" t="s">
        <v>31</v>
      </c>
      <c r="U192" s="15">
        <f>IF(YEAR(C192)&lt;=2025,IFERROR(IF(I192="Hauswirtschaft",VLOOKUP($B192,[1]Kundenübersicht!$E$4:$BA$1003,MATCH("Hauswirtschaft [€/Stunde]",[1]Kundenübersicht!$E$3:$BA$3,FALSE),FALSE),VLOOKUP($B192,[1]Kundenübersicht!$E$4:$BA$1003,MATCH("Alltagsbegleitung [€/Stunde]",[1]Kundenübersicht!$E$3:$BA$3,FALSE),FALSE)),0),IFERROR(IF(I192="Hauswirtschaft",VLOOKUP($B192,[1]Kundenübersicht!$E$4:$BA$1003,MATCH("HW ab 2026 [€/Stunde]",[1]Kundenübersicht!$E$3:$BA$3,FALSE),FALSE),VLOOKUP($B192,[1]Kundenübersicht!$E$4:$BA$1003,MATCH("Alltagsbegleitung [€/Stunde]",[1]Kundenübersicht!$E$3:$BA$3,FALSE),FALSE)),0))</f>
        <v>32.75</v>
      </c>
      <c r="V192" s="16">
        <f t="shared" si="30"/>
        <v>49.125</v>
      </c>
      <c r="W192" s="16">
        <f t="shared" si="24"/>
        <v>0</v>
      </c>
      <c r="X192" s="16" t="str">
        <f>VLOOKUP(B192,[1]Kundenübersicht!E:AG,MATCH($X$3,[1]Kundenübersicht!$E$3:$AY$3,0),FALSE)</f>
        <v>Alt</v>
      </c>
      <c r="Z192" s="20" t="str">
        <f t="shared" si="38"/>
        <v>Ja</v>
      </c>
      <c r="AA192" s="19">
        <v>45979</v>
      </c>
      <c r="AC192" s="19">
        <v>46007</v>
      </c>
      <c r="AE192" s="9">
        <f t="shared" si="31"/>
        <v>2025</v>
      </c>
      <c r="AF192" s="17" t="str">
        <f t="shared" si="32"/>
        <v>10.2025</v>
      </c>
      <c r="AG192" s="17" t="str">
        <f t="shared" si="33"/>
        <v>Ursula Ullmann</v>
      </c>
      <c r="AH192" s="17" t="str">
        <f>IFERROR(VLOOKUP(B192,[1]Kundenübersicht!$E$4:$F$85,2,FALSE),"")</f>
        <v>Ellenore Lein</v>
      </c>
      <c r="AI192" s="17" t="str">
        <f t="shared" si="39"/>
        <v>Hauswirtschaft</v>
      </c>
      <c r="AJ192" s="17" t="str">
        <f t="shared" si="39"/>
        <v>Entlastungsleistung</v>
      </c>
      <c r="AL192" s="18">
        <f t="shared" si="26"/>
        <v>38</v>
      </c>
      <c r="AM192" s="18">
        <f t="shared" si="27"/>
        <v>57</v>
      </c>
      <c r="AN192" s="18">
        <f t="shared" si="28"/>
        <v>2.625</v>
      </c>
    </row>
    <row r="193" spans="2:40" x14ac:dyDescent="0.25">
      <c r="B193" s="30" t="s">
        <v>39</v>
      </c>
      <c r="C193" s="31">
        <v>45944</v>
      </c>
      <c r="D193" s="32">
        <v>0.64583333333333337</v>
      </c>
      <c r="E193" s="32">
        <v>0.6875</v>
      </c>
      <c r="F193" s="12">
        <f t="shared" si="29"/>
        <v>0.99999999999999911</v>
      </c>
      <c r="G193" s="12">
        <v>9.3000000000000007</v>
      </c>
      <c r="H193" s="30" t="s">
        <v>40</v>
      </c>
      <c r="I193" s="30" t="s">
        <v>41</v>
      </c>
      <c r="J193" s="30" t="s">
        <v>28</v>
      </c>
      <c r="K193" s="9" t="str">
        <f>VLOOKUP($B193,[1]Kundenübersicht!$E$4:$AC$1003,MATCH(K$3,[1]Kundenübersicht!$E$3:$BA$3,FALSE),FALSE)</f>
        <v>AOK PLUS</v>
      </c>
      <c r="L193" s="13">
        <f>VLOOKUP(B193,[1]Kundenübersicht!$E$4:$AC$1003,MATCH(L$3,[1]Kundenübersicht!$E$3:$BA$3,FALSE),FALSE)</f>
        <v>107299005</v>
      </c>
      <c r="M193" s="13" t="str">
        <f>VLOOKUP(B193,[1]Kundenübersicht!$E$4:$AC$1003,MATCH(M$3,[1]Kundenübersicht!$E$3:$BA$3,FALSE),FALSE)</f>
        <v>Q445657677</v>
      </c>
      <c r="N193" s="13" t="str">
        <f>VLOOKUP(B193,[1]Kundenübersicht!$E$4:$AC$1003,MATCH(N$3,[1]Kundenübersicht!$E$3:$BA$3,FALSE),FALSE)</f>
        <v>PG 2</v>
      </c>
      <c r="P193" s="9" t="s">
        <v>29</v>
      </c>
      <c r="R193" s="9" t="s">
        <v>30</v>
      </c>
      <c r="S193" s="14" t="s">
        <v>31</v>
      </c>
      <c r="U193" s="15">
        <f>IF(YEAR(C193)&lt;=2025,IFERROR(IF(I193="Hauswirtschaft",VLOOKUP($B193,[1]Kundenübersicht!$E$4:$BA$1003,MATCH("Hauswirtschaft [€/Stunde]",[1]Kundenübersicht!$E$3:$BA$3,FALSE),FALSE),VLOOKUP($B193,[1]Kundenübersicht!$E$4:$BA$1003,MATCH("Alltagsbegleitung [€/Stunde]",[1]Kundenübersicht!$E$3:$BA$3,FALSE),FALSE)),0),IFERROR(IF(I193="Hauswirtschaft",VLOOKUP($B193,[1]Kundenübersicht!$E$4:$BA$1003,MATCH("HW ab 2026 [€/Stunde]",[1]Kundenübersicht!$E$3:$BA$3,FALSE),FALSE),VLOOKUP($B193,[1]Kundenübersicht!$E$4:$BA$1003,MATCH("Alltagsbegleitung [€/Stunde]",[1]Kundenübersicht!$E$3:$BA$3,FALSE),FALSE)),0))</f>
        <v>42</v>
      </c>
      <c r="V193" s="16">
        <f t="shared" si="30"/>
        <v>41.999999999999964</v>
      </c>
      <c r="W193" s="16">
        <f t="shared" si="24"/>
        <v>0</v>
      </c>
      <c r="X193" s="16" t="str">
        <f>VLOOKUP(B193,[1]Kundenübersicht!E:AG,MATCH($X$3,[1]Kundenübersicht!$E$3:$AY$3,0),FALSE)</f>
        <v>Alt</v>
      </c>
      <c r="Z193" s="20" t="str">
        <f t="shared" si="38"/>
        <v>Ja</v>
      </c>
      <c r="AA193" s="19">
        <v>45979</v>
      </c>
      <c r="AC193" s="19">
        <v>46002</v>
      </c>
      <c r="AE193" s="9">
        <f t="shared" si="31"/>
        <v>2025</v>
      </c>
      <c r="AF193" s="17" t="str">
        <f t="shared" si="32"/>
        <v>10.2025</v>
      </c>
      <c r="AG193" s="17" t="str">
        <f t="shared" si="33"/>
        <v>Franziska Wächtler</v>
      </c>
      <c r="AH193" s="17" t="str">
        <f>IFERROR(VLOOKUP(B193,[1]Kundenübersicht!$E$4:$F$85,2,FALSE),"")</f>
        <v>Helga Dienelt</v>
      </c>
      <c r="AI193" s="17" t="str">
        <f t="shared" si="39"/>
        <v>Alltagsbegleitung</v>
      </c>
      <c r="AJ193" s="17" t="str">
        <f t="shared" si="39"/>
        <v>Entlastungsleistung</v>
      </c>
      <c r="AL193" s="18">
        <f t="shared" si="26"/>
        <v>42</v>
      </c>
      <c r="AM193" s="18">
        <f t="shared" si="27"/>
        <v>41.999999999999964</v>
      </c>
      <c r="AN193" s="18">
        <f t="shared" si="28"/>
        <v>3.2549999999999999</v>
      </c>
    </row>
    <row r="194" spans="2:40" x14ac:dyDescent="0.25">
      <c r="B194" s="30" t="s">
        <v>43</v>
      </c>
      <c r="C194" s="31">
        <v>45945</v>
      </c>
      <c r="D194" s="32">
        <v>0.33333333333333331</v>
      </c>
      <c r="E194" s="32">
        <v>0.375</v>
      </c>
      <c r="F194" s="12">
        <f t="shared" si="29"/>
        <v>1.0000000000000004</v>
      </c>
      <c r="G194" s="12"/>
      <c r="H194" s="30" t="s">
        <v>46</v>
      </c>
      <c r="I194" s="30" t="s">
        <v>27</v>
      </c>
      <c r="J194" s="30" t="s">
        <v>28</v>
      </c>
      <c r="K194" s="9" t="str">
        <f>VLOOKUP($B194,[1]Kundenübersicht!$E$4:$AC$1003,MATCH(K$3,[1]Kundenübersicht!$E$3:$BA$3,FALSE),FALSE)</f>
        <v>AOK PLUS</v>
      </c>
      <c r="L194" s="13">
        <f>VLOOKUP(B194,[1]Kundenübersicht!$E$4:$AC$1003,MATCH(L$3,[1]Kundenübersicht!$E$3:$BA$3,FALSE),FALSE)</f>
        <v>107299005</v>
      </c>
      <c r="M194" s="13" t="str">
        <f>VLOOKUP(B194,[1]Kundenübersicht!$E$4:$AC$1003,MATCH(M$3,[1]Kundenübersicht!$E$3:$BA$3,FALSE),FALSE)</f>
        <v>I323820679</v>
      </c>
      <c r="N194" s="13" t="str">
        <f>VLOOKUP(B194,[1]Kundenübersicht!$E$4:$AC$1003,MATCH(N$3,[1]Kundenübersicht!$E$3:$BA$3,FALSE),FALSE)</f>
        <v>PG 1</v>
      </c>
      <c r="P194" s="9" t="s">
        <v>29</v>
      </c>
      <c r="R194" s="9" t="s">
        <v>30</v>
      </c>
      <c r="S194" s="14" t="s">
        <v>31</v>
      </c>
      <c r="U194" s="15">
        <f>IF(YEAR(C194)&lt;=2025,IFERROR(IF(I194="Hauswirtschaft",VLOOKUP($B194,[1]Kundenübersicht!$E$4:$BA$1003,MATCH("Hauswirtschaft [€/Stunde]",[1]Kundenübersicht!$E$3:$BA$3,FALSE),FALSE),VLOOKUP($B194,[1]Kundenübersicht!$E$4:$BA$1003,MATCH("Alltagsbegleitung [€/Stunde]",[1]Kundenübersicht!$E$3:$BA$3,FALSE),FALSE)),0),IFERROR(IF(I194="Hauswirtschaft",VLOOKUP($B194,[1]Kundenübersicht!$E$4:$BA$1003,MATCH("HW ab 2026 [€/Stunde]",[1]Kundenübersicht!$E$3:$BA$3,FALSE),FALSE),VLOOKUP($B194,[1]Kundenübersicht!$E$4:$BA$1003,MATCH("Alltagsbegleitung [€/Stunde]",[1]Kundenübersicht!$E$3:$BA$3,FALSE),FALSE)),0))</f>
        <v>32.75</v>
      </c>
      <c r="V194" s="16">
        <f t="shared" si="30"/>
        <v>32.750000000000014</v>
      </c>
      <c r="W194" s="16">
        <f t="shared" si="24"/>
        <v>0</v>
      </c>
      <c r="X194" s="16" t="str">
        <f>VLOOKUP(B194,[1]Kundenübersicht!E:AG,MATCH($X$3,[1]Kundenübersicht!$E$3:$AY$3,0),FALSE)</f>
        <v>Alt</v>
      </c>
      <c r="Z194" s="20" t="str">
        <f t="shared" si="38"/>
        <v>Ja</v>
      </c>
      <c r="AA194" s="19">
        <v>45979</v>
      </c>
      <c r="AC194" s="19">
        <v>46057</v>
      </c>
      <c r="AE194" s="9">
        <f t="shared" si="31"/>
        <v>2025</v>
      </c>
      <c r="AF194" s="17" t="str">
        <f t="shared" si="32"/>
        <v>10.2025</v>
      </c>
      <c r="AG194" s="17" t="str">
        <f t="shared" si="33"/>
        <v>Manuela Richter</v>
      </c>
      <c r="AH194" s="17" t="str">
        <f>IFERROR(VLOOKUP(B194,[1]Kundenübersicht!$E$4:$F$85,2,FALSE),"")</f>
        <v>Inge Leupold</v>
      </c>
      <c r="AI194" s="17" t="str">
        <f t="shared" si="39"/>
        <v>Hauswirtschaft</v>
      </c>
      <c r="AJ194" s="17" t="str">
        <f t="shared" si="39"/>
        <v>Entlastungsleistung</v>
      </c>
      <c r="AL194" s="18">
        <f t="shared" si="26"/>
        <v>38</v>
      </c>
      <c r="AM194" s="18">
        <f t="shared" si="27"/>
        <v>38.000000000000014</v>
      </c>
      <c r="AN194" s="18">
        <f t="shared" si="28"/>
        <v>0</v>
      </c>
    </row>
    <row r="195" spans="2:40" x14ac:dyDescent="0.25">
      <c r="B195" s="30" t="s">
        <v>52</v>
      </c>
      <c r="C195" s="31">
        <v>45945</v>
      </c>
      <c r="D195" s="32">
        <v>0.33333333333333331</v>
      </c>
      <c r="E195" s="32">
        <v>0.41666666666666669</v>
      </c>
      <c r="F195" s="12">
        <f t="shared" si="29"/>
        <v>2.0000000000000009</v>
      </c>
      <c r="G195" s="12">
        <v>3.7</v>
      </c>
      <c r="H195" s="30" t="s">
        <v>33</v>
      </c>
      <c r="I195" s="30" t="s">
        <v>27</v>
      </c>
      <c r="J195" s="30" t="s">
        <v>28</v>
      </c>
      <c r="K195" s="9" t="str">
        <f>VLOOKUP($B195,[1]Kundenübersicht!$E$4:$AC$1003,MATCH(K$3,[1]Kundenübersicht!$E$3:$BA$3,FALSE),FALSE)</f>
        <v>AOK PLUS</v>
      </c>
      <c r="L195" s="13">
        <f>VLOOKUP(B195,[1]Kundenübersicht!$E$4:$AC$1003,MATCH(L$3,[1]Kundenübersicht!$E$3:$BA$3,FALSE),FALSE)</f>
        <v>107299005</v>
      </c>
      <c r="M195" s="13" t="str">
        <f>VLOOKUP(B195,[1]Kundenübersicht!$E$4:$AC$1003,MATCH(M$3,[1]Kundenübersicht!$E$3:$BA$3,FALSE),FALSE)</f>
        <v>G562042888</v>
      </c>
      <c r="N195" s="13" t="str">
        <f>VLOOKUP(B195,[1]Kundenübersicht!$E$4:$AC$1003,MATCH(N$3,[1]Kundenübersicht!$E$3:$BA$3,FALSE),FALSE)</f>
        <v>PG 2</v>
      </c>
      <c r="P195" s="9" t="s">
        <v>29</v>
      </c>
      <c r="R195" s="9" t="s">
        <v>30</v>
      </c>
      <c r="S195" s="14" t="s">
        <v>31</v>
      </c>
      <c r="U195" s="15">
        <f>IF(YEAR(C195)&lt;=2025,IFERROR(IF(I195="Hauswirtschaft",VLOOKUP($B195,[1]Kundenübersicht!$E$4:$BA$1003,MATCH("Hauswirtschaft [€/Stunde]",[1]Kundenübersicht!$E$3:$BA$3,FALSE),FALSE),VLOOKUP($B195,[1]Kundenübersicht!$E$4:$BA$1003,MATCH("Alltagsbegleitung [€/Stunde]",[1]Kundenübersicht!$E$3:$BA$3,FALSE),FALSE)),0),IFERROR(IF(I195="Hauswirtschaft",VLOOKUP($B195,[1]Kundenübersicht!$E$4:$BA$1003,MATCH("HW ab 2026 [€/Stunde]",[1]Kundenübersicht!$E$3:$BA$3,FALSE),FALSE),VLOOKUP($B195,[1]Kundenübersicht!$E$4:$BA$1003,MATCH("Alltagsbegleitung [€/Stunde]",[1]Kundenübersicht!$E$3:$BA$3,FALSE),FALSE)),0))</f>
        <v>32.75</v>
      </c>
      <c r="V195" s="16">
        <f t="shared" si="30"/>
        <v>65.500000000000028</v>
      </c>
      <c r="W195" s="16">
        <f t="shared" si="24"/>
        <v>0</v>
      </c>
      <c r="X195" s="16" t="str">
        <f>VLOOKUP(B195,[1]Kundenübersicht!E:AG,MATCH($X$3,[1]Kundenübersicht!$E$3:$AY$3,0),FALSE)</f>
        <v>Alt</v>
      </c>
      <c r="Z195" s="20" t="str">
        <f t="shared" si="38"/>
        <v>Ja</v>
      </c>
      <c r="AA195" s="19">
        <v>45979</v>
      </c>
      <c r="AC195" s="19">
        <v>46002</v>
      </c>
      <c r="AE195" s="9">
        <f t="shared" si="31"/>
        <v>2025</v>
      </c>
      <c r="AF195" s="17" t="str">
        <f t="shared" si="32"/>
        <v>10.2025</v>
      </c>
      <c r="AG195" s="17" t="str">
        <f t="shared" si="33"/>
        <v>Christiane Fiebag</v>
      </c>
      <c r="AH195" s="17" t="str">
        <f>IFERROR(VLOOKUP(B195,[1]Kundenübersicht!$E$4:$F$85,2,FALSE),"")</f>
        <v>Matthias Roß</v>
      </c>
      <c r="AI195" s="17" t="str">
        <f t="shared" si="39"/>
        <v>Hauswirtschaft</v>
      </c>
      <c r="AJ195" s="17" t="str">
        <f t="shared" si="39"/>
        <v>Entlastungsleistung</v>
      </c>
      <c r="AL195" s="18">
        <f t="shared" si="26"/>
        <v>38</v>
      </c>
      <c r="AM195" s="18">
        <f t="shared" si="27"/>
        <v>76.000000000000028</v>
      </c>
      <c r="AN195" s="18">
        <f t="shared" si="28"/>
        <v>1.2949999999999999</v>
      </c>
    </row>
    <row r="196" spans="2:40" x14ac:dyDescent="0.25">
      <c r="B196" s="30" t="s">
        <v>60</v>
      </c>
      <c r="C196" s="31">
        <v>45954</v>
      </c>
      <c r="D196" s="32">
        <v>0.41666666666666669</v>
      </c>
      <c r="E196" s="32">
        <v>0.47916666666666669</v>
      </c>
      <c r="F196" s="12">
        <f t="shared" si="29"/>
        <v>1.5</v>
      </c>
      <c r="G196" s="12">
        <v>7.5</v>
      </c>
      <c r="H196" s="30" t="s">
        <v>64</v>
      </c>
      <c r="I196" s="30" t="s">
        <v>27</v>
      </c>
      <c r="J196" s="30" t="s">
        <v>28</v>
      </c>
      <c r="K196" s="9" t="str">
        <f>VLOOKUP($B196,[1]Kundenübersicht!$E$4:$AC$1003,MATCH(K$3,[1]Kundenübersicht!$E$3:$BA$3,FALSE),FALSE)</f>
        <v>Techniker Krankenkasse</v>
      </c>
      <c r="L196" s="13">
        <f>VLOOKUP(B196,[1]Kundenübersicht!$E$4:$AC$1003,MATCH(L$3,[1]Kundenübersicht!$E$3:$BA$3,FALSE),FALSE)</f>
        <v>101575519</v>
      </c>
      <c r="M196" s="13" t="str">
        <f>VLOOKUP(B196,[1]Kundenübersicht!$E$4:$AC$1003,MATCH(M$3,[1]Kundenübersicht!$E$3:$BA$3,FALSE),FALSE)</f>
        <v>O824144952</v>
      </c>
      <c r="N196" s="13" t="str">
        <f>VLOOKUP(B196,[1]Kundenübersicht!$E$4:$AC$1003,MATCH(N$3,[1]Kundenübersicht!$E$3:$BA$3,FALSE),FALSE)</f>
        <v>PG 2</v>
      </c>
      <c r="P196" s="9" t="s">
        <v>29</v>
      </c>
      <c r="R196" s="9" t="s">
        <v>30</v>
      </c>
      <c r="S196" s="14" t="s">
        <v>31</v>
      </c>
      <c r="U196" s="15">
        <f>IF(YEAR(C196)&lt;=2025,IFERROR(IF(I196="Hauswirtschaft",VLOOKUP($B196,[1]Kundenübersicht!$E$4:$BA$1003,MATCH("Hauswirtschaft [€/Stunde]",[1]Kundenübersicht!$E$3:$BA$3,FALSE),FALSE),VLOOKUP($B196,[1]Kundenübersicht!$E$4:$BA$1003,MATCH("Alltagsbegleitung [€/Stunde]",[1]Kundenübersicht!$E$3:$BA$3,FALSE),FALSE)),0),IFERROR(IF(I196="Hauswirtschaft",VLOOKUP($B196,[1]Kundenübersicht!$E$4:$BA$1003,MATCH("HW ab 2026 [€/Stunde]",[1]Kundenübersicht!$E$3:$BA$3,FALSE),FALSE),VLOOKUP($B196,[1]Kundenübersicht!$E$4:$BA$1003,MATCH("Alltagsbegleitung [€/Stunde]",[1]Kundenübersicht!$E$3:$BA$3,FALSE),FALSE)),0))</f>
        <v>32.75</v>
      </c>
      <c r="V196" s="16">
        <f t="shared" si="30"/>
        <v>49.125</v>
      </c>
      <c r="W196" s="16">
        <f t="shared" ref="W196:W259" si="40">IF(AND(YEAR(C196)&lt;=2025,X196="Alt"),0,G196*0.35)</f>
        <v>0</v>
      </c>
      <c r="X196" s="16" t="str">
        <f>VLOOKUP(B196,[1]Kundenübersicht!E:AG,MATCH($X$3,[1]Kundenübersicht!$E$3:$AY$3,0),FALSE)</f>
        <v>Alt</v>
      </c>
      <c r="Z196" s="20" t="str">
        <f t="shared" si="38"/>
        <v>Ja</v>
      </c>
      <c r="AA196" s="19">
        <v>45979</v>
      </c>
      <c r="AC196" s="19">
        <v>46007</v>
      </c>
      <c r="AE196" s="9">
        <f t="shared" si="31"/>
        <v>2025</v>
      </c>
      <c r="AF196" s="17" t="str">
        <f t="shared" si="32"/>
        <v>10.2025</v>
      </c>
      <c r="AG196" s="17" t="str">
        <f t="shared" si="33"/>
        <v>Ursula Ullmann</v>
      </c>
      <c r="AH196" s="17" t="str">
        <f>IFERROR(VLOOKUP(B196,[1]Kundenübersicht!$E$4:$F$85,2,FALSE),"")</f>
        <v>Ellenore Lein</v>
      </c>
      <c r="AI196" s="17" t="str">
        <f t="shared" si="39"/>
        <v>Hauswirtschaft</v>
      </c>
      <c r="AJ196" s="17" t="str">
        <f t="shared" si="39"/>
        <v>Entlastungsleistung</v>
      </c>
      <c r="AL196" s="18">
        <f t="shared" ref="AL196:AL259" si="41">IF(I196="Hauswirtschaft",38,42)</f>
        <v>38</v>
      </c>
      <c r="AM196" s="18">
        <f t="shared" ref="AM196:AM259" si="42">AL196*F196</f>
        <v>57</v>
      </c>
      <c r="AN196" s="18">
        <f t="shared" ref="AN196:AN259" si="43">G196*0.35</f>
        <v>2.625</v>
      </c>
    </row>
    <row r="197" spans="2:40" x14ac:dyDescent="0.25">
      <c r="B197" s="30" t="s">
        <v>66</v>
      </c>
      <c r="C197" s="31">
        <v>45936</v>
      </c>
      <c r="D197" s="32">
        <v>0.41666666666666669</v>
      </c>
      <c r="E197" s="32">
        <v>0.5</v>
      </c>
      <c r="F197" s="12">
        <f t="shared" si="29"/>
        <v>1.9999999999999996</v>
      </c>
      <c r="G197" s="12">
        <v>6</v>
      </c>
      <c r="H197" s="30" t="s">
        <v>64</v>
      </c>
      <c r="I197" s="30" t="s">
        <v>27</v>
      </c>
      <c r="J197" s="30" t="s">
        <v>28</v>
      </c>
      <c r="K197" s="9" t="str">
        <f>VLOOKUP($B197,[1]Kundenübersicht!$E$4:$AC$1003,MATCH(K$3,[1]Kundenübersicht!$E$3:$BA$3,FALSE),FALSE)</f>
        <v>KNAPPSCHAFT</v>
      </c>
      <c r="L197" s="13">
        <f>VLOOKUP(B197,[1]Kundenübersicht!$E$4:$AC$1003,MATCH(L$3,[1]Kundenübersicht!$E$3:$BA$3,FALSE),FALSE)</f>
        <v>109990508</v>
      </c>
      <c r="M197" s="13" t="str">
        <f>VLOOKUP(B197,[1]Kundenübersicht!$E$4:$AC$1003,MATCH(M$3,[1]Kundenübersicht!$E$3:$BA$3,FALSE),FALSE)</f>
        <v>F167156079</v>
      </c>
      <c r="N197" s="13" t="str">
        <f>VLOOKUP(B197,[1]Kundenübersicht!$E$4:$AC$1003,MATCH(N$3,[1]Kundenübersicht!$E$3:$BA$3,FALSE),FALSE)</f>
        <v>PG 2</v>
      </c>
      <c r="P197" s="9" t="s">
        <v>29</v>
      </c>
      <c r="R197" s="9" t="s">
        <v>30</v>
      </c>
      <c r="S197" s="14" t="s">
        <v>31</v>
      </c>
      <c r="U197" s="15">
        <f>IF(YEAR(C197)&lt;=2025,IFERROR(IF(I197="Hauswirtschaft",VLOOKUP($B197,[1]Kundenübersicht!$E$4:$BA$1003,MATCH("Hauswirtschaft [€/Stunde]",[1]Kundenübersicht!$E$3:$BA$3,FALSE),FALSE),VLOOKUP($B197,[1]Kundenübersicht!$E$4:$BA$1003,MATCH("Alltagsbegleitung [€/Stunde]",[1]Kundenübersicht!$E$3:$BA$3,FALSE),FALSE)),0),IFERROR(IF(I197="Hauswirtschaft",VLOOKUP($B197,[1]Kundenübersicht!$E$4:$BA$1003,MATCH("HW ab 2026 [€/Stunde]",[1]Kundenübersicht!$E$3:$BA$3,FALSE),FALSE),VLOOKUP($B197,[1]Kundenübersicht!$E$4:$BA$1003,MATCH("Alltagsbegleitung [€/Stunde]",[1]Kundenübersicht!$E$3:$BA$3,FALSE),FALSE)),0))</f>
        <v>38</v>
      </c>
      <c r="V197" s="16">
        <f t="shared" si="30"/>
        <v>75.999999999999986</v>
      </c>
      <c r="W197" s="16">
        <f t="shared" si="40"/>
        <v>2.0999999999999996</v>
      </c>
      <c r="X197" s="16" t="str">
        <f>VLOOKUP(B197,[1]Kundenübersicht!E:AG,MATCH($X$3,[1]Kundenübersicht!$E$3:$AY$3,0),FALSE)</f>
        <v>Neu</v>
      </c>
      <c r="Z197" s="20" t="str">
        <f t="shared" si="38"/>
        <v>Ja</v>
      </c>
      <c r="AA197" s="19">
        <v>45979</v>
      </c>
      <c r="AC197" s="19">
        <v>45999</v>
      </c>
      <c r="AE197" s="9">
        <f t="shared" si="31"/>
        <v>2025</v>
      </c>
      <c r="AF197" s="17" t="str">
        <f t="shared" si="32"/>
        <v>10.2025</v>
      </c>
      <c r="AG197" s="17" t="str">
        <f t="shared" si="33"/>
        <v>Ursula Ullmann</v>
      </c>
      <c r="AH197" s="17" t="str">
        <f>IFERROR(VLOOKUP(B197,[1]Kundenübersicht!$E$4:$F$85,2,FALSE),"")</f>
        <v>Sigrid Müller</v>
      </c>
      <c r="AI197" s="17" t="str">
        <f t="shared" si="39"/>
        <v>Hauswirtschaft</v>
      </c>
      <c r="AJ197" s="17" t="str">
        <f t="shared" si="39"/>
        <v>Entlastungsleistung</v>
      </c>
      <c r="AL197" s="18">
        <f t="shared" si="41"/>
        <v>38</v>
      </c>
      <c r="AM197" s="18">
        <f t="shared" si="42"/>
        <v>75.999999999999986</v>
      </c>
      <c r="AN197" s="18">
        <f t="shared" si="43"/>
        <v>2.0999999999999996</v>
      </c>
    </row>
    <row r="198" spans="2:40" x14ac:dyDescent="0.25">
      <c r="B198" s="30" t="s">
        <v>49</v>
      </c>
      <c r="C198" s="31">
        <v>45946</v>
      </c>
      <c r="D198" s="32">
        <v>0.60416666666666663</v>
      </c>
      <c r="E198" s="32">
        <v>0.64583333333333337</v>
      </c>
      <c r="F198" s="12">
        <f t="shared" ref="F198:F246" si="44">(E198-D198)*24</f>
        <v>1.0000000000000018</v>
      </c>
      <c r="G198" s="12"/>
      <c r="H198" s="30" t="s">
        <v>46</v>
      </c>
      <c r="I198" s="30" t="s">
        <v>27</v>
      </c>
      <c r="J198" s="30" t="s">
        <v>28</v>
      </c>
      <c r="K198" s="9" t="str">
        <f>VLOOKUP($B198,[1]Kundenübersicht!$E$4:$AC$1003,MATCH(K$3,[1]Kundenübersicht!$E$3:$BA$3,FALSE),FALSE)</f>
        <v>AOK PLUS</v>
      </c>
      <c r="L198" s="13">
        <f>VLOOKUP(B198,[1]Kundenübersicht!$E$4:$AC$1003,MATCH(L$3,[1]Kundenübersicht!$E$3:$BA$3,FALSE),FALSE)</f>
        <v>107299005</v>
      </c>
      <c r="M198" s="13" t="str">
        <f>VLOOKUP(B198,[1]Kundenübersicht!$E$4:$AC$1003,MATCH(M$3,[1]Kundenübersicht!$E$3:$BA$3,FALSE),FALSE)</f>
        <v>T309560658</v>
      </c>
      <c r="N198" s="13" t="str">
        <f>VLOOKUP(B198,[1]Kundenübersicht!$E$4:$AC$1003,MATCH(N$3,[1]Kundenübersicht!$E$3:$BA$3,FALSE),FALSE)</f>
        <v>PG 2</v>
      </c>
      <c r="P198" s="9" t="s">
        <v>29</v>
      </c>
      <c r="R198" s="9" t="s">
        <v>30</v>
      </c>
      <c r="S198" s="14" t="s">
        <v>31</v>
      </c>
      <c r="U198" s="15">
        <f>IF(YEAR(C198)&lt;=2025,IFERROR(IF(I198="Hauswirtschaft",VLOOKUP($B198,[1]Kundenübersicht!$E$4:$BA$1003,MATCH("Hauswirtschaft [€/Stunde]",[1]Kundenübersicht!$E$3:$BA$3,FALSE),FALSE),VLOOKUP($B198,[1]Kundenübersicht!$E$4:$BA$1003,MATCH("Alltagsbegleitung [€/Stunde]",[1]Kundenübersicht!$E$3:$BA$3,FALSE),FALSE)),0),IFERROR(IF(I198="Hauswirtschaft",VLOOKUP($B198,[1]Kundenübersicht!$E$4:$BA$1003,MATCH("HW ab 2026 [€/Stunde]",[1]Kundenübersicht!$E$3:$BA$3,FALSE),FALSE),VLOOKUP($B198,[1]Kundenübersicht!$E$4:$BA$1003,MATCH("Alltagsbegleitung [€/Stunde]",[1]Kundenübersicht!$E$3:$BA$3,FALSE),FALSE)),0))</f>
        <v>32.75</v>
      </c>
      <c r="V198" s="16">
        <f t="shared" ref="V198:V246" si="45">U198*F198</f>
        <v>32.750000000000057</v>
      </c>
      <c r="W198" s="16">
        <f t="shared" si="40"/>
        <v>0</v>
      </c>
      <c r="X198" s="16" t="str">
        <f>VLOOKUP(B198,[1]Kundenübersicht!E:AG,MATCH($X$3,[1]Kundenübersicht!$E$3:$AY$3,0),FALSE)</f>
        <v>Alt</v>
      </c>
      <c r="Z198" s="20" t="str">
        <f t="shared" si="38"/>
        <v>Ja</v>
      </c>
      <c r="AA198" s="19">
        <v>45979</v>
      </c>
      <c r="AC198" s="19">
        <v>46002</v>
      </c>
      <c r="AE198" s="9">
        <f t="shared" ref="AE198:AE261" si="46">YEAR(C198)</f>
        <v>2025</v>
      </c>
      <c r="AF198" s="17" t="str">
        <f t="shared" ref="AF198:AF261" si="47">IF(MONTH(C198)&lt;=9,"0"&amp;MONTH(C198)&amp;"."&amp;YEAR(C198),MONTH(C198)&amp;"."&amp;YEAR(C198))</f>
        <v>10.2025</v>
      </c>
      <c r="AG198" s="17" t="str">
        <f t="shared" ref="AG198:AG261" si="48">IF(H198="","",H198)</f>
        <v>Manuela Richter</v>
      </c>
      <c r="AH198" s="17" t="str">
        <f>IFERROR(VLOOKUP(B198,[1]Kundenübersicht!$E$4:$F$85,2,FALSE),"")</f>
        <v>Rita Neubert</v>
      </c>
      <c r="AI198" s="17" t="str">
        <f t="shared" si="39"/>
        <v>Hauswirtschaft</v>
      </c>
      <c r="AJ198" s="17" t="str">
        <f t="shared" si="39"/>
        <v>Entlastungsleistung</v>
      </c>
      <c r="AL198" s="18">
        <f t="shared" si="41"/>
        <v>38</v>
      </c>
      <c r="AM198" s="18">
        <f t="shared" si="42"/>
        <v>38.000000000000071</v>
      </c>
      <c r="AN198" s="18">
        <f t="shared" si="43"/>
        <v>0</v>
      </c>
    </row>
    <row r="199" spans="2:40" x14ac:dyDescent="0.25">
      <c r="B199" s="30" t="s">
        <v>45</v>
      </c>
      <c r="C199" s="31">
        <v>45946</v>
      </c>
      <c r="D199" s="32">
        <v>0.64583333333333337</v>
      </c>
      <c r="E199" s="32">
        <v>0.70833333333333337</v>
      </c>
      <c r="F199" s="12">
        <f t="shared" si="44"/>
        <v>1.5</v>
      </c>
      <c r="G199" s="12"/>
      <c r="H199" s="30" t="s">
        <v>46</v>
      </c>
      <c r="I199" s="30" t="s">
        <v>27</v>
      </c>
      <c r="J199" s="30" t="s">
        <v>28</v>
      </c>
      <c r="K199" s="28" t="s">
        <v>47</v>
      </c>
      <c r="L199" s="29">
        <v>109990508</v>
      </c>
      <c r="M199" s="29" t="s">
        <v>48</v>
      </c>
      <c r="N199" s="13" t="str">
        <f>VLOOKUP(B199,[1]Kundenübersicht!$E$4:$AC$1003,MATCH(N$3,[1]Kundenübersicht!$E$3:$BA$3,FALSE),FALSE)</f>
        <v>PG 1</v>
      </c>
      <c r="P199" s="9" t="s">
        <v>29</v>
      </c>
      <c r="R199" s="9" t="s">
        <v>30</v>
      </c>
      <c r="S199" s="14" t="s">
        <v>31</v>
      </c>
      <c r="U199" s="15">
        <f>IF(YEAR(C199)&lt;=2025,IFERROR(IF(I199="Hauswirtschaft",VLOOKUP($B199,[1]Kundenübersicht!$E$4:$BA$1003,MATCH("Hauswirtschaft [€/Stunde]",[1]Kundenübersicht!$E$3:$BA$3,FALSE),FALSE),VLOOKUP($B199,[1]Kundenübersicht!$E$4:$BA$1003,MATCH("Alltagsbegleitung [€/Stunde]",[1]Kundenübersicht!$E$3:$BA$3,FALSE),FALSE)),0),IFERROR(IF(I199="Hauswirtschaft",VLOOKUP($B199,[1]Kundenübersicht!$E$4:$BA$1003,MATCH("HW ab 2026 [€/Stunde]",[1]Kundenübersicht!$E$3:$BA$3,FALSE),FALSE),VLOOKUP($B199,[1]Kundenübersicht!$E$4:$BA$1003,MATCH("Alltagsbegleitung [€/Stunde]",[1]Kundenübersicht!$E$3:$BA$3,FALSE),FALSE)),0))</f>
        <v>32.75</v>
      </c>
      <c r="V199" s="16">
        <f t="shared" si="45"/>
        <v>49.125</v>
      </c>
      <c r="W199" s="16">
        <f t="shared" si="40"/>
        <v>0</v>
      </c>
      <c r="X199" s="16" t="str">
        <f>VLOOKUP(B199,[1]Kundenübersicht!E:AG,MATCH($X$3,[1]Kundenübersicht!$E$3:$AY$3,0),FALSE)</f>
        <v>Alt</v>
      </c>
      <c r="Z199" s="20" t="str">
        <f t="shared" si="38"/>
        <v>Ja</v>
      </c>
      <c r="AA199" s="19">
        <v>45979</v>
      </c>
      <c r="AC199" s="19">
        <v>45999</v>
      </c>
      <c r="AE199" s="9">
        <f t="shared" si="46"/>
        <v>2025</v>
      </c>
      <c r="AF199" s="17" t="str">
        <f t="shared" si="47"/>
        <v>10.2025</v>
      </c>
      <c r="AG199" s="17" t="str">
        <f t="shared" si="48"/>
        <v>Manuela Richter</v>
      </c>
      <c r="AH199" s="17" t="str">
        <f>IFERROR(VLOOKUP(B199,[1]Kundenübersicht!$E$4:$F$85,2,FALSE),"")</f>
        <v>Hella Reißig</v>
      </c>
      <c r="AI199" s="17" t="str">
        <f t="shared" si="39"/>
        <v>Hauswirtschaft</v>
      </c>
      <c r="AJ199" s="17" t="str">
        <f t="shared" si="39"/>
        <v>Entlastungsleistung</v>
      </c>
      <c r="AL199" s="18">
        <f t="shared" si="41"/>
        <v>38</v>
      </c>
      <c r="AM199" s="18">
        <f t="shared" si="42"/>
        <v>57</v>
      </c>
      <c r="AN199" s="18">
        <f t="shared" si="43"/>
        <v>0</v>
      </c>
    </row>
    <row r="200" spans="2:40" x14ac:dyDescent="0.25">
      <c r="B200" s="30" t="s">
        <v>63</v>
      </c>
      <c r="C200" s="31">
        <v>45946</v>
      </c>
      <c r="D200" s="32">
        <v>0.36805555555555558</v>
      </c>
      <c r="E200" s="32">
        <v>0.4513888888888889</v>
      </c>
      <c r="F200" s="12">
        <f t="shared" si="44"/>
        <v>1.9999999999999996</v>
      </c>
      <c r="G200" s="12">
        <v>19</v>
      </c>
      <c r="H200" s="30" t="s">
        <v>33</v>
      </c>
      <c r="I200" s="30" t="s">
        <v>27</v>
      </c>
      <c r="J200" s="30" t="s">
        <v>28</v>
      </c>
      <c r="K200" s="9" t="str">
        <f>VLOOKUP($B200,[1]Kundenübersicht!$E$4:$AC$1003,MATCH(K$3,[1]Kundenübersicht!$E$3:$BA$3,FALSE),FALSE)</f>
        <v>Techniker Krankenkasse</v>
      </c>
      <c r="L200" s="13">
        <f>VLOOKUP(B200,[1]Kundenübersicht!$E$4:$AC$1003,MATCH(L$3,[1]Kundenübersicht!$E$3:$BA$3,FALSE),FALSE)</f>
        <v>101575519</v>
      </c>
      <c r="M200" s="13" t="str">
        <f>VLOOKUP(B200,[1]Kundenübersicht!$E$4:$AC$1003,MATCH(M$3,[1]Kundenübersicht!$E$3:$BA$3,FALSE),FALSE)</f>
        <v>O816601650</v>
      </c>
      <c r="N200" s="13" t="str">
        <f>VLOOKUP(B200,[1]Kundenübersicht!$E$4:$AC$1003,MATCH(N$3,[1]Kundenübersicht!$E$3:$BA$3,FALSE),FALSE)</f>
        <v>PG 2</v>
      </c>
      <c r="P200" s="9" t="s">
        <v>29</v>
      </c>
      <c r="R200" s="9" t="s">
        <v>30</v>
      </c>
      <c r="S200" s="14" t="s">
        <v>31</v>
      </c>
      <c r="U200" s="15">
        <f>IF(YEAR(C200)&lt;=2025,IFERROR(IF(I200="Hauswirtschaft",VLOOKUP($B200,[1]Kundenübersicht!$E$4:$BA$1003,MATCH("Hauswirtschaft [€/Stunde]",[1]Kundenübersicht!$E$3:$BA$3,FALSE),FALSE),VLOOKUP($B200,[1]Kundenübersicht!$E$4:$BA$1003,MATCH("Alltagsbegleitung [€/Stunde]",[1]Kundenübersicht!$E$3:$BA$3,FALSE),FALSE)),0),IFERROR(IF(I200="Hauswirtschaft",VLOOKUP($B200,[1]Kundenübersicht!$E$4:$BA$1003,MATCH("HW ab 2026 [€/Stunde]",[1]Kundenübersicht!$E$3:$BA$3,FALSE),FALSE),VLOOKUP($B200,[1]Kundenübersicht!$E$4:$BA$1003,MATCH("Alltagsbegleitung [€/Stunde]",[1]Kundenübersicht!$E$3:$BA$3,FALSE),FALSE)),0))</f>
        <v>32.75</v>
      </c>
      <c r="V200" s="16">
        <f t="shared" si="45"/>
        <v>65.499999999999986</v>
      </c>
      <c r="W200" s="16">
        <f t="shared" si="40"/>
        <v>0</v>
      </c>
      <c r="X200" s="16" t="str">
        <f>VLOOKUP(B200,[1]Kundenübersicht!E:AG,MATCH($X$3,[1]Kundenübersicht!$E$3:$AY$3,0),FALSE)</f>
        <v>Alt</v>
      </c>
      <c r="Z200" s="20" t="str">
        <f t="shared" si="38"/>
        <v>Ja</v>
      </c>
      <c r="AA200" s="19">
        <v>45979</v>
      </c>
      <c r="AC200" s="19">
        <v>46007</v>
      </c>
      <c r="AE200" s="9">
        <f t="shared" si="46"/>
        <v>2025</v>
      </c>
      <c r="AF200" s="17" t="str">
        <f t="shared" si="47"/>
        <v>10.2025</v>
      </c>
      <c r="AG200" s="17" t="str">
        <f t="shared" si="48"/>
        <v>Christiane Fiebag</v>
      </c>
      <c r="AH200" s="17" t="str">
        <f>IFERROR(VLOOKUP(B200,[1]Kundenübersicht!$E$4:$F$85,2,FALSE),"")</f>
        <v>Joachim Röder</v>
      </c>
      <c r="AI200" s="17" t="str">
        <f t="shared" si="39"/>
        <v>Hauswirtschaft</v>
      </c>
      <c r="AJ200" s="17" t="str">
        <f t="shared" si="39"/>
        <v>Entlastungsleistung</v>
      </c>
      <c r="AL200" s="18">
        <f t="shared" si="41"/>
        <v>38</v>
      </c>
      <c r="AM200" s="18">
        <f t="shared" si="42"/>
        <v>75.999999999999986</v>
      </c>
      <c r="AN200" s="18">
        <f t="shared" si="43"/>
        <v>6.6499999999999995</v>
      </c>
    </row>
    <row r="201" spans="2:40" x14ac:dyDescent="0.25">
      <c r="B201" s="30" t="s">
        <v>66</v>
      </c>
      <c r="C201" s="31">
        <v>45947</v>
      </c>
      <c r="D201" s="32">
        <v>0.41666666666666669</v>
      </c>
      <c r="E201" s="32">
        <v>0.45833333333333331</v>
      </c>
      <c r="F201" s="12">
        <f t="shared" si="44"/>
        <v>0.99999999999999911</v>
      </c>
      <c r="G201" s="12">
        <v>6</v>
      </c>
      <c r="H201" s="30" t="s">
        <v>64</v>
      </c>
      <c r="I201" s="30" t="s">
        <v>27</v>
      </c>
      <c r="J201" s="30" t="s">
        <v>28</v>
      </c>
      <c r="K201" s="9" t="str">
        <f>VLOOKUP($B201,[1]Kundenübersicht!$E$4:$AC$1003,MATCH(K$3,[1]Kundenübersicht!$E$3:$BA$3,FALSE),FALSE)</f>
        <v>KNAPPSCHAFT</v>
      </c>
      <c r="L201" s="13">
        <f>VLOOKUP(B201,[1]Kundenübersicht!$E$4:$AC$1003,MATCH(L$3,[1]Kundenübersicht!$E$3:$BA$3,FALSE),FALSE)</f>
        <v>109990508</v>
      </c>
      <c r="M201" s="13" t="str">
        <f>VLOOKUP(B201,[1]Kundenübersicht!$E$4:$AC$1003,MATCH(M$3,[1]Kundenübersicht!$E$3:$BA$3,FALSE),FALSE)</f>
        <v>F167156079</v>
      </c>
      <c r="N201" s="13" t="str">
        <f>VLOOKUP(B201,[1]Kundenübersicht!$E$4:$AC$1003,MATCH(N$3,[1]Kundenübersicht!$E$3:$BA$3,FALSE),FALSE)</f>
        <v>PG 2</v>
      </c>
      <c r="P201" s="9" t="s">
        <v>29</v>
      </c>
      <c r="R201" s="9" t="s">
        <v>30</v>
      </c>
      <c r="S201" s="14" t="s">
        <v>31</v>
      </c>
      <c r="U201" s="15">
        <f>IF(YEAR(C201)&lt;=2025,IFERROR(IF(I201="Hauswirtschaft",VLOOKUP($B201,[1]Kundenübersicht!$E$4:$BA$1003,MATCH("Hauswirtschaft [€/Stunde]",[1]Kundenübersicht!$E$3:$BA$3,FALSE),FALSE),VLOOKUP($B201,[1]Kundenübersicht!$E$4:$BA$1003,MATCH("Alltagsbegleitung [€/Stunde]",[1]Kundenübersicht!$E$3:$BA$3,FALSE),FALSE)),0),IFERROR(IF(I201="Hauswirtschaft",VLOOKUP($B201,[1]Kundenübersicht!$E$4:$BA$1003,MATCH("HW ab 2026 [€/Stunde]",[1]Kundenübersicht!$E$3:$BA$3,FALSE),FALSE),VLOOKUP($B201,[1]Kundenübersicht!$E$4:$BA$1003,MATCH("Alltagsbegleitung [€/Stunde]",[1]Kundenübersicht!$E$3:$BA$3,FALSE),FALSE)),0))</f>
        <v>38</v>
      </c>
      <c r="V201" s="16">
        <f t="shared" si="45"/>
        <v>37.999999999999964</v>
      </c>
      <c r="W201" s="16">
        <f t="shared" si="40"/>
        <v>2.0999999999999996</v>
      </c>
      <c r="X201" s="16" t="str">
        <f>VLOOKUP(B201,[1]Kundenübersicht!E:AG,MATCH($X$3,[1]Kundenübersicht!$E$3:$AY$3,0),FALSE)</f>
        <v>Neu</v>
      </c>
      <c r="Z201" s="20" t="str">
        <f t="shared" si="38"/>
        <v>Ja</v>
      </c>
      <c r="AA201" s="19">
        <v>45979</v>
      </c>
      <c r="AC201" s="19">
        <v>45999</v>
      </c>
      <c r="AE201" s="9">
        <f t="shared" si="46"/>
        <v>2025</v>
      </c>
      <c r="AF201" s="17" t="str">
        <f t="shared" si="47"/>
        <v>10.2025</v>
      </c>
      <c r="AG201" s="17" t="str">
        <f t="shared" si="48"/>
        <v>Ursula Ullmann</v>
      </c>
      <c r="AH201" s="17" t="str">
        <f>IFERROR(VLOOKUP(B201,[1]Kundenübersicht!$E$4:$F$85,2,FALSE),"")</f>
        <v>Sigrid Müller</v>
      </c>
      <c r="AI201" s="17" t="str">
        <f t="shared" si="39"/>
        <v>Hauswirtschaft</v>
      </c>
      <c r="AJ201" s="17" t="str">
        <f t="shared" si="39"/>
        <v>Entlastungsleistung</v>
      </c>
      <c r="AL201" s="18">
        <f t="shared" si="41"/>
        <v>38</v>
      </c>
      <c r="AM201" s="18">
        <f t="shared" si="42"/>
        <v>37.999999999999964</v>
      </c>
      <c r="AN201" s="18">
        <f t="shared" si="43"/>
        <v>2.0999999999999996</v>
      </c>
    </row>
    <row r="202" spans="2:40" x14ac:dyDescent="0.25">
      <c r="B202" s="30" t="s">
        <v>38</v>
      </c>
      <c r="C202" s="31">
        <v>45946</v>
      </c>
      <c r="D202" s="32">
        <v>0.46875</v>
      </c>
      <c r="E202" s="32">
        <v>0.53125</v>
      </c>
      <c r="F202" s="12">
        <f t="shared" si="44"/>
        <v>1.5</v>
      </c>
      <c r="G202" s="12">
        <v>17</v>
      </c>
      <c r="H202" s="30" t="s">
        <v>33</v>
      </c>
      <c r="I202" s="30" t="s">
        <v>27</v>
      </c>
      <c r="J202" s="30" t="s">
        <v>28</v>
      </c>
      <c r="K202" s="9" t="str">
        <f>VLOOKUP($B202,[1]Kundenübersicht!$E$4:$AC$1003,MATCH(K$3,[1]Kundenübersicht!$E$3:$BA$3,FALSE),FALSE)</f>
        <v>AOK PLUS</v>
      </c>
      <c r="L202" s="13">
        <f>VLOOKUP(B202,[1]Kundenübersicht!$E$4:$AC$1003,MATCH(L$3,[1]Kundenübersicht!$E$3:$BA$3,FALSE),FALSE)</f>
        <v>107299005</v>
      </c>
      <c r="M202" s="13" t="str">
        <f>VLOOKUP(B202,[1]Kundenübersicht!$E$4:$AC$1003,MATCH(M$3,[1]Kundenübersicht!$E$3:$BA$3,FALSE),FALSE)</f>
        <v>R782602114</v>
      </c>
      <c r="N202" s="13" t="str">
        <f>VLOOKUP(B202,[1]Kundenübersicht!$E$4:$AC$1003,MATCH(N$3,[1]Kundenübersicht!$E$3:$BA$3,FALSE),FALSE)</f>
        <v>PG 1</v>
      </c>
      <c r="P202" s="9" t="s">
        <v>29</v>
      </c>
      <c r="R202" s="9" t="s">
        <v>30</v>
      </c>
      <c r="S202" s="14" t="s">
        <v>31</v>
      </c>
      <c r="U202" s="15">
        <f>IF(YEAR(C202)&lt;=2025,IFERROR(IF(I202="Hauswirtschaft",VLOOKUP($B202,[1]Kundenübersicht!$E$4:$BA$1003,MATCH("Hauswirtschaft [€/Stunde]",[1]Kundenübersicht!$E$3:$BA$3,FALSE),FALSE),VLOOKUP($B202,[1]Kundenübersicht!$E$4:$BA$1003,MATCH("Alltagsbegleitung [€/Stunde]",[1]Kundenübersicht!$E$3:$BA$3,FALSE),FALSE)),0),IFERROR(IF(I202="Hauswirtschaft",VLOOKUP($B202,[1]Kundenübersicht!$E$4:$BA$1003,MATCH("HW ab 2026 [€/Stunde]",[1]Kundenübersicht!$E$3:$BA$3,FALSE),FALSE),VLOOKUP($B202,[1]Kundenübersicht!$E$4:$BA$1003,MATCH("Alltagsbegleitung [€/Stunde]",[1]Kundenübersicht!$E$3:$BA$3,FALSE),FALSE)),0))</f>
        <v>32.75</v>
      </c>
      <c r="V202" s="16">
        <f t="shared" si="45"/>
        <v>49.125</v>
      </c>
      <c r="W202" s="16">
        <f t="shared" si="40"/>
        <v>0</v>
      </c>
      <c r="X202" s="16" t="str">
        <f>VLOOKUP(B202,[1]Kundenübersicht!E:AG,MATCH($X$3,[1]Kundenübersicht!$E$3:$AY$3,0),FALSE)</f>
        <v>Alt</v>
      </c>
      <c r="Z202" s="20" t="str">
        <f t="shared" si="38"/>
        <v>Ja</v>
      </c>
      <c r="AA202" s="19">
        <v>45979</v>
      </c>
      <c r="AC202" s="19">
        <v>46002</v>
      </c>
      <c r="AE202" s="9">
        <f t="shared" si="46"/>
        <v>2025</v>
      </c>
      <c r="AF202" s="17" t="str">
        <f t="shared" si="47"/>
        <v>10.2025</v>
      </c>
      <c r="AG202" s="17" t="str">
        <f t="shared" si="48"/>
        <v>Christiane Fiebag</v>
      </c>
      <c r="AH202" s="17" t="str">
        <f>IFERROR(VLOOKUP(B202,[1]Kundenübersicht!$E$4:$F$85,2,FALSE),"")</f>
        <v>Christian Jungnickel</v>
      </c>
      <c r="AI202" s="17" t="str">
        <f t="shared" si="39"/>
        <v>Hauswirtschaft</v>
      </c>
      <c r="AJ202" s="17" t="str">
        <f t="shared" si="39"/>
        <v>Entlastungsleistung</v>
      </c>
      <c r="AL202" s="18">
        <f t="shared" si="41"/>
        <v>38</v>
      </c>
      <c r="AM202" s="18">
        <f t="shared" si="42"/>
        <v>57</v>
      </c>
      <c r="AN202" s="18">
        <f t="shared" si="43"/>
        <v>5.9499999999999993</v>
      </c>
    </row>
    <row r="203" spans="2:40" x14ac:dyDescent="0.25">
      <c r="B203" s="30" t="s">
        <v>67</v>
      </c>
      <c r="C203" s="31">
        <v>45931</v>
      </c>
      <c r="D203" s="32">
        <v>0.35416666666666669</v>
      </c>
      <c r="E203" s="32">
        <v>0.39583333333333331</v>
      </c>
      <c r="F203" s="12">
        <f t="shared" si="44"/>
        <v>0.99999999999999911</v>
      </c>
      <c r="G203" s="12">
        <v>3.5</v>
      </c>
      <c r="H203" s="30" t="s">
        <v>64</v>
      </c>
      <c r="I203" s="30" t="s">
        <v>27</v>
      </c>
      <c r="J203" s="30" t="s">
        <v>28</v>
      </c>
      <c r="K203" s="9" t="str">
        <f>VLOOKUP($B203,[1]Kundenübersicht!$E$4:$AC$1003,MATCH(K$3,[1]Kundenübersicht!$E$3:$BA$3,FALSE),FALSE)</f>
        <v>Barmer Pflegekasse</v>
      </c>
      <c r="L203" s="13">
        <f>VLOOKUP(B203,[1]Kundenübersicht!$E$4:$AC$1003,MATCH(L$3,[1]Kundenübersicht!$E$3:$BA$3,FALSE),FALSE)</f>
        <v>184940005</v>
      </c>
      <c r="M203" s="13" t="str">
        <f>VLOOKUP(B203,[1]Kundenübersicht!$E$4:$AC$1003,MATCH(M$3,[1]Kundenübersicht!$E$3:$BA$3,FALSE),FALSE)</f>
        <v>K535388327</v>
      </c>
      <c r="N203" s="13" t="str">
        <f>VLOOKUP(B203,[1]Kundenübersicht!$E$4:$AC$1003,MATCH(N$3,[1]Kundenübersicht!$E$3:$BA$3,FALSE),FALSE)</f>
        <v>PG 2</v>
      </c>
      <c r="P203" s="9" t="s">
        <v>29</v>
      </c>
      <c r="R203" s="9" t="s">
        <v>30</v>
      </c>
      <c r="S203" s="14" t="s">
        <v>31</v>
      </c>
      <c r="U203" s="15">
        <f>IF(YEAR(C203)&lt;=2025,IFERROR(IF(I203="Hauswirtschaft",VLOOKUP($B203,[1]Kundenübersicht!$E$4:$BA$1003,MATCH("Hauswirtschaft [€/Stunde]",[1]Kundenübersicht!$E$3:$BA$3,FALSE),FALSE),VLOOKUP($B203,[1]Kundenübersicht!$E$4:$BA$1003,MATCH("Alltagsbegleitung [€/Stunde]",[1]Kundenübersicht!$E$3:$BA$3,FALSE),FALSE)),0),IFERROR(IF(I203="Hauswirtschaft",VLOOKUP($B203,[1]Kundenübersicht!$E$4:$BA$1003,MATCH("HW ab 2026 [€/Stunde]",[1]Kundenübersicht!$E$3:$BA$3,FALSE),FALSE),VLOOKUP($B203,[1]Kundenübersicht!$E$4:$BA$1003,MATCH("Alltagsbegleitung [€/Stunde]",[1]Kundenübersicht!$E$3:$BA$3,FALSE),FALSE)),0))</f>
        <v>32.75</v>
      </c>
      <c r="V203" s="16">
        <f t="shared" si="45"/>
        <v>32.749999999999972</v>
      </c>
      <c r="W203" s="16">
        <f t="shared" si="40"/>
        <v>0</v>
      </c>
      <c r="X203" s="16" t="str">
        <f>VLOOKUP(B203,[1]Kundenübersicht!E:AG,MATCH($X$3,[1]Kundenübersicht!$E$3:$AY$3,0),FALSE)</f>
        <v>Alt</v>
      </c>
      <c r="Z203" s="20" t="str">
        <f t="shared" si="38"/>
        <v>Ja</v>
      </c>
      <c r="AA203" s="19">
        <v>45979</v>
      </c>
      <c r="AC203" s="19"/>
      <c r="AE203" s="9">
        <f t="shared" si="46"/>
        <v>2025</v>
      </c>
      <c r="AF203" s="17" t="str">
        <f t="shared" si="47"/>
        <v>10.2025</v>
      </c>
      <c r="AG203" s="17" t="str">
        <f t="shared" si="48"/>
        <v>Ursula Ullmann</v>
      </c>
      <c r="AH203" s="17" t="str">
        <f>IFERROR(VLOOKUP(B203,[1]Kundenübersicht!$E$4:$F$85,2,FALSE),"")</f>
        <v>Luzia Pohlers</v>
      </c>
      <c r="AI203" s="17" t="str">
        <f t="shared" si="39"/>
        <v>Hauswirtschaft</v>
      </c>
      <c r="AJ203" s="17" t="str">
        <f t="shared" si="39"/>
        <v>Entlastungsleistung</v>
      </c>
      <c r="AL203" s="18">
        <f t="shared" si="41"/>
        <v>38</v>
      </c>
      <c r="AM203" s="18">
        <f t="shared" si="42"/>
        <v>37.999999999999964</v>
      </c>
      <c r="AN203" s="18">
        <f t="shared" si="43"/>
        <v>1.2249999999999999</v>
      </c>
    </row>
    <row r="204" spans="2:40" x14ac:dyDescent="0.25">
      <c r="B204" s="30" t="s">
        <v>50</v>
      </c>
      <c r="C204" s="31">
        <v>45947</v>
      </c>
      <c r="D204" s="32">
        <v>0.58333333333333337</v>
      </c>
      <c r="E204" s="32">
        <v>0.66666666666666663</v>
      </c>
      <c r="F204" s="12">
        <f t="shared" si="44"/>
        <v>1.9999999999999982</v>
      </c>
      <c r="G204" s="12"/>
      <c r="H204" s="30" t="s">
        <v>46</v>
      </c>
      <c r="I204" s="30" t="s">
        <v>27</v>
      </c>
      <c r="J204" s="30" t="s">
        <v>28</v>
      </c>
      <c r="K204" s="9" t="str">
        <f>VLOOKUP($B204,[1]Kundenübersicht!$E$4:$AC$1003,MATCH(K$3,[1]Kundenübersicht!$E$3:$BA$3,FALSE),FALSE)</f>
        <v>AOK PLUS</v>
      </c>
      <c r="L204" s="13">
        <f>VLOOKUP(B204,[1]Kundenübersicht!$E$4:$AC$1003,MATCH(L$3,[1]Kundenübersicht!$E$3:$BA$3,FALSE),FALSE)</f>
        <v>107299005</v>
      </c>
      <c r="M204" s="13" t="str">
        <f>VLOOKUP(B204,[1]Kundenübersicht!$E$4:$AC$1003,MATCH(M$3,[1]Kundenübersicht!$E$3:$BA$3,FALSE),FALSE)</f>
        <v>L212281967</v>
      </c>
      <c r="N204" s="13" t="str">
        <f>VLOOKUP(B204,[1]Kundenübersicht!$E$4:$AC$1003,MATCH(N$3,[1]Kundenübersicht!$E$3:$BA$3,FALSE),FALSE)</f>
        <v>PG 1</v>
      </c>
      <c r="P204" s="9" t="s">
        <v>29</v>
      </c>
      <c r="R204" s="9" t="s">
        <v>30</v>
      </c>
      <c r="S204" s="14" t="s">
        <v>31</v>
      </c>
      <c r="U204" s="15">
        <f>IF(YEAR(C204)&lt;=2025,IFERROR(IF(I204="Hauswirtschaft",VLOOKUP($B204,[1]Kundenübersicht!$E$4:$BA$1003,MATCH("Hauswirtschaft [€/Stunde]",[1]Kundenübersicht!$E$3:$BA$3,FALSE),FALSE),VLOOKUP($B204,[1]Kundenübersicht!$E$4:$BA$1003,MATCH("Alltagsbegleitung [€/Stunde]",[1]Kundenübersicht!$E$3:$BA$3,FALSE),FALSE)),0),IFERROR(IF(I204="Hauswirtschaft",VLOOKUP($B204,[1]Kundenübersicht!$E$4:$BA$1003,MATCH("HW ab 2026 [€/Stunde]",[1]Kundenübersicht!$E$3:$BA$3,FALSE),FALSE),VLOOKUP($B204,[1]Kundenübersicht!$E$4:$BA$1003,MATCH("Alltagsbegleitung [€/Stunde]",[1]Kundenübersicht!$E$3:$BA$3,FALSE),FALSE)),0))</f>
        <v>32.75</v>
      </c>
      <c r="V204" s="16">
        <f t="shared" si="45"/>
        <v>65.499999999999943</v>
      </c>
      <c r="W204" s="16">
        <f t="shared" si="40"/>
        <v>0</v>
      </c>
      <c r="X204" s="16" t="str">
        <f>VLOOKUP(B204,[1]Kundenübersicht!E:AG,MATCH($X$3,[1]Kundenübersicht!$E$3:$AY$3,0),FALSE)</f>
        <v>Alt</v>
      </c>
      <c r="Z204" s="20" t="str">
        <f t="shared" si="38"/>
        <v>Ja</v>
      </c>
      <c r="AA204" s="19">
        <v>45979</v>
      </c>
      <c r="AC204" s="19">
        <v>46002</v>
      </c>
      <c r="AE204" s="9">
        <f t="shared" si="46"/>
        <v>2025</v>
      </c>
      <c r="AF204" s="17" t="str">
        <f t="shared" si="47"/>
        <v>10.2025</v>
      </c>
      <c r="AG204" s="17" t="str">
        <f t="shared" si="48"/>
        <v>Manuela Richter</v>
      </c>
      <c r="AH204" s="17" t="str">
        <f>IFERROR(VLOOKUP(B204,[1]Kundenübersicht!$E$4:$F$85,2,FALSE),"")</f>
        <v>Lothar Krawalski</v>
      </c>
      <c r="AI204" s="17" t="str">
        <f t="shared" si="39"/>
        <v>Hauswirtschaft</v>
      </c>
      <c r="AJ204" s="17" t="str">
        <f t="shared" si="39"/>
        <v>Entlastungsleistung</v>
      </c>
      <c r="AL204" s="18">
        <f t="shared" si="41"/>
        <v>38</v>
      </c>
      <c r="AM204" s="18">
        <f t="shared" si="42"/>
        <v>75.999999999999929</v>
      </c>
      <c r="AN204" s="18">
        <f t="shared" si="43"/>
        <v>0</v>
      </c>
    </row>
    <row r="205" spans="2:40" x14ac:dyDescent="0.25">
      <c r="B205" s="30" t="s">
        <v>67</v>
      </c>
      <c r="C205" s="31">
        <v>45940</v>
      </c>
      <c r="D205" s="32">
        <v>0.35416666666666669</v>
      </c>
      <c r="E205" s="32">
        <v>0.39583333333333331</v>
      </c>
      <c r="F205" s="12">
        <f t="shared" si="44"/>
        <v>0.99999999999999911</v>
      </c>
      <c r="G205" s="12">
        <v>3.5</v>
      </c>
      <c r="H205" s="30" t="s">
        <v>64</v>
      </c>
      <c r="I205" s="30" t="s">
        <v>27</v>
      </c>
      <c r="J205" s="30" t="s">
        <v>28</v>
      </c>
      <c r="K205" s="9" t="str">
        <f>VLOOKUP($B205,[1]Kundenübersicht!$E$4:$AC$1003,MATCH(K$3,[1]Kundenübersicht!$E$3:$BA$3,FALSE),FALSE)</f>
        <v>Barmer Pflegekasse</v>
      </c>
      <c r="L205" s="13">
        <f>VLOOKUP(B205,[1]Kundenübersicht!$E$4:$AC$1003,MATCH(L$3,[1]Kundenübersicht!$E$3:$BA$3,FALSE),FALSE)</f>
        <v>184940005</v>
      </c>
      <c r="M205" s="13" t="str">
        <f>VLOOKUP(B205,[1]Kundenübersicht!$E$4:$AC$1003,MATCH(M$3,[1]Kundenübersicht!$E$3:$BA$3,FALSE),FALSE)</f>
        <v>K535388327</v>
      </c>
      <c r="N205" s="13" t="str">
        <f>VLOOKUP(B205,[1]Kundenübersicht!$E$4:$AC$1003,MATCH(N$3,[1]Kundenübersicht!$E$3:$BA$3,FALSE),FALSE)</f>
        <v>PG 2</v>
      </c>
      <c r="P205" s="9" t="s">
        <v>29</v>
      </c>
      <c r="R205" s="9" t="s">
        <v>30</v>
      </c>
      <c r="S205" s="14" t="s">
        <v>31</v>
      </c>
      <c r="U205" s="15">
        <f>IF(YEAR(C205)&lt;=2025,IFERROR(IF(I205="Hauswirtschaft",VLOOKUP($B205,[1]Kundenübersicht!$E$4:$BA$1003,MATCH("Hauswirtschaft [€/Stunde]",[1]Kundenübersicht!$E$3:$BA$3,FALSE),FALSE),VLOOKUP($B205,[1]Kundenübersicht!$E$4:$BA$1003,MATCH("Alltagsbegleitung [€/Stunde]",[1]Kundenübersicht!$E$3:$BA$3,FALSE),FALSE)),0),IFERROR(IF(I205="Hauswirtschaft",VLOOKUP($B205,[1]Kundenübersicht!$E$4:$BA$1003,MATCH("HW ab 2026 [€/Stunde]",[1]Kundenübersicht!$E$3:$BA$3,FALSE),FALSE),VLOOKUP($B205,[1]Kundenübersicht!$E$4:$BA$1003,MATCH("Alltagsbegleitung [€/Stunde]",[1]Kundenübersicht!$E$3:$BA$3,FALSE),FALSE)),0))</f>
        <v>32.75</v>
      </c>
      <c r="V205" s="16">
        <f t="shared" si="45"/>
        <v>32.749999999999972</v>
      </c>
      <c r="W205" s="16">
        <f t="shared" si="40"/>
        <v>0</v>
      </c>
      <c r="X205" s="16" t="str">
        <f>VLOOKUP(B205,[1]Kundenübersicht!E:AG,MATCH($X$3,[1]Kundenübersicht!$E$3:$AY$3,0),FALSE)</f>
        <v>Alt</v>
      </c>
      <c r="Z205" s="20" t="str">
        <f t="shared" si="38"/>
        <v>Ja</v>
      </c>
      <c r="AA205" s="19">
        <v>45979</v>
      </c>
      <c r="AC205" s="19"/>
      <c r="AE205" s="9">
        <f t="shared" si="46"/>
        <v>2025</v>
      </c>
      <c r="AF205" s="17" t="str">
        <f t="shared" si="47"/>
        <v>10.2025</v>
      </c>
      <c r="AG205" s="17" t="str">
        <f t="shared" si="48"/>
        <v>Ursula Ullmann</v>
      </c>
      <c r="AH205" s="17" t="str">
        <f>IFERROR(VLOOKUP(B205,[1]Kundenübersicht!$E$4:$F$85,2,FALSE),"")</f>
        <v>Luzia Pohlers</v>
      </c>
      <c r="AI205" s="17" t="str">
        <f t="shared" si="39"/>
        <v>Hauswirtschaft</v>
      </c>
      <c r="AJ205" s="17" t="str">
        <f t="shared" si="39"/>
        <v>Entlastungsleistung</v>
      </c>
      <c r="AL205" s="18">
        <f t="shared" si="41"/>
        <v>38</v>
      </c>
      <c r="AM205" s="18">
        <f t="shared" si="42"/>
        <v>37.999999999999964</v>
      </c>
      <c r="AN205" s="18">
        <f t="shared" si="43"/>
        <v>1.2249999999999999</v>
      </c>
    </row>
    <row r="206" spans="2:40" x14ac:dyDescent="0.25">
      <c r="B206" s="30" t="s">
        <v>67</v>
      </c>
      <c r="C206" s="31">
        <v>45947</v>
      </c>
      <c r="D206" s="32">
        <v>0.35416666666666669</v>
      </c>
      <c r="E206" s="32">
        <v>0.39583333333333331</v>
      </c>
      <c r="F206" s="12">
        <f t="shared" si="44"/>
        <v>0.99999999999999911</v>
      </c>
      <c r="G206" s="12">
        <v>3.5</v>
      </c>
      <c r="H206" s="30" t="s">
        <v>64</v>
      </c>
      <c r="I206" s="30" t="s">
        <v>27</v>
      </c>
      <c r="J206" s="30" t="s">
        <v>28</v>
      </c>
      <c r="K206" s="9" t="str">
        <f>VLOOKUP($B206,[1]Kundenübersicht!$E$4:$AC$1003,MATCH(K$3,[1]Kundenübersicht!$E$3:$BA$3,FALSE),FALSE)</f>
        <v>Barmer Pflegekasse</v>
      </c>
      <c r="L206" s="13">
        <f>VLOOKUP(B206,[1]Kundenübersicht!$E$4:$AC$1003,MATCH(L$3,[1]Kundenübersicht!$E$3:$BA$3,FALSE),FALSE)</f>
        <v>184940005</v>
      </c>
      <c r="M206" s="13" t="str">
        <f>VLOOKUP(B206,[1]Kundenübersicht!$E$4:$AC$1003,MATCH(M$3,[1]Kundenübersicht!$E$3:$BA$3,FALSE),FALSE)</f>
        <v>K535388327</v>
      </c>
      <c r="N206" s="13" t="str">
        <f>VLOOKUP(B206,[1]Kundenübersicht!$E$4:$AC$1003,MATCH(N$3,[1]Kundenübersicht!$E$3:$BA$3,FALSE),FALSE)</f>
        <v>PG 2</v>
      </c>
      <c r="P206" s="9" t="s">
        <v>29</v>
      </c>
      <c r="R206" s="9" t="s">
        <v>30</v>
      </c>
      <c r="S206" s="14" t="s">
        <v>31</v>
      </c>
      <c r="U206" s="15">
        <f>IF(YEAR(C206)&lt;=2025,IFERROR(IF(I206="Hauswirtschaft",VLOOKUP($B206,[1]Kundenübersicht!$E$4:$BA$1003,MATCH("Hauswirtschaft [€/Stunde]",[1]Kundenübersicht!$E$3:$BA$3,FALSE),FALSE),VLOOKUP($B206,[1]Kundenübersicht!$E$4:$BA$1003,MATCH("Alltagsbegleitung [€/Stunde]",[1]Kundenübersicht!$E$3:$BA$3,FALSE),FALSE)),0),IFERROR(IF(I206="Hauswirtschaft",VLOOKUP($B206,[1]Kundenübersicht!$E$4:$BA$1003,MATCH("HW ab 2026 [€/Stunde]",[1]Kundenübersicht!$E$3:$BA$3,FALSE),FALSE),VLOOKUP($B206,[1]Kundenübersicht!$E$4:$BA$1003,MATCH("Alltagsbegleitung [€/Stunde]",[1]Kundenübersicht!$E$3:$BA$3,FALSE),FALSE)),0))</f>
        <v>32.75</v>
      </c>
      <c r="V206" s="16">
        <f t="shared" si="45"/>
        <v>32.749999999999972</v>
      </c>
      <c r="W206" s="16">
        <f t="shared" si="40"/>
        <v>0</v>
      </c>
      <c r="X206" s="16" t="str">
        <f>VLOOKUP(B206,[1]Kundenübersicht!E:AG,MATCH($X$3,[1]Kundenübersicht!$E$3:$AY$3,0),FALSE)</f>
        <v>Alt</v>
      </c>
      <c r="Z206" s="20" t="str">
        <f t="shared" si="38"/>
        <v>Ja</v>
      </c>
      <c r="AA206" s="19">
        <v>45979</v>
      </c>
      <c r="AC206" s="19"/>
      <c r="AE206" s="9">
        <f t="shared" si="46"/>
        <v>2025</v>
      </c>
      <c r="AF206" s="17" t="str">
        <f t="shared" si="47"/>
        <v>10.2025</v>
      </c>
      <c r="AG206" s="17" t="str">
        <f t="shared" si="48"/>
        <v>Ursula Ullmann</v>
      </c>
      <c r="AH206" s="17" t="str">
        <f>IFERROR(VLOOKUP(B206,[1]Kundenübersicht!$E$4:$F$85,2,FALSE),"")</f>
        <v>Luzia Pohlers</v>
      </c>
      <c r="AI206" s="17" t="str">
        <f t="shared" si="39"/>
        <v>Hauswirtschaft</v>
      </c>
      <c r="AJ206" s="17" t="str">
        <f t="shared" si="39"/>
        <v>Entlastungsleistung</v>
      </c>
      <c r="AL206" s="18">
        <f t="shared" si="41"/>
        <v>38</v>
      </c>
      <c r="AM206" s="18">
        <f t="shared" si="42"/>
        <v>37.999999999999964</v>
      </c>
      <c r="AN206" s="18">
        <f t="shared" si="43"/>
        <v>1.2249999999999999</v>
      </c>
    </row>
    <row r="207" spans="2:40" x14ac:dyDescent="0.25">
      <c r="B207" s="30" t="s">
        <v>32</v>
      </c>
      <c r="C207" s="31">
        <v>45950</v>
      </c>
      <c r="D207" s="32">
        <v>0.32291666666666669</v>
      </c>
      <c r="E207" s="32">
        <v>0.38541666666666669</v>
      </c>
      <c r="F207" s="12">
        <f t="shared" si="44"/>
        <v>1.5</v>
      </c>
      <c r="G207" s="12">
        <v>13.3</v>
      </c>
      <c r="H207" s="30" t="s">
        <v>33</v>
      </c>
      <c r="I207" s="30" t="s">
        <v>27</v>
      </c>
      <c r="J207" s="30" t="s">
        <v>28</v>
      </c>
      <c r="K207" s="9" t="str">
        <f>VLOOKUP($B207,[1]Kundenübersicht!$E$4:$AC$1003,MATCH(K$3,[1]Kundenübersicht!$E$3:$BA$3,FALSE),FALSE)</f>
        <v>IKK Classic</v>
      </c>
      <c r="L207" s="13" t="str">
        <f>VLOOKUP(B207,[1]Kundenübersicht!$E$4:$AC$1003,MATCH(L$3,[1]Kundenübersicht!$E$3:$BA$3,FALSE),FALSE)</f>
        <v>187202793</v>
      </c>
      <c r="M207" s="13" t="str">
        <f>VLOOKUP(B207,[1]Kundenübersicht!$E$4:$AC$1003,MATCH(M$3,[1]Kundenübersicht!$E$3:$BA$3,FALSE),FALSE)</f>
        <v>A268233642</v>
      </c>
      <c r="N207" s="13" t="str">
        <f>VLOOKUP(B207,[1]Kundenübersicht!$E$4:$AC$1003,MATCH(N$3,[1]Kundenübersicht!$E$3:$BA$3,FALSE),FALSE)</f>
        <v>PG 2</v>
      </c>
      <c r="P207" s="9" t="s">
        <v>29</v>
      </c>
      <c r="R207" s="9" t="s">
        <v>30</v>
      </c>
      <c r="S207" s="14" t="s">
        <v>31</v>
      </c>
      <c r="U207" s="15">
        <f>IF(YEAR(C207)&lt;=2025,IFERROR(IF(I207="Hauswirtschaft",VLOOKUP($B207,[1]Kundenübersicht!$E$4:$BA$1003,MATCH("Hauswirtschaft [€/Stunde]",[1]Kundenübersicht!$E$3:$BA$3,FALSE),FALSE),VLOOKUP($B207,[1]Kundenübersicht!$E$4:$BA$1003,MATCH("Alltagsbegleitung [€/Stunde]",[1]Kundenübersicht!$E$3:$BA$3,FALSE),FALSE)),0),IFERROR(IF(I207="Hauswirtschaft",VLOOKUP($B207,[1]Kundenübersicht!$E$4:$BA$1003,MATCH("HW ab 2026 [€/Stunde]",[1]Kundenübersicht!$E$3:$BA$3,FALSE),FALSE),VLOOKUP($B207,[1]Kundenübersicht!$E$4:$BA$1003,MATCH("Alltagsbegleitung [€/Stunde]",[1]Kundenübersicht!$E$3:$BA$3,FALSE),FALSE)),0))</f>
        <v>32.75</v>
      </c>
      <c r="V207" s="16">
        <f t="shared" si="45"/>
        <v>49.125</v>
      </c>
      <c r="W207" s="16">
        <f t="shared" si="40"/>
        <v>0</v>
      </c>
      <c r="X207" s="16" t="str">
        <f>VLOOKUP(B207,[1]Kundenübersicht!E:AG,MATCH($X$3,[1]Kundenübersicht!$E$3:$AY$3,0),FALSE)</f>
        <v>Alt</v>
      </c>
      <c r="Z207" s="20" t="str">
        <f t="shared" si="38"/>
        <v>Ja</v>
      </c>
      <c r="AA207" s="19">
        <v>45979</v>
      </c>
      <c r="AC207" s="10">
        <v>45995</v>
      </c>
      <c r="AE207" s="9">
        <f t="shared" si="46"/>
        <v>2025</v>
      </c>
      <c r="AF207" s="17" t="str">
        <f t="shared" si="47"/>
        <v>10.2025</v>
      </c>
      <c r="AG207" s="17" t="str">
        <f t="shared" si="48"/>
        <v>Christiane Fiebag</v>
      </c>
      <c r="AH207" s="17" t="str">
        <f>IFERROR(VLOOKUP(B207,[1]Kundenübersicht!$E$4:$F$85,2,FALSE),"")</f>
        <v>Wolfgang Nagler</v>
      </c>
      <c r="AI207" s="17" t="str">
        <f t="shared" si="39"/>
        <v>Hauswirtschaft</v>
      </c>
      <c r="AJ207" s="17" t="str">
        <f t="shared" si="39"/>
        <v>Entlastungsleistung</v>
      </c>
      <c r="AL207" s="18">
        <f t="shared" si="41"/>
        <v>38</v>
      </c>
      <c r="AM207" s="18">
        <f t="shared" si="42"/>
        <v>57</v>
      </c>
      <c r="AN207" s="18">
        <f t="shared" si="43"/>
        <v>4.6550000000000002</v>
      </c>
    </row>
    <row r="208" spans="2:40" x14ac:dyDescent="0.25">
      <c r="B208" s="30" t="s">
        <v>67</v>
      </c>
      <c r="C208" s="31">
        <v>45954</v>
      </c>
      <c r="D208" s="32">
        <v>0.35416666666666669</v>
      </c>
      <c r="E208" s="32">
        <v>0.39583333333333331</v>
      </c>
      <c r="F208" s="12">
        <f t="shared" si="44"/>
        <v>0.99999999999999911</v>
      </c>
      <c r="G208" s="12">
        <v>3.5</v>
      </c>
      <c r="H208" s="30" t="s">
        <v>64</v>
      </c>
      <c r="I208" s="30" t="s">
        <v>27</v>
      </c>
      <c r="J208" s="30" t="s">
        <v>28</v>
      </c>
      <c r="K208" s="9" t="str">
        <f>VLOOKUP($B208,[1]Kundenübersicht!$E$4:$AC$1003,MATCH(K$3,[1]Kundenübersicht!$E$3:$BA$3,FALSE),FALSE)</f>
        <v>Barmer Pflegekasse</v>
      </c>
      <c r="L208" s="13">
        <f>VLOOKUP(B208,[1]Kundenübersicht!$E$4:$AC$1003,MATCH(L$3,[1]Kundenübersicht!$E$3:$BA$3,FALSE),FALSE)</f>
        <v>184940005</v>
      </c>
      <c r="M208" s="13" t="str">
        <f>VLOOKUP(B208,[1]Kundenübersicht!$E$4:$AC$1003,MATCH(M$3,[1]Kundenübersicht!$E$3:$BA$3,FALSE),FALSE)</f>
        <v>K535388327</v>
      </c>
      <c r="N208" s="13" t="str">
        <f>VLOOKUP(B208,[1]Kundenübersicht!$E$4:$AC$1003,MATCH(N$3,[1]Kundenübersicht!$E$3:$BA$3,FALSE),FALSE)</f>
        <v>PG 2</v>
      </c>
      <c r="P208" s="9" t="s">
        <v>29</v>
      </c>
      <c r="R208" s="9" t="s">
        <v>30</v>
      </c>
      <c r="S208" s="14" t="s">
        <v>31</v>
      </c>
      <c r="U208" s="15">
        <f>IF(YEAR(C208)&lt;=2025,IFERROR(IF(I208="Hauswirtschaft",VLOOKUP($B208,[1]Kundenübersicht!$E$4:$BA$1003,MATCH("Hauswirtschaft [€/Stunde]",[1]Kundenübersicht!$E$3:$BA$3,FALSE),FALSE),VLOOKUP($B208,[1]Kundenübersicht!$E$4:$BA$1003,MATCH("Alltagsbegleitung [€/Stunde]",[1]Kundenübersicht!$E$3:$BA$3,FALSE),FALSE)),0),IFERROR(IF(I208="Hauswirtschaft",VLOOKUP($B208,[1]Kundenübersicht!$E$4:$BA$1003,MATCH("HW ab 2026 [€/Stunde]",[1]Kundenübersicht!$E$3:$BA$3,FALSE),FALSE),VLOOKUP($B208,[1]Kundenübersicht!$E$4:$BA$1003,MATCH("Alltagsbegleitung [€/Stunde]",[1]Kundenübersicht!$E$3:$BA$3,FALSE),FALSE)),0))</f>
        <v>32.75</v>
      </c>
      <c r="V208" s="16">
        <f t="shared" si="45"/>
        <v>32.749999999999972</v>
      </c>
      <c r="W208" s="16">
        <f t="shared" si="40"/>
        <v>0</v>
      </c>
      <c r="X208" s="16" t="str">
        <f>VLOOKUP(B208,[1]Kundenübersicht!E:AG,MATCH($X$3,[1]Kundenübersicht!$E$3:$AY$3,0),FALSE)</f>
        <v>Alt</v>
      </c>
      <c r="Z208" s="20" t="str">
        <f t="shared" si="38"/>
        <v>Ja</v>
      </c>
      <c r="AA208" s="19">
        <v>45979</v>
      </c>
      <c r="AC208" s="19"/>
      <c r="AE208" s="9">
        <f t="shared" si="46"/>
        <v>2025</v>
      </c>
      <c r="AF208" s="17" t="str">
        <f t="shared" si="47"/>
        <v>10.2025</v>
      </c>
      <c r="AG208" s="17" t="str">
        <f t="shared" si="48"/>
        <v>Ursula Ullmann</v>
      </c>
      <c r="AH208" s="17" t="str">
        <f>IFERROR(VLOOKUP(B208,[1]Kundenübersicht!$E$4:$F$85,2,FALSE),"")</f>
        <v>Luzia Pohlers</v>
      </c>
      <c r="AI208" s="17" t="str">
        <f t="shared" si="39"/>
        <v>Hauswirtschaft</v>
      </c>
      <c r="AJ208" s="17" t="str">
        <f t="shared" si="39"/>
        <v>Entlastungsleistung</v>
      </c>
      <c r="AL208" s="18">
        <f t="shared" si="41"/>
        <v>38</v>
      </c>
      <c r="AM208" s="18">
        <f t="shared" si="42"/>
        <v>37.999999999999964</v>
      </c>
      <c r="AN208" s="18">
        <f t="shared" si="43"/>
        <v>1.2249999999999999</v>
      </c>
    </row>
    <row r="209" spans="2:40" x14ac:dyDescent="0.25">
      <c r="B209" s="30" t="s">
        <v>67</v>
      </c>
      <c r="C209" s="31">
        <v>45960</v>
      </c>
      <c r="D209" s="32">
        <v>0.35416666666666669</v>
      </c>
      <c r="E209" s="32">
        <v>0.39583333333333331</v>
      </c>
      <c r="F209" s="12">
        <f t="shared" si="44"/>
        <v>0.99999999999999911</v>
      </c>
      <c r="G209" s="12">
        <v>3.5</v>
      </c>
      <c r="H209" s="30" t="s">
        <v>64</v>
      </c>
      <c r="I209" s="30" t="s">
        <v>27</v>
      </c>
      <c r="J209" s="30" t="s">
        <v>28</v>
      </c>
      <c r="K209" s="9" t="str">
        <f>VLOOKUP($B209,[1]Kundenübersicht!$E$4:$AC$1003,MATCH(K$3,[1]Kundenübersicht!$E$3:$BA$3,FALSE),FALSE)</f>
        <v>Barmer Pflegekasse</v>
      </c>
      <c r="L209" s="13">
        <f>VLOOKUP(B209,[1]Kundenübersicht!$E$4:$AC$1003,MATCH(L$3,[1]Kundenübersicht!$E$3:$BA$3,FALSE),FALSE)</f>
        <v>184940005</v>
      </c>
      <c r="M209" s="13" t="str">
        <f>VLOOKUP(B209,[1]Kundenübersicht!$E$4:$AC$1003,MATCH(M$3,[1]Kundenübersicht!$E$3:$BA$3,FALSE),FALSE)</f>
        <v>K535388327</v>
      </c>
      <c r="N209" s="13" t="str">
        <f>VLOOKUP(B209,[1]Kundenübersicht!$E$4:$AC$1003,MATCH(N$3,[1]Kundenübersicht!$E$3:$BA$3,FALSE),FALSE)</f>
        <v>PG 2</v>
      </c>
      <c r="P209" s="9" t="s">
        <v>29</v>
      </c>
      <c r="R209" s="9" t="s">
        <v>30</v>
      </c>
      <c r="S209" s="14" t="s">
        <v>31</v>
      </c>
      <c r="U209" s="15">
        <f>IF(YEAR(C209)&lt;=2025,IFERROR(IF(I209="Hauswirtschaft",VLOOKUP($B209,[1]Kundenübersicht!$E$4:$BA$1003,MATCH("Hauswirtschaft [€/Stunde]",[1]Kundenübersicht!$E$3:$BA$3,FALSE),FALSE),VLOOKUP($B209,[1]Kundenübersicht!$E$4:$BA$1003,MATCH("Alltagsbegleitung [€/Stunde]",[1]Kundenübersicht!$E$3:$BA$3,FALSE),FALSE)),0),IFERROR(IF(I209="Hauswirtschaft",VLOOKUP($B209,[1]Kundenübersicht!$E$4:$BA$1003,MATCH("HW ab 2026 [€/Stunde]",[1]Kundenübersicht!$E$3:$BA$3,FALSE),FALSE),VLOOKUP($B209,[1]Kundenübersicht!$E$4:$BA$1003,MATCH("Alltagsbegleitung [€/Stunde]",[1]Kundenübersicht!$E$3:$BA$3,FALSE),FALSE)),0))</f>
        <v>32.75</v>
      </c>
      <c r="V209" s="16">
        <f t="shared" si="45"/>
        <v>32.749999999999972</v>
      </c>
      <c r="W209" s="16">
        <f t="shared" si="40"/>
        <v>0</v>
      </c>
      <c r="X209" s="16" t="str">
        <f>VLOOKUP(B209,[1]Kundenübersicht!E:AG,MATCH($X$3,[1]Kundenübersicht!$E$3:$AY$3,0),FALSE)</f>
        <v>Alt</v>
      </c>
      <c r="Z209" s="20" t="str">
        <f t="shared" si="38"/>
        <v>Ja</v>
      </c>
      <c r="AA209" s="19">
        <v>45979</v>
      </c>
      <c r="AC209" s="19"/>
      <c r="AE209" s="9">
        <f t="shared" si="46"/>
        <v>2025</v>
      </c>
      <c r="AF209" s="17" t="str">
        <f t="shared" si="47"/>
        <v>10.2025</v>
      </c>
      <c r="AG209" s="17" t="str">
        <f t="shared" si="48"/>
        <v>Ursula Ullmann</v>
      </c>
      <c r="AH209" s="17" t="str">
        <f>IFERROR(VLOOKUP(B209,[1]Kundenübersicht!$E$4:$F$85,2,FALSE),"")</f>
        <v>Luzia Pohlers</v>
      </c>
      <c r="AI209" s="17" t="str">
        <f t="shared" si="39"/>
        <v>Hauswirtschaft</v>
      </c>
      <c r="AJ209" s="17" t="str">
        <f t="shared" si="39"/>
        <v>Entlastungsleistung</v>
      </c>
      <c r="AL209" s="18">
        <f t="shared" si="41"/>
        <v>38</v>
      </c>
      <c r="AM209" s="18">
        <f t="shared" si="42"/>
        <v>37.999999999999964</v>
      </c>
      <c r="AN209" s="18">
        <f t="shared" si="43"/>
        <v>1.2249999999999999</v>
      </c>
    </row>
    <row r="210" spans="2:40" x14ac:dyDescent="0.25">
      <c r="B210" s="30" t="s">
        <v>35</v>
      </c>
      <c r="C210" s="31">
        <v>45951</v>
      </c>
      <c r="D210" s="32">
        <v>0.45833333333333331</v>
      </c>
      <c r="E210" s="32">
        <v>0.54166666666666663</v>
      </c>
      <c r="F210" s="12">
        <f t="shared" si="44"/>
        <v>1.9999999999999996</v>
      </c>
      <c r="G210" s="12">
        <v>6.3</v>
      </c>
      <c r="H210" s="30" t="s">
        <v>33</v>
      </c>
      <c r="I210" s="30" t="s">
        <v>27</v>
      </c>
      <c r="J210" s="30" t="s">
        <v>28</v>
      </c>
      <c r="K210" s="9" t="str">
        <f>VLOOKUP($B210,[1]Kundenübersicht!$E$4:$AC$1003,MATCH(K$3,[1]Kundenübersicht!$E$3:$BA$3,FALSE),FALSE)</f>
        <v>AOK PLUS</v>
      </c>
      <c r="L210" s="13">
        <f>VLOOKUP(B210,[1]Kundenübersicht!$E$4:$AC$1003,MATCH(L$3,[1]Kundenübersicht!$E$3:$BA$3,FALSE),FALSE)</f>
        <v>107299005</v>
      </c>
      <c r="M210" s="13" t="str">
        <f>VLOOKUP(B210,[1]Kundenübersicht!$E$4:$AC$1003,MATCH(M$3,[1]Kundenübersicht!$E$3:$BA$3,FALSE),FALSE)</f>
        <v>P722909118</v>
      </c>
      <c r="N210" s="13" t="str">
        <f>VLOOKUP(B210,[1]Kundenübersicht!$E$4:$AC$1003,MATCH(N$3,[1]Kundenübersicht!$E$3:$BA$3,FALSE),FALSE)</f>
        <v>PG 3</v>
      </c>
      <c r="P210" s="9" t="s">
        <v>29</v>
      </c>
      <c r="R210" s="9" t="s">
        <v>30</v>
      </c>
      <c r="S210" s="14" t="s">
        <v>31</v>
      </c>
      <c r="U210" s="15">
        <f>IF(YEAR(C210)&lt;=2025,IFERROR(IF(I210="Hauswirtschaft",VLOOKUP($B210,[1]Kundenübersicht!$E$4:$BA$1003,MATCH("Hauswirtschaft [€/Stunde]",[1]Kundenübersicht!$E$3:$BA$3,FALSE),FALSE),VLOOKUP($B210,[1]Kundenübersicht!$E$4:$BA$1003,MATCH("Alltagsbegleitung [€/Stunde]",[1]Kundenübersicht!$E$3:$BA$3,FALSE),FALSE)),0),IFERROR(IF(I210="Hauswirtschaft",VLOOKUP($B210,[1]Kundenübersicht!$E$4:$BA$1003,MATCH("HW ab 2026 [€/Stunde]",[1]Kundenübersicht!$E$3:$BA$3,FALSE),FALSE),VLOOKUP($B210,[1]Kundenübersicht!$E$4:$BA$1003,MATCH("Alltagsbegleitung [€/Stunde]",[1]Kundenübersicht!$E$3:$BA$3,FALSE),FALSE)),0))</f>
        <v>32.75</v>
      </c>
      <c r="V210" s="16">
        <f t="shared" si="45"/>
        <v>65.499999999999986</v>
      </c>
      <c r="W210" s="16">
        <f t="shared" si="40"/>
        <v>0</v>
      </c>
      <c r="X210" s="16" t="str">
        <f>VLOOKUP(B210,[1]Kundenübersicht!E:AG,MATCH($X$3,[1]Kundenübersicht!$E$3:$AY$3,0),FALSE)</f>
        <v>Alt</v>
      </c>
      <c r="Z210" s="20" t="str">
        <f t="shared" si="38"/>
        <v>Ja</v>
      </c>
      <c r="AA210" s="19">
        <v>45979</v>
      </c>
      <c r="AC210" s="19">
        <v>46002</v>
      </c>
      <c r="AE210" s="9">
        <f t="shared" si="46"/>
        <v>2025</v>
      </c>
      <c r="AF210" s="17" t="str">
        <f t="shared" si="47"/>
        <v>10.2025</v>
      </c>
      <c r="AG210" s="17" t="str">
        <f t="shared" si="48"/>
        <v>Christiane Fiebag</v>
      </c>
      <c r="AH210" s="17" t="str">
        <f>IFERROR(VLOOKUP(B210,[1]Kundenübersicht!$E$4:$F$85,2,FALSE),"")</f>
        <v>Elke Berghold</v>
      </c>
      <c r="AI210" s="17" t="str">
        <f t="shared" si="39"/>
        <v>Hauswirtschaft</v>
      </c>
      <c r="AJ210" s="17" t="str">
        <f t="shared" si="39"/>
        <v>Entlastungsleistung</v>
      </c>
      <c r="AL210" s="18">
        <f t="shared" si="41"/>
        <v>38</v>
      </c>
      <c r="AM210" s="18">
        <f t="shared" si="42"/>
        <v>75.999999999999986</v>
      </c>
      <c r="AN210" s="18">
        <f t="shared" si="43"/>
        <v>2.2049999999999996</v>
      </c>
    </row>
    <row r="211" spans="2:40" x14ac:dyDescent="0.25">
      <c r="B211" s="30" t="s">
        <v>70</v>
      </c>
      <c r="C211" s="31">
        <v>45951</v>
      </c>
      <c r="D211" s="32">
        <v>0.54513888888888884</v>
      </c>
      <c r="E211" s="32">
        <v>0.60763888888888884</v>
      </c>
      <c r="F211" s="12">
        <f t="shared" si="44"/>
        <v>1.5</v>
      </c>
      <c r="G211" s="12">
        <v>7</v>
      </c>
      <c r="H211" s="30" t="s">
        <v>33</v>
      </c>
      <c r="I211" s="30" t="s">
        <v>27</v>
      </c>
      <c r="J211" s="30" t="s">
        <v>28</v>
      </c>
      <c r="K211" s="9" t="str">
        <f>VLOOKUP($B211,[1]Kundenübersicht!$E$4:$AC$1003,MATCH(K$3,[1]Kundenübersicht!$E$3:$BA$3,FALSE),FALSE)</f>
        <v>Barmer Pflegekasse</v>
      </c>
      <c r="L211" s="13">
        <f>VLOOKUP(B211,[1]Kundenübersicht!$E$4:$AC$1003,MATCH(L$3,[1]Kundenübersicht!$E$3:$BA$3,FALSE),FALSE)</f>
        <v>184940005</v>
      </c>
      <c r="M211" s="13" t="str">
        <f>VLOOKUP(B211,[1]Kundenübersicht!$E$4:$AC$1003,MATCH(M$3,[1]Kundenübersicht!$E$3:$BA$3,FALSE),FALSE)</f>
        <v>W255296774</v>
      </c>
      <c r="N211" s="13" t="str">
        <f>VLOOKUP(B211,[1]Kundenübersicht!$E$4:$AC$1003,MATCH(N$3,[1]Kundenübersicht!$E$3:$BA$3,FALSE),FALSE)</f>
        <v>PG 1</v>
      </c>
      <c r="P211" s="9" t="s">
        <v>29</v>
      </c>
      <c r="R211" s="9" t="s">
        <v>30</v>
      </c>
      <c r="S211" s="14" t="s">
        <v>31</v>
      </c>
      <c r="U211" s="15">
        <f>IF(YEAR(C211)&lt;=2025,IFERROR(IF(I211="Hauswirtschaft",VLOOKUP($B211,[1]Kundenübersicht!$E$4:$BA$1003,MATCH("Hauswirtschaft [€/Stunde]",[1]Kundenübersicht!$E$3:$BA$3,FALSE),FALSE),VLOOKUP($B211,[1]Kundenübersicht!$E$4:$BA$1003,MATCH("Alltagsbegleitung [€/Stunde]",[1]Kundenübersicht!$E$3:$BA$3,FALSE),FALSE)),0),IFERROR(IF(I211="Hauswirtschaft",VLOOKUP($B211,[1]Kundenübersicht!$E$4:$BA$1003,MATCH("HW ab 2026 [€/Stunde]",[1]Kundenübersicht!$E$3:$BA$3,FALSE),FALSE),VLOOKUP($B211,[1]Kundenübersicht!$E$4:$BA$1003,MATCH("Alltagsbegleitung [€/Stunde]",[1]Kundenübersicht!$E$3:$BA$3,FALSE),FALSE)),0))</f>
        <v>38</v>
      </c>
      <c r="V211" s="16">
        <f t="shared" si="45"/>
        <v>57</v>
      </c>
      <c r="W211" s="16">
        <f t="shared" si="40"/>
        <v>2.4499999999999997</v>
      </c>
      <c r="X211" s="16" t="str">
        <f>VLOOKUP(B211,[1]Kundenübersicht!E:AG,MATCH($X$3,[1]Kundenübersicht!$E$3:$AY$3,0),FALSE)</f>
        <v>Neu</v>
      </c>
      <c r="Z211" s="20" t="str">
        <f t="shared" si="38"/>
        <v>Ja</v>
      </c>
      <c r="AA211" s="19">
        <v>45979</v>
      </c>
      <c r="AC211" s="19"/>
      <c r="AE211" s="9">
        <f t="shared" si="46"/>
        <v>2025</v>
      </c>
      <c r="AF211" s="17" t="str">
        <f t="shared" si="47"/>
        <v>10.2025</v>
      </c>
      <c r="AG211" s="17" t="str">
        <f t="shared" si="48"/>
        <v>Christiane Fiebag</v>
      </c>
      <c r="AH211" s="17" t="str">
        <f>IFERROR(VLOOKUP(B211,[1]Kundenübersicht!$E$4:$F$85,2,FALSE),"")</f>
        <v>Renate Schade</v>
      </c>
      <c r="AI211" s="17" t="str">
        <f t="shared" ref="AI211:AJ242" si="49">IF(I211="","",I211)</f>
        <v>Hauswirtschaft</v>
      </c>
      <c r="AJ211" s="17" t="str">
        <f t="shared" si="49"/>
        <v>Entlastungsleistung</v>
      </c>
      <c r="AL211" s="18">
        <f t="shared" si="41"/>
        <v>38</v>
      </c>
      <c r="AM211" s="18">
        <f t="shared" si="42"/>
        <v>57</v>
      </c>
      <c r="AN211" s="18">
        <f t="shared" si="43"/>
        <v>2.4499999999999997</v>
      </c>
    </row>
    <row r="212" spans="2:40" x14ac:dyDescent="0.25">
      <c r="B212" s="30" t="s">
        <v>43</v>
      </c>
      <c r="C212" s="31">
        <v>45952</v>
      </c>
      <c r="D212" s="32">
        <v>0.33333333333333331</v>
      </c>
      <c r="E212" s="32">
        <v>0.375</v>
      </c>
      <c r="F212" s="12">
        <f t="shared" si="44"/>
        <v>1.0000000000000004</v>
      </c>
      <c r="G212" s="12"/>
      <c r="H212" s="30" t="s">
        <v>46</v>
      </c>
      <c r="I212" s="30" t="s">
        <v>27</v>
      </c>
      <c r="J212" s="30" t="s">
        <v>28</v>
      </c>
      <c r="K212" s="9" t="str">
        <f>VLOOKUP($B212,[1]Kundenübersicht!$E$4:$AC$1003,MATCH(K$3,[1]Kundenübersicht!$E$3:$BA$3,FALSE),FALSE)</f>
        <v>AOK PLUS</v>
      </c>
      <c r="L212" s="13">
        <f>VLOOKUP(B212,[1]Kundenübersicht!$E$4:$AC$1003,MATCH(L$3,[1]Kundenübersicht!$E$3:$BA$3,FALSE),FALSE)</f>
        <v>107299005</v>
      </c>
      <c r="M212" s="13" t="str">
        <f>VLOOKUP(B212,[1]Kundenübersicht!$E$4:$AC$1003,MATCH(M$3,[1]Kundenübersicht!$E$3:$BA$3,FALSE),FALSE)</f>
        <v>I323820679</v>
      </c>
      <c r="N212" s="13" t="str">
        <f>VLOOKUP(B212,[1]Kundenübersicht!$E$4:$AC$1003,MATCH(N$3,[1]Kundenübersicht!$E$3:$BA$3,FALSE),FALSE)</f>
        <v>PG 1</v>
      </c>
      <c r="P212" s="9" t="s">
        <v>29</v>
      </c>
      <c r="R212" s="9" t="s">
        <v>30</v>
      </c>
      <c r="S212" s="14" t="s">
        <v>31</v>
      </c>
      <c r="U212" s="15">
        <f>IF(YEAR(C212)&lt;=2025,IFERROR(IF(I212="Hauswirtschaft",VLOOKUP($B212,[1]Kundenübersicht!$E$4:$BA$1003,MATCH("Hauswirtschaft [€/Stunde]",[1]Kundenübersicht!$E$3:$BA$3,FALSE),FALSE),VLOOKUP($B212,[1]Kundenübersicht!$E$4:$BA$1003,MATCH("Alltagsbegleitung [€/Stunde]",[1]Kundenübersicht!$E$3:$BA$3,FALSE),FALSE)),0),IFERROR(IF(I212="Hauswirtschaft",VLOOKUP($B212,[1]Kundenübersicht!$E$4:$BA$1003,MATCH("HW ab 2026 [€/Stunde]",[1]Kundenübersicht!$E$3:$BA$3,FALSE),FALSE),VLOOKUP($B212,[1]Kundenübersicht!$E$4:$BA$1003,MATCH("Alltagsbegleitung [€/Stunde]",[1]Kundenübersicht!$E$3:$BA$3,FALSE),FALSE)),0))</f>
        <v>32.75</v>
      </c>
      <c r="V212" s="16">
        <f t="shared" si="45"/>
        <v>32.750000000000014</v>
      </c>
      <c r="W212" s="16">
        <f t="shared" si="40"/>
        <v>0</v>
      </c>
      <c r="X212" s="16" t="str">
        <f>VLOOKUP(B212,[1]Kundenübersicht!E:AG,MATCH($X$3,[1]Kundenübersicht!$E$3:$AY$3,0),FALSE)</f>
        <v>Alt</v>
      </c>
      <c r="Z212" s="20" t="str">
        <f t="shared" si="38"/>
        <v>Ja</v>
      </c>
      <c r="AA212" s="19">
        <v>45979</v>
      </c>
      <c r="AC212" s="19">
        <v>46057</v>
      </c>
      <c r="AE212" s="9">
        <f t="shared" si="46"/>
        <v>2025</v>
      </c>
      <c r="AF212" s="17" t="str">
        <f t="shared" si="47"/>
        <v>10.2025</v>
      </c>
      <c r="AG212" s="17" t="str">
        <f t="shared" si="48"/>
        <v>Manuela Richter</v>
      </c>
      <c r="AH212" s="17" t="str">
        <f>IFERROR(VLOOKUP(B212,[1]Kundenübersicht!$E$4:$F$85,2,FALSE),"")</f>
        <v>Inge Leupold</v>
      </c>
      <c r="AI212" s="17" t="str">
        <f t="shared" si="49"/>
        <v>Hauswirtschaft</v>
      </c>
      <c r="AJ212" s="17" t="str">
        <f t="shared" si="49"/>
        <v>Entlastungsleistung</v>
      </c>
      <c r="AL212" s="18">
        <f t="shared" si="41"/>
        <v>38</v>
      </c>
      <c r="AM212" s="18">
        <f t="shared" si="42"/>
        <v>38.000000000000014</v>
      </c>
      <c r="AN212" s="18">
        <f t="shared" si="43"/>
        <v>0</v>
      </c>
    </row>
    <row r="213" spans="2:40" x14ac:dyDescent="0.25">
      <c r="B213" s="30" t="s">
        <v>39</v>
      </c>
      <c r="C213" s="31">
        <v>45952</v>
      </c>
      <c r="D213" s="32">
        <v>0.64583333333333337</v>
      </c>
      <c r="E213" s="32">
        <v>0.6875</v>
      </c>
      <c r="F213" s="12">
        <f t="shared" si="44"/>
        <v>0.99999999999999911</v>
      </c>
      <c r="G213" s="12">
        <v>9.3000000000000007</v>
      </c>
      <c r="H213" s="30" t="s">
        <v>40</v>
      </c>
      <c r="I213" s="30" t="s">
        <v>41</v>
      </c>
      <c r="J213" s="30" t="s">
        <v>28</v>
      </c>
      <c r="K213" s="9" t="str">
        <f>VLOOKUP($B213,[1]Kundenübersicht!$E$4:$AC$1003,MATCH(K$3,[1]Kundenübersicht!$E$3:$BA$3,FALSE),FALSE)</f>
        <v>AOK PLUS</v>
      </c>
      <c r="L213" s="13">
        <f>VLOOKUP(B213,[1]Kundenübersicht!$E$4:$AC$1003,MATCH(L$3,[1]Kundenübersicht!$E$3:$BA$3,FALSE),FALSE)</f>
        <v>107299005</v>
      </c>
      <c r="M213" s="13" t="str">
        <f>VLOOKUP(B213,[1]Kundenübersicht!$E$4:$AC$1003,MATCH(M$3,[1]Kundenübersicht!$E$3:$BA$3,FALSE),FALSE)</f>
        <v>Q445657677</v>
      </c>
      <c r="N213" s="13" t="str">
        <f>VLOOKUP(B213,[1]Kundenübersicht!$E$4:$AC$1003,MATCH(N$3,[1]Kundenübersicht!$E$3:$BA$3,FALSE),FALSE)</f>
        <v>PG 2</v>
      </c>
      <c r="P213" s="9" t="s">
        <v>29</v>
      </c>
      <c r="R213" s="9" t="s">
        <v>30</v>
      </c>
      <c r="S213" s="14" t="s">
        <v>31</v>
      </c>
      <c r="U213" s="15">
        <f>IF(YEAR(C213)&lt;=2025,IFERROR(IF(I213="Hauswirtschaft",VLOOKUP($B213,[1]Kundenübersicht!$E$4:$BA$1003,MATCH("Hauswirtschaft [€/Stunde]",[1]Kundenübersicht!$E$3:$BA$3,FALSE),FALSE),VLOOKUP($B213,[1]Kundenübersicht!$E$4:$BA$1003,MATCH("Alltagsbegleitung [€/Stunde]",[1]Kundenübersicht!$E$3:$BA$3,FALSE),FALSE)),0),IFERROR(IF(I213="Hauswirtschaft",VLOOKUP($B213,[1]Kundenübersicht!$E$4:$BA$1003,MATCH("HW ab 2026 [€/Stunde]",[1]Kundenübersicht!$E$3:$BA$3,FALSE),FALSE),VLOOKUP($B213,[1]Kundenübersicht!$E$4:$BA$1003,MATCH("Alltagsbegleitung [€/Stunde]",[1]Kundenübersicht!$E$3:$BA$3,FALSE),FALSE)),0))</f>
        <v>42</v>
      </c>
      <c r="V213" s="16">
        <f t="shared" si="45"/>
        <v>41.999999999999964</v>
      </c>
      <c r="W213" s="16">
        <f t="shared" si="40"/>
        <v>0</v>
      </c>
      <c r="X213" s="16" t="str">
        <f>VLOOKUP(B213,[1]Kundenübersicht!E:AG,MATCH($X$3,[1]Kundenübersicht!$E$3:$AY$3,0),FALSE)</f>
        <v>Alt</v>
      </c>
      <c r="Z213" s="20" t="str">
        <f t="shared" si="38"/>
        <v>Ja</v>
      </c>
      <c r="AA213" s="19">
        <v>45979</v>
      </c>
      <c r="AC213" s="19">
        <v>46002</v>
      </c>
      <c r="AE213" s="9">
        <f t="shared" si="46"/>
        <v>2025</v>
      </c>
      <c r="AF213" s="17" t="str">
        <f t="shared" si="47"/>
        <v>10.2025</v>
      </c>
      <c r="AG213" s="17" t="str">
        <f t="shared" si="48"/>
        <v>Franziska Wächtler</v>
      </c>
      <c r="AH213" s="17" t="str">
        <f>IFERROR(VLOOKUP(B213,[1]Kundenübersicht!$E$4:$F$85,2,FALSE),"")</f>
        <v>Helga Dienelt</v>
      </c>
      <c r="AI213" s="17" t="str">
        <f t="shared" si="49"/>
        <v>Alltagsbegleitung</v>
      </c>
      <c r="AJ213" s="17" t="str">
        <f t="shared" si="49"/>
        <v>Entlastungsleistung</v>
      </c>
      <c r="AL213" s="18">
        <f t="shared" si="41"/>
        <v>42</v>
      </c>
      <c r="AM213" s="18">
        <f t="shared" si="42"/>
        <v>41.999999999999964</v>
      </c>
      <c r="AN213" s="18">
        <f t="shared" si="43"/>
        <v>3.2549999999999999</v>
      </c>
    </row>
    <row r="214" spans="2:40" x14ac:dyDescent="0.25">
      <c r="B214" s="30" t="s">
        <v>52</v>
      </c>
      <c r="C214" s="31">
        <v>45952</v>
      </c>
      <c r="D214" s="32">
        <v>0.33333333333333331</v>
      </c>
      <c r="E214" s="32">
        <v>0.41666666666666669</v>
      </c>
      <c r="F214" s="12">
        <f t="shared" si="44"/>
        <v>2.0000000000000009</v>
      </c>
      <c r="G214" s="12">
        <v>3.6</v>
      </c>
      <c r="H214" s="30" t="s">
        <v>33</v>
      </c>
      <c r="I214" s="30" t="s">
        <v>27</v>
      </c>
      <c r="J214" s="30" t="s">
        <v>28</v>
      </c>
      <c r="K214" s="9" t="str">
        <f>VLOOKUP($B214,[1]Kundenübersicht!$E$4:$AC$1003,MATCH(K$3,[1]Kundenübersicht!$E$3:$BA$3,FALSE),FALSE)</f>
        <v>AOK PLUS</v>
      </c>
      <c r="L214" s="13">
        <f>VLOOKUP(B214,[1]Kundenübersicht!$E$4:$AC$1003,MATCH(L$3,[1]Kundenübersicht!$E$3:$BA$3,FALSE),FALSE)</f>
        <v>107299005</v>
      </c>
      <c r="M214" s="13" t="str">
        <f>VLOOKUP(B214,[1]Kundenübersicht!$E$4:$AC$1003,MATCH(M$3,[1]Kundenübersicht!$E$3:$BA$3,FALSE),FALSE)</f>
        <v>G562042888</v>
      </c>
      <c r="N214" s="13" t="str">
        <f>VLOOKUP(B214,[1]Kundenübersicht!$E$4:$AC$1003,MATCH(N$3,[1]Kundenübersicht!$E$3:$BA$3,FALSE),FALSE)</f>
        <v>PG 2</v>
      </c>
      <c r="P214" s="9" t="s">
        <v>29</v>
      </c>
      <c r="R214" s="9" t="s">
        <v>30</v>
      </c>
      <c r="S214" s="14" t="s">
        <v>31</v>
      </c>
      <c r="U214" s="15">
        <f>IF(YEAR(C214)&lt;=2025,IFERROR(IF(I214="Hauswirtschaft",VLOOKUP($B214,[1]Kundenübersicht!$E$4:$BA$1003,MATCH("Hauswirtschaft [€/Stunde]",[1]Kundenübersicht!$E$3:$BA$3,FALSE),FALSE),VLOOKUP($B214,[1]Kundenübersicht!$E$4:$BA$1003,MATCH("Alltagsbegleitung [€/Stunde]",[1]Kundenübersicht!$E$3:$BA$3,FALSE),FALSE)),0),IFERROR(IF(I214="Hauswirtschaft",VLOOKUP($B214,[1]Kundenübersicht!$E$4:$BA$1003,MATCH("HW ab 2026 [€/Stunde]",[1]Kundenübersicht!$E$3:$BA$3,FALSE),FALSE),VLOOKUP($B214,[1]Kundenübersicht!$E$4:$BA$1003,MATCH("Alltagsbegleitung [€/Stunde]",[1]Kundenübersicht!$E$3:$BA$3,FALSE),FALSE)),0))</f>
        <v>32.75</v>
      </c>
      <c r="V214" s="16">
        <f t="shared" si="45"/>
        <v>65.500000000000028</v>
      </c>
      <c r="W214" s="16">
        <f t="shared" si="40"/>
        <v>0</v>
      </c>
      <c r="X214" s="16" t="str">
        <f>VLOOKUP(B214,[1]Kundenübersicht!E:AG,MATCH($X$3,[1]Kundenübersicht!$E$3:$AY$3,0),FALSE)</f>
        <v>Alt</v>
      </c>
      <c r="Z214" s="20" t="str">
        <f t="shared" si="38"/>
        <v>Ja</v>
      </c>
      <c r="AA214" s="19">
        <v>45979</v>
      </c>
      <c r="AC214" s="19">
        <v>46002</v>
      </c>
      <c r="AE214" s="9">
        <f t="shared" si="46"/>
        <v>2025</v>
      </c>
      <c r="AF214" s="17" t="str">
        <f t="shared" si="47"/>
        <v>10.2025</v>
      </c>
      <c r="AG214" s="17" t="str">
        <f t="shared" si="48"/>
        <v>Christiane Fiebag</v>
      </c>
      <c r="AH214" s="17" t="str">
        <f>IFERROR(VLOOKUP(B214,[1]Kundenübersicht!$E$4:$F$85,2,FALSE),"")</f>
        <v>Matthias Roß</v>
      </c>
      <c r="AI214" s="17" t="str">
        <f t="shared" si="49"/>
        <v>Hauswirtschaft</v>
      </c>
      <c r="AJ214" s="17" t="str">
        <f t="shared" si="49"/>
        <v>Entlastungsleistung</v>
      </c>
      <c r="AL214" s="18">
        <f t="shared" si="41"/>
        <v>38</v>
      </c>
      <c r="AM214" s="18">
        <f t="shared" si="42"/>
        <v>76.000000000000028</v>
      </c>
      <c r="AN214" s="18">
        <f t="shared" si="43"/>
        <v>1.26</v>
      </c>
    </row>
    <row r="215" spans="2:40" x14ac:dyDescent="0.25">
      <c r="B215" s="30" t="s">
        <v>68</v>
      </c>
      <c r="C215" s="31">
        <v>45950</v>
      </c>
      <c r="D215" s="32">
        <v>0.375</v>
      </c>
      <c r="E215" s="32">
        <v>0.4375</v>
      </c>
      <c r="F215" s="12">
        <f t="shared" si="44"/>
        <v>1.5</v>
      </c>
      <c r="G215" s="12">
        <v>4</v>
      </c>
      <c r="H215" s="30" t="s">
        <v>64</v>
      </c>
      <c r="I215" s="30" t="s">
        <v>41</v>
      </c>
      <c r="J215" s="30" t="s">
        <v>28</v>
      </c>
      <c r="K215" s="9" t="str">
        <f>VLOOKUP($B215,[1]Kundenübersicht!$E$4:$AC$1003,MATCH(K$3,[1]Kundenübersicht!$E$3:$BA$3,FALSE),FALSE)</f>
        <v>AOK PLUS</v>
      </c>
      <c r="L215" s="13">
        <f>VLOOKUP(B215,[1]Kundenübersicht!$E$4:$AC$1003,MATCH(L$3,[1]Kundenübersicht!$E$3:$BA$3,FALSE),FALSE)</f>
        <v>107299005</v>
      </c>
      <c r="M215" s="13" t="str">
        <f>VLOOKUP(B215,[1]Kundenübersicht!$E$4:$AC$1003,MATCH(M$3,[1]Kundenübersicht!$E$3:$BA$3,FALSE),FALSE)</f>
        <v>W183342294</v>
      </c>
      <c r="N215" s="13" t="str">
        <f>VLOOKUP(B215,[1]Kundenübersicht!$E$4:$AC$1003,MATCH(N$3,[1]Kundenübersicht!$E$3:$BA$3,FALSE),FALSE)</f>
        <v>PG 1</v>
      </c>
      <c r="P215" s="9" t="s">
        <v>29</v>
      </c>
      <c r="R215" s="9" t="s">
        <v>30</v>
      </c>
      <c r="S215" s="14" t="s">
        <v>31</v>
      </c>
      <c r="U215" s="15">
        <f>IF(YEAR(C215)&lt;=2025,IFERROR(IF(I215="Hauswirtschaft",VLOOKUP($B215,[1]Kundenübersicht!$E$4:$BA$1003,MATCH("Hauswirtschaft [€/Stunde]",[1]Kundenübersicht!$E$3:$BA$3,FALSE),FALSE),VLOOKUP($B215,[1]Kundenübersicht!$E$4:$BA$1003,MATCH("Alltagsbegleitung [€/Stunde]",[1]Kundenübersicht!$E$3:$BA$3,FALSE),FALSE)),0),IFERROR(IF(I215="Hauswirtschaft",VLOOKUP($B215,[1]Kundenübersicht!$E$4:$BA$1003,MATCH("HW ab 2026 [€/Stunde]",[1]Kundenübersicht!$E$3:$BA$3,FALSE),FALSE),VLOOKUP($B215,[1]Kundenübersicht!$E$4:$BA$1003,MATCH("Alltagsbegleitung [€/Stunde]",[1]Kundenübersicht!$E$3:$BA$3,FALSE),FALSE)),0))</f>
        <v>42</v>
      </c>
      <c r="V215" s="16">
        <f t="shared" si="45"/>
        <v>63</v>
      </c>
      <c r="W215" s="16">
        <f t="shared" si="40"/>
        <v>1.4</v>
      </c>
      <c r="X215" s="16" t="str">
        <f>VLOOKUP(B215,[1]Kundenübersicht!E:AG,MATCH($X$3,[1]Kundenübersicht!$E$3:$AY$3,0),FALSE)</f>
        <v>Neu</v>
      </c>
      <c r="Z215" s="20" t="str">
        <f t="shared" si="38"/>
        <v>Ja</v>
      </c>
      <c r="AA215" s="19">
        <v>45979</v>
      </c>
      <c r="AC215" s="19">
        <v>46002</v>
      </c>
      <c r="AE215" s="9">
        <f t="shared" si="46"/>
        <v>2025</v>
      </c>
      <c r="AF215" s="17" t="str">
        <f t="shared" si="47"/>
        <v>10.2025</v>
      </c>
      <c r="AG215" s="17" t="str">
        <f t="shared" si="48"/>
        <v>Ursula Ullmann</v>
      </c>
      <c r="AH215" s="17" t="str">
        <f>IFERROR(VLOOKUP(B215,[1]Kundenübersicht!$E$4:$F$85,2,FALSE),"")</f>
        <v>Jutta Seidel</v>
      </c>
      <c r="AI215" s="17" t="str">
        <f t="shared" si="49"/>
        <v>Alltagsbegleitung</v>
      </c>
      <c r="AJ215" s="17" t="str">
        <f t="shared" si="49"/>
        <v>Entlastungsleistung</v>
      </c>
      <c r="AL215" s="18">
        <f t="shared" si="41"/>
        <v>42</v>
      </c>
      <c r="AM215" s="18">
        <f t="shared" si="42"/>
        <v>63</v>
      </c>
      <c r="AN215" s="18">
        <f t="shared" si="43"/>
        <v>1.4</v>
      </c>
    </row>
    <row r="216" spans="2:40" x14ac:dyDescent="0.25">
      <c r="B216" s="30" t="s">
        <v>45</v>
      </c>
      <c r="C216" s="31">
        <v>45953</v>
      </c>
      <c r="D216" s="32">
        <v>0.60416666666666663</v>
      </c>
      <c r="E216" s="32">
        <v>0.66666666666666663</v>
      </c>
      <c r="F216" s="12">
        <f t="shared" si="44"/>
        <v>1.5</v>
      </c>
      <c r="G216" s="12"/>
      <c r="H216" s="30" t="s">
        <v>46</v>
      </c>
      <c r="I216" s="30" t="s">
        <v>27</v>
      </c>
      <c r="J216" s="30" t="s">
        <v>28</v>
      </c>
      <c r="K216" s="28" t="s">
        <v>47</v>
      </c>
      <c r="L216" s="29">
        <v>109990508</v>
      </c>
      <c r="M216" s="29" t="s">
        <v>48</v>
      </c>
      <c r="N216" s="13" t="str">
        <f>VLOOKUP(B216,[1]Kundenübersicht!$E$4:$AC$1003,MATCH(N$3,[1]Kundenübersicht!$E$3:$BA$3,FALSE),FALSE)</f>
        <v>PG 1</v>
      </c>
      <c r="P216" s="9" t="s">
        <v>29</v>
      </c>
      <c r="R216" s="9" t="s">
        <v>30</v>
      </c>
      <c r="S216" s="14" t="s">
        <v>31</v>
      </c>
      <c r="U216" s="15">
        <f>IF(YEAR(C216)&lt;=2025,IFERROR(IF(I216="Hauswirtschaft",VLOOKUP($B216,[1]Kundenübersicht!$E$4:$BA$1003,MATCH("Hauswirtschaft [€/Stunde]",[1]Kundenübersicht!$E$3:$BA$3,FALSE),FALSE),VLOOKUP($B216,[1]Kundenübersicht!$E$4:$BA$1003,MATCH("Alltagsbegleitung [€/Stunde]",[1]Kundenübersicht!$E$3:$BA$3,FALSE),FALSE)),0),IFERROR(IF(I216="Hauswirtschaft",VLOOKUP($B216,[1]Kundenübersicht!$E$4:$BA$1003,MATCH("HW ab 2026 [€/Stunde]",[1]Kundenübersicht!$E$3:$BA$3,FALSE),FALSE),VLOOKUP($B216,[1]Kundenübersicht!$E$4:$BA$1003,MATCH("Alltagsbegleitung [€/Stunde]",[1]Kundenübersicht!$E$3:$BA$3,FALSE),FALSE)),0))</f>
        <v>32.75</v>
      </c>
      <c r="V216" s="16">
        <f t="shared" si="45"/>
        <v>49.125</v>
      </c>
      <c r="W216" s="16">
        <f t="shared" si="40"/>
        <v>0</v>
      </c>
      <c r="X216" s="16" t="str">
        <f>VLOOKUP(B216,[1]Kundenübersicht!E:AG,MATCH($X$3,[1]Kundenübersicht!$E$3:$AY$3,0),FALSE)</f>
        <v>Alt</v>
      </c>
      <c r="Z216" s="20" t="str">
        <f t="shared" si="38"/>
        <v>Ja</v>
      </c>
      <c r="AA216" s="19">
        <v>45979</v>
      </c>
      <c r="AC216" s="19">
        <v>45999</v>
      </c>
      <c r="AE216" s="9">
        <f t="shared" si="46"/>
        <v>2025</v>
      </c>
      <c r="AF216" s="17" t="str">
        <f t="shared" si="47"/>
        <v>10.2025</v>
      </c>
      <c r="AG216" s="17" t="str">
        <f t="shared" si="48"/>
        <v>Manuela Richter</v>
      </c>
      <c r="AH216" s="17" t="str">
        <f>IFERROR(VLOOKUP(B216,[1]Kundenübersicht!$E$4:$F$85,2,FALSE),"")</f>
        <v>Hella Reißig</v>
      </c>
      <c r="AI216" s="17" t="str">
        <f t="shared" si="49"/>
        <v>Hauswirtschaft</v>
      </c>
      <c r="AJ216" s="17" t="str">
        <f t="shared" si="49"/>
        <v>Entlastungsleistung</v>
      </c>
      <c r="AL216" s="18">
        <f t="shared" si="41"/>
        <v>38</v>
      </c>
      <c r="AM216" s="18">
        <f t="shared" si="42"/>
        <v>57</v>
      </c>
      <c r="AN216" s="18">
        <f t="shared" si="43"/>
        <v>0</v>
      </c>
    </row>
    <row r="217" spans="2:40" x14ac:dyDescent="0.25">
      <c r="B217" s="30" t="s">
        <v>32</v>
      </c>
      <c r="C217" s="31">
        <v>45954</v>
      </c>
      <c r="D217" s="32">
        <v>0.33333333333333331</v>
      </c>
      <c r="E217" s="32">
        <v>0.39583333333333331</v>
      </c>
      <c r="F217" s="12">
        <f t="shared" si="44"/>
        <v>1.5</v>
      </c>
      <c r="G217" s="12">
        <v>7</v>
      </c>
      <c r="H217" s="30" t="s">
        <v>33</v>
      </c>
      <c r="I217" s="30" t="s">
        <v>27</v>
      </c>
      <c r="J217" s="30" t="s">
        <v>28</v>
      </c>
      <c r="K217" s="9" t="str">
        <f>VLOOKUP($B217,[1]Kundenübersicht!$E$4:$AC$1003,MATCH(K$3,[1]Kundenübersicht!$E$3:$BA$3,FALSE),FALSE)</f>
        <v>IKK Classic</v>
      </c>
      <c r="L217" s="13" t="str">
        <f>VLOOKUP(B217,[1]Kundenübersicht!$E$4:$AC$1003,MATCH(L$3,[1]Kundenübersicht!$E$3:$BA$3,FALSE),FALSE)</f>
        <v>187202793</v>
      </c>
      <c r="M217" s="13" t="str">
        <f>VLOOKUP(B217,[1]Kundenübersicht!$E$4:$AC$1003,MATCH(M$3,[1]Kundenübersicht!$E$3:$BA$3,FALSE),FALSE)</f>
        <v>A268233642</v>
      </c>
      <c r="N217" s="13" t="str">
        <f>VLOOKUP(B217,[1]Kundenübersicht!$E$4:$AC$1003,MATCH(N$3,[1]Kundenübersicht!$E$3:$BA$3,FALSE),FALSE)</f>
        <v>PG 2</v>
      </c>
      <c r="P217" s="9" t="s">
        <v>29</v>
      </c>
      <c r="R217" s="9" t="s">
        <v>30</v>
      </c>
      <c r="S217" s="14" t="s">
        <v>31</v>
      </c>
      <c r="U217" s="15">
        <f>IF(YEAR(C217)&lt;=2025,IFERROR(IF(I217="Hauswirtschaft",VLOOKUP($B217,[1]Kundenübersicht!$E$4:$BA$1003,MATCH("Hauswirtschaft [€/Stunde]",[1]Kundenübersicht!$E$3:$BA$3,FALSE),FALSE),VLOOKUP($B217,[1]Kundenübersicht!$E$4:$BA$1003,MATCH("Alltagsbegleitung [€/Stunde]",[1]Kundenübersicht!$E$3:$BA$3,FALSE),FALSE)),0),IFERROR(IF(I217="Hauswirtschaft",VLOOKUP($B217,[1]Kundenübersicht!$E$4:$BA$1003,MATCH("HW ab 2026 [€/Stunde]",[1]Kundenübersicht!$E$3:$BA$3,FALSE),FALSE),VLOOKUP($B217,[1]Kundenübersicht!$E$4:$BA$1003,MATCH("Alltagsbegleitung [€/Stunde]",[1]Kundenübersicht!$E$3:$BA$3,FALSE),FALSE)),0))</f>
        <v>32.75</v>
      </c>
      <c r="V217" s="16">
        <f t="shared" si="45"/>
        <v>49.125</v>
      </c>
      <c r="W217" s="16">
        <f t="shared" si="40"/>
        <v>0</v>
      </c>
      <c r="X217" s="16" t="str">
        <f>VLOOKUP(B217,[1]Kundenübersicht!E:AG,MATCH($X$3,[1]Kundenübersicht!$E$3:$AY$3,0),FALSE)</f>
        <v>Alt</v>
      </c>
      <c r="Z217" s="20" t="str">
        <f t="shared" si="38"/>
        <v>Ja</v>
      </c>
      <c r="AA217" s="19">
        <v>45979</v>
      </c>
      <c r="AC217" s="10">
        <v>45995</v>
      </c>
      <c r="AE217" s="9">
        <f t="shared" si="46"/>
        <v>2025</v>
      </c>
      <c r="AF217" s="17" t="str">
        <f t="shared" si="47"/>
        <v>10.2025</v>
      </c>
      <c r="AG217" s="17" t="str">
        <f t="shared" si="48"/>
        <v>Christiane Fiebag</v>
      </c>
      <c r="AH217" s="17" t="str">
        <f>IFERROR(VLOOKUP(B217,[1]Kundenübersicht!$E$4:$F$85,2,FALSE),"")</f>
        <v>Wolfgang Nagler</v>
      </c>
      <c r="AI217" s="17" t="str">
        <f t="shared" si="49"/>
        <v>Hauswirtschaft</v>
      </c>
      <c r="AJ217" s="17" t="str">
        <f t="shared" si="49"/>
        <v>Entlastungsleistung</v>
      </c>
      <c r="AL217" s="18">
        <f t="shared" si="41"/>
        <v>38</v>
      </c>
      <c r="AM217" s="18">
        <f t="shared" si="42"/>
        <v>57</v>
      </c>
      <c r="AN217" s="18">
        <f t="shared" si="43"/>
        <v>2.4499999999999997</v>
      </c>
    </row>
    <row r="218" spans="2:40" x14ac:dyDescent="0.25">
      <c r="B218" s="30" t="s">
        <v>65</v>
      </c>
      <c r="C218" s="31">
        <v>45938</v>
      </c>
      <c r="D218" s="32">
        <v>0.41666666666666669</v>
      </c>
      <c r="E218" s="32">
        <v>0.54166666666666663</v>
      </c>
      <c r="F218" s="12">
        <f t="shared" si="44"/>
        <v>2.9999999999999987</v>
      </c>
      <c r="G218" s="12">
        <v>8</v>
      </c>
      <c r="H218" s="30" t="s">
        <v>64</v>
      </c>
      <c r="I218" s="30" t="s">
        <v>27</v>
      </c>
      <c r="J218" s="30" t="s">
        <v>28</v>
      </c>
      <c r="K218" s="9" t="str">
        <f>VLOOKUP($B218,[1]Kundenübersicht!$E$4:$AC$1003,MATCH(K$3,[1]Kundenübersicht!$E$3:$BA$3,FALSE),FALSE)</f>
        <v>IKK Südwest</v>
      </c>
      <c r="L218" s="13">
        <f>VLOOKUP(B218,[1]Kundenübersicht!$E$4:$AC$1003,MATCH(L$3,[1]Kundenübersicht!$E$3:$BA$3,FALSE),FALSE)</f>
        <v>109303301</v>
      </c>
      <c r="M218" s="13" t="str">
        <f>VLOOKUP(B218,[1]Kundenübersicht!$E$4:$AC$1003,MATCH(M$3,[1]Kundenübersicht!$E$3:$BA$3,FALSE),FALSE)</f>
        <v>Y341093341</v>
      </c>
      <c r="N218" s="13" t="str">
        <f>VLOOKUP(B218,[1]Kundenübersicht!$E$4:$AC$1003,MATCH(N$3,[1]Kundenübersicht!$E$3:$BA$3,FALSE),FALSE)</f>
        <v>PG 1</v>
      </c>
      <c r="P218" s="9" t="s">
        <v>29</v>
      </c>
      <c r="R218" s="9" t="s">
        <v>30</v>
      </c>
      <c r="S218" s="14" t="s">
        <v>31</v>
      </c>
      <c r="U218" s="15">
        <f>IF(YEAR(C218)&lt;=2025,IFERROR(IF(I218="Hauswirtschaft",VLOOKUP($B218,[1]Kundenübersicht!$E$4:$BA$1003,MATCH("Hauswirtschaft [€/Stunde]",[1]Kundenübersicht!$E$3:$BA$3,FALSE),FALSE),VLOOKUP($B218,[1]Kundenübersicht!$E$4:$BA$1003,MATCH("Alltagsbegleitung [€/Stunde]",[1]Kundenübersicht!$E$3:$BA$3,FALSE),FALSE)),0),IFERROR(IF(I218="Hauswirtschaft",VLOOKUP($B218,[1]Kundenübersicht!$E$4:$BA$1003,MATCH("HW ab 2026 [€/Stunde]",[1]Kundenübersicht!$E$3:$BA$3,FALSE),FALSE),VLOOKUP($B218,[1]Kundenübersicht!$E$4:$BA$1003,MATCH("Alltagsbegleitung [€/Stunde]",[1]Kundenübersicht!$E$3:$BA$3,FALSE),FALSE)),0))</f>
        <v>38</v>
      </c>
      <c r="V218" s="16">
        <f t="shared" si="45"/>
        <v>113.99999999999994</v>
      </c>
      <c r="W218" s="16">
        <f t="shared" si="40"/>
        <v>2.8</v>
      </c>
      <c r="X218" s="16" t="str">
        <f>VLOOKUP(B218,[1]Kundenübersicht!E:AG,MATCH($X$3,[1]Kundenübersicht!$E$3:$AY$3,0),FALSE)</f>
        <v>Neu</v>
      </c>
      <c r="Z218" s="20" t="str">
        <f t="shared" si="38"/>
        <v>Ja</v>
      </c>
      <c r="AA218" s="19">
        <v>45979</v>
      </c>
      <c r="AC218" s="19">
        <v>45988</v>
      </c>
      <c r="AE218" s="9">
        <f t="shared" si="46"/>
        <v>2025</v>
      </c>
      <c r="AF218" s="17" t="str">
        <f t="shared" si="47"/>
        <v>10.2025</v>
      </c>
      <c r="AG218" s="17" t="str">
        <f t="shared" si="48"/>
        <v>Ursula Ullmann</v>
      </c>
      <c r="AH218" s="17" t="str">
        <f>IFERROR(VLOOKUP(B218,[1]Kundenübersicht!$E$4:$F$85,2,FALSE),"")</f>
        <v>Beate Konradt</v>
      </c>
      <c r="AI218" s="17" t="str">
        <f t="shared" si="49"/>
        <v>Hauswirtschaft</v>
      </c>
      <c r="AJ218" s="17" t="str">
        <f t="shared" si="49"/>
        <v>Entlastungsleistung</v>
      </c>
      <c r="AL218" s="18">
        <f t="shared" si="41"/>
        <v>38</v>
      </c>
      <c r="AM218" s="18">
        <f t="shared" si="42"/>
        <v>113.99999999999994</v>
      </c>
      <c r="AN218" s="18">
        <f t="shared" si="43"/>
        <v>2.8</v>
      </c>
    </row>
    <row r="219" spans="2:40" x14ac:dyDescent="0.25">
      <c r="B219" s="30" t="s">
        <v>50</v>
      </c>
      <c r="C219" s="31">
        <v>45954</v>
      </c>
      <c r="D219" s="32">
        <v>0.58333333333333337</v>
      </c>
      <c r="E219" s="32">
        <v>0.66666666666666663</v>
      </c>
      <c r="F219" s="12">
        <f t="shared" si="44"/>
        <v>1.9999999999999982</v>
      </c>
      <c r="G219" s="12"/>
      <c r="H219" s="30" t="s">
        <v>46</v>
      </c>
      <c r="I219" s="30" t="s">
        <v>27</v>
      </c>
      <c r="J219" s="30" t="s">
        <v>28</v>
      </c>
      <c r="K219" s="9" t="str">
        <f>VLOOKUP($B219,[1]Kundenübersicht!$E$4:$AC$1003,MATCH(K$3,[1]Kundenübersicht!$E$3:$BA$3,FALSE),FALSE)</f>
        <v>AOK PLUS</v>
      </c>
      <c r="L219" s="13">
        <f>VLOOKUP(B219,[1]Kundenübersicht!$E$4:$AC$1003,MATCH(L$3,[1]Kundenübersicht!$E$3:$BA$3,FALSE),FALSE)</f>
        <v>107299005</v>
      </c>
      <c r="M219" s="13" t="str">
        <f>VLOOKUP(B219,[1]Kundenübersicht!$E$4:$AC$1003,MATCH(M$3,[1]Kundenübersicht!$E$3:$BA$3,FALSE),FALSE)</f>
        <v>L212281967</v>
      </c>
      <c r="N219" s="13" t="str">
        <f>VLOOKUP(B219,[1]Kundenübersicht!$E$4:$AC$1003,MATCH(N$3,[1]Kundenübersicht!$E$3:$BA$3,FALSE),FALSE)</f>
        <v>PG 1</v>
      </c>
      <c r="P219" s="9" t="s">
        <v>29</v>
      </c>
      <c r="R219" s="9" t="s">
        <v>30</v>
      </c>
      <c r="S219" s="14" t="s">
        <v>31</v>
      </c>
      <c r="U219" s="15">
        <f>IF(YEAR(C219)&lt;=2025,IFERROR(IF(I219="Hauswirtschaft",VLOOKUP($B219,[1]Kundenübersicht!$E$4:$BA$1003,MATCH("Hauswirtschaft [€/Stunde]",[1]Kundenübersicht!$E$3:$BA$3,FALSE),FALSE),VLOOKUP($B219,[1]Kundenübersicht!$E$4:$BA$1003,MATCH("Alltagsbegleitung [€/Stunde]",[1]Kundenübersicht!$E$3:$BA$3,FALSE),FALSE)),0),IFERROR(IF(I219="Hauswirtschaft",VLOOKUP($B219,[1]Kundenübersicht!$E$4:$BA$1003,MATCH("HW ab 2026 [€/Stunde]",[1]Kundenübersicht!$E$3:$BA$3,FALSE),FALSE),VLOOKUP($B219,[1]Kundenübersicht!$E$4:$BA$1003,MATCH("Alltagsbegleitung [€/Stunde]",[1]Kundenübersicht!$E$3:$BA$3,FALSE),FALSE)),0))</f>
        <v>32.75</v>
      </c>
      <c r="V219" s="16">
        <f t="shared" si="45"/>
        <v>65.499999999999943</v>
      </c>
      <c r="W219" s="16">
        <f t="shared" si="40"/>
        <v>0</v>
      </c>
      <c r="X219" s="16" t="str">
        <f>VLOOKUP(B219,[1]Kundenübersicht!E:AG,MATCH($X$3,[1]Kundenübersicht!$E$3:$AY$3,0),FALSE)</f>
        <v>Alt</v>
      </c>
      <c r="Z219" s="20" t="str">
        <f t="shared" si="38"/>
        <v>Ja</v>
      </c>
      <c r="AA219" s="19">
        <v>45979</v>
      </c>
      <c r="AC219" s="19">
        <v>46002</v>
      </c>
      <c r="AE219" s="9">
        <f t="shared" si="46"/>
        <v>2025</v>
      </c>
      <c r="AF219" s="17" t="str">
        <f t="shared" si="47"/>
        <v>10.2025</v>
      </c>
      <c r="AG219" s="17" t="str">
        <f t="shared" si="48"/>
        <v>Manuela Richter</v>
      </c>
      <c r="AH219" s="17" t="str">
        <f>IFERROR(VLOOKUP(B219,[1]Kundenübersicht!$E$4:$F$85,2,FALSE),"")</f>
        <v>Lothar Krawalski</v>
      </c>
      <c r="AI219" s="17" t="str">
        <f t="shared" si="49"/>
        <v>Hauswirtschaft</v>
      </c>
      <c r="AJ219" s="17" t="str">
        <f t="shared" si="49"/>
        <v>Entlastungsleistung</v>
      </c>
      <c r="AL219" s="18">
        <f t="shared" si="41"/>
        <v>38</v>
      </c>
      <c r="AM219" s="18">
        <f t="shared" si="42"/>
        <v>75.999999999999929</v>
      </c>
      <c r="AN219" s="18">
        <f t="shared" si="43"/>
        <v>0</v>
      </c>
    </row>
    <row r="220" spans="2:40" x14ac:dyDescent="0.25">
      <c r="B220" s="30" t="s">
        <v>65</v>
      </c>
      <c r="C220" s="31">
        <v>45944</v>
      </c>
      <c r="D220" s="32">
        <v>0.375</v>
      </c>
      <c r="E220" s="32">
        <v>0.45833333333333331</v>
      </c>
      <c r="F220" s="12">
        <f t="shared" si="44"/>
        <v>1.9999999999999996</v>
      </c>
      <c r="G220" s="12">
        <v>8</v>
      </c>
      <c r="H220" s="30" t="s">
        <v>64</v>
      </c>
      <c r="I220" s="30" t="s">
        <v>27</v>
      </c>
      <c r="J220" s="30" t="s">
        <v>28</v>
      </c>
      <c r="K220" s="9" t="str">
        <f>VLOOKUP($B220,[1]Kundenübersicht!$E$4:$AC$1003,MATCH(K$3,[1]Kundenübersicht!$E$3:$BA$3,FALSE),FALSE)</f>
        <v>IKK Südwest</v>
      </c>
      <c r="L220" s="13">
        <f>VLOOKUP(B220,[1]Kundenübersicht!$E$4:$AC$1003,MATCH(L$3,[1]Kundenübersicht!$E$3:$BA$3,FALSE),FALSE)</f>
        <v>109303301</v>
      </c>
      <c r="M220" s="13" t="str">
        <f>VLOOKUP(B220,[1]Kundenübersicht!$E$4:$AC$1003,MATCH(M$3,[1]Kundenübersicht!$E$3:$BA$3,FALSE),FALSE)</f>
        <v>Y341093341</v>
      </c>
      <c r="N220" s="13" t="str">
        <f>VLOOKUP(B220,[1]Kundenübersicht!$E$4:$AC$1003,MATCH(N$3,[1]Kundenübersicht!$E$3:$BA$3,FALSE),FALSE)</f>
        <v>PG 1</v>
      </c>
      <c r="P220" s="9" t="s">
        <v>29</v>
      </c>
      <c r="R220" s="9" t="s">
        <v>30</v>
      </c>
      <c r="S220" s="14" t="s">
        <v>31</v>
      </c>
      <c r="U220" s="15">
        <f>IF(YEAR(C220)&lt;=2025,IFERROR(IF(I220="Hauswirtschaft",VLOOKUP($B220,[1]Kundenübersicht!$E$4:$BA$1003,MATCH("Hauswirtschaft [€/Stunde]",[1]Kundenübersicht!$E$3:$BA$3,FALSE),FALSE),VLOOKUP($B220,[1]Kundenübersicht!$E$4:$BA$1003,MATCH("Alltagsbegleitung [€/Stunde]",[1]Kundenübersicht!$E$3:$BA$3,FALSE),FALSE)),0),IFERROR(IF(I220="Hauswirtschaft",VLOOKUP($B220,[1]Kundenübersicht!$E$4:$BA$1003,MATCH("HW ab 2026 [€/Stunde]",[1]Kundenübersicht!$E$3:$BA$3,FALSE),FALSE),VLOOKUP($B220,[1]Kundenübersicht!$E$4:$BA$1003,MATCH("Alltagsbegleitung [€/Stunde]",[1]Kundenübersicht!$E$3:$BA$3,FALSE),FALSE)),0))</f>
        <v>38</v>
      </c>
      <c r="V220" s="16">
        <f t="shared" si="45"/>
        <v>75.999999999999986</v>
      </c>
      <c r="W220" s="16">
        <f t="shared" si="40"/>
        <v>2.8</v>
      </c>
      <c r="X220" s="16" t="str">
        <f>VLOOKUP(B220,[1]Kundenübersicht!E:AG,MATCH($X$3,[1]Kundenübersicht!$E$3:$AY$3,0),FALSE)</f>
        <v>Neu</v>
      </c>
      <c r="Z220" s="20" t="str">
        <f t="shared" si="38"/>
        <v>Ja</v>
      </c>
      <c r="AA220" s="19">
        <v>45979</v>
      </c>
      <c r="AC220" s="19">
        <v>45988</v>
      </c>
      <c r="AE220" s="9">
        <f t="shared" si="46"/>
        <v>2025</v>
      </c>
      <c r="AF220" s="17" t="str">
        <f t="shared" si="47"/>
        <v>10.2025</v>
      </c>
      <c r="AG220" s="17" t="str">
        <f t="shared" si="48"/>
        <v>Ursula Ullmann</v>
      </c>
      <c r="AH220" s="17" t="str">
        <f>IFERROR(VLOOKUP(B220,[1]Kundenübersicht!$E$4:$F$85,2,FALSE),"")</f>
        <v>Beate Konradt</v>
      </c>
      <c r="AI220" s="17" t="str">
        <f t="shared" si="49"/>
        <v>Hauswirtschaft</v>
      </c>
      <c r="AJ220" s="17" t="str">
        <f t="shared" si="49"/>
        <v>Entlastungsleistung</v>
      </c>
      <c r="AL220" s="18">
        <f t="shared" si="41"/>
        <v>38</v>
      </c>
      <c r="AM220" s="18">
        <f t="shared" si="42"/>
        <v>75.999999999999986</v>
      </c>
      <c r="AN220" s="18">
        <f t="shared" si="43"/>
        <v>2.8</v>
      </c>
    </row>
    <row r="221" spans="2:40" x14ac:dyDescent="0.25">
      <c r="B221" s="30" t="s">
        <v>36</v>
      </c>
      <c r="C221" s="31">
        <v>45954</v>
      </c>
      <c r="D221" s="32">
        <v>0.41666666666666669</v>
      </c>
      <c r="E221" s="32">
        <v>0.58333333333333337</v>
      </c>
      <c r="F221" s="12">
        <f t="shared" si="44"/>
        <v>4</v>
      </c>
      <c r="G221" s="12">
        <v>29.5</v>
      </c>
      <c r="H221" s="30" t="s">
        <v>33</v>
      </c>
      <c r="I221" s="30" t="s">
        <v>27</v>
      </c>
      <c r="J221" s="30" t="s">
        <v>28</v>
      </c>
      <c r="K221" s="9" t="str">
        <f>VLOOKUP($B221,[1]Kundenübersicht!$E$4:$AC$1003,MATCH(K$3,[1]Kundenübersicht!$E$3:$BA$3,FALSE),FALSE)</f>
        <v>IKK Classic</v>
      </c>
      <c r="L221" s="13" t="str">
        <f>VLOOKUP(B221,[1]Kundenübersicht!$E$4:$AC$1003,MATCH(L$3,[1]Kundenübersicht!$E$3:$BA$3,FALSE),FALSE)</f>
        <v>187202793</v>
      </c>
      <c r="M221" s="13" t="str">
        <f>VLOOKUP(B221,[1]Kundenübersicht!$E$4:$AC$1003,MATCH(M$3,[1]Kundenübersicht!$E$3:$BA$3,FALSE),FALSE)</f>
        <v>X365499146</v>
      </c>
      <c r="N221" s="13" t="str">
        <f>VLOOKUP(B221,[1]Kundenübersicht!$E$4:$AC$1003,MATCH(N$3,[1]Kundenübersicht!$E$3:$BA$3,FALSE),FALSE)</f>
        <v>PG 1</v>
      </c>
      <c r="P221" s="9" t="s">
        <v>29</v>
      </c>
      <c r="R221" s="9" t="s">
        <v>30</v>
      </c>
      <c r="S221" s="14" t="s">
        <v>31</v>
      </c>
      <c r="U221" s="15">
        <f>IF(YEAR(C221)&lt;=2025,IFERROR(IF(I221="Hauswirtschaft",VLOOKUP($B221,[1]Kundenübersicht!$E$4:$BA$1003,MATCH("Hauswirtschaft [€/Stunde]",[1]Kundenübersicht!$E$3:$BA$3,FALSE),FALSE),VLOOKUP($B221,[1]Kundenübersicht!$E$4:$BA$1003,MATCH("Alltagsbegleitung [€/Stunde]",[1]Kundenübersicht!$E$3:$BA$3,FALSE),FALSE)),0),IFERROR(IF(I221="Hauswirtschaft",VLOOKUP($B221,[1]Kundenübersicht!$E$4:$BA$1003,MATCH("HW ab 2026 [€/Stunde]",[1]Kundenübersicht!$E$3:$BA$3,FALSE),FALSE),VLOOKUP($B221,[1]Kundenübersicht!$E$4:$BA$1003,MATCH("Alltagsbegleitung [€/Stunde]",[1]Kundenübersicht!$E$3:$BA$3,FALSE),FALSE)),0))</f>
        <v>32.75</v>
      </c>
      <c r="V221" s="16">
        <f t="shared" si="45"/>
        <v>131</v>
      </c>
      <c r="W221" s="16">
        <f t="shared" si="40"/>
        <v>0</v>
      </c>
      <c r="X221" s="16" t="str">
        <f>VLOOKUP(B221,[1]Kundenübersicht!E:AG,MATCH($X$3,[1]Kundenübersicht!$E$3:$AY$3,0),FALSE)</f>
        <v>Alt</v>
      </c>
      <c r="Z221" s="20" t="str">
        <f t="shared" si="38"/>
        <v>Ja</v>
      </c>
      <c r="AA221" s="19">
        <v>45979</v>
      </c>
      <c r="AC221" s="10">
        <v>45995</v>
      </c>
      <c r="AE221" s="9">
        <f t="shared" si="46"/>
        <v>2025</v>
      </c>
      <c r="AF221" s="17" t="str">
        <f t="shared" si="47"/>
        <v>10.2025</v>
      </c>
      <c r="AG221" s="17" t="str">
        <f t="shared" si="48"/>
        <v>Christiane Fiebag</v>
      </c>
      <c r="AH221" s="17" t="str">
        <f>IFERROR(VLOOKUP(B221,[1]Kundenübersicht!$E$4:$F$85,2,FALSE),"")</f>
        <v>Ingrid Haufe</v>
      </c>
      <c r="AI221" s="17" t="str">
        <f t="shared" si="49"/>
        <v>Hauswirtschaft</v>
      </c>
      <c r="AJ221" s="17" t="str">
        <f t="shared" si="49"/>
        <v>Entlastungsleistung</v>
      </c>
      <c r="AL221" s="18">
        <f t="shared" si="41"/>
        <v>38</v>
      </c>
      <c r="AM221" s="18">
        <f t="shared" si="42"/>
        <v>152</v>
      </c>
      <c r="AN221" s="18">
        <f t="shared" si="43"/>
        <v>10.324999999999999</v>
      </c>
    </row>
    <row r="222" spans="2:40" x14ac:dyDescent="0.25">
      <c r="B222" s="30" t="s">
        <v>65</v>
      </c>
      <c r="C222" s="31">
        <v>45958</v>
      </c>
      <c r="D222" s="32">
        <v>0.54166666666666663</v>
      </c>
      <c r="E222" s="32">
        <v>0.60416666666666663</v>
      </c>
      <c r="F222" s="12">
        <f t="shared" si="44"/>
        <v>1.5</v>
      </c>
      <c r="G222" s="12">
        <v>8</v>
      </c>
      <c r="H222" s="30" t="s">
        <v>64</v>
      </c>
      <c r="I222" s="30" t="s">
        <v>27</v>
      </c>
      <c r="J222" s="30" t="s">
        <v>28</v>
      </c>
      <c r="K222" s="9" t="str">
        <f>VLOOKUP($B222,[1]Kundenübersicht!$E$4:$AC$1003,MATCH(K$3,[1]Kundenübersicht!$E$3:$BA$3,FALSE),FALSE)</f>
        <v>IKK Südwest</v>
      </c>
      <c r="L222" s="13">
        <f>VLOOKUP(B222,[1]Kundenübersicht!$E$4:$AC$1003,MATCH(L$3,[1]Kundenübersicht!$E$3:$BA$3,FALSE),FALSE)</f>
        <v>109303301</v>
      </c>
      <c r="M222" s="13" t="str">
        <f>VLOOKUP(B222,[1]Kundenübersicht!$E$4:$AC$1003,MATCH(M$3,[1]Kundenübersicht!$E$3:$BA$3,FALSE),FALSE)</f>
        <v>Y341093341</v>
      </c>
      <c r="N222" s="13" t="str">
        <f>VLOOKUP(B222,[1]Kundenübersicht!$E$4:$AC$1003,MATCH(N$3,[1]Kundenübersicht!$E$3:$BA$3,FALSE),FALSE)</f>
        <v>PG 1</v>
      </c>
      <c r="P222" s="9" t="s">
        <v>29</v>
      </c>
      <c r="R222" s="9" t="s">
        <v>30</v>
      </c>
      <c r="S222" s="14" t="s">
        <v>31</v>
      </c>
      <c r="U222" s="15">
        <f>IF(YEAR(C222)&lt;=2025,IFERROR(IF(I222="Hauswirtschaft",VLOOKUP($B222,[1]Kundenübersicht!$E$4:$BA$1003,MATCH("Hauswirtschaft [€/Stunde]",[1]Kundenübersicht!$E$3:$BA$3,FALSE),FALSE),VLOOKUP($B222,[1]Kundenübersicht!$E$4:$BA$1003,MATCH("Alltagsbegleitung [€/Stunde]",[1]Kundenübersicht!$E$3:$BA$3,FALSE),FALSE)),0),IFERROR(IF(I222="Hauswirtschaft",VLOOKUP($B222,[1]Kundenübersicht!$E$4:$BA$1003,MATCH("HW ab 2026 [€/Stunde]",[1]Kundenübersicht!$E$3:$BA$3,FALSE),FALSE),VLOOKUP($B222,[1]Kundenübersicht!$E$4:$BA$1003,MATCH("Alltagsbegleitung [€/Stunde]",[1]Kundenübersicht!$E$3:$BA$3,FALSE),FALSE)),0))</f>
        <v>38</v>
      </c>
      <c r="V222" s="16">
        <f t="shared" si="45"/>
        <v>57</v>
      </c>
      <c r="W222" s="16">
        <f t="shared" si="40"/>
        <v>2.8</v>
      </c>
      <c r="X222" s="16" t="str">
        <f>VLOOKUP(B222,[1]Kundenübersicht!E:AG,MATCH($X$3,[1]Kundenübersicht!$E$3:$AY$3,0),FALSE)</f>
        <v>Neu</v>
      </c>
      <c r="Z222" s="20" t="str">
        <f t="shared" si="38"/>
        <v>Ja</v>
      </c>
      <c r="AA222" s="19">
        <v>45979</v>
      </c>
      <c r="AC222" s="19">
        <v>45988</v>
      </c>
      <c r="AE222" s="9">
        <f t="shared" si="46"/>
        <v>2025</v>
      </c>
      <c r="AF222" s="17" t="str">
        <f t="shared" si="47"/>
        <v>10.2025</v>
      </c>
      <c r="AG222" s="17" t="str">
        <f t="shared" si="48"/>
        <v>Ursula Ullmann</v>
      </c>
      <c r="AH222" s="17" t="str">
        <f>IFERROR(VLOOKUP(B222,[1]Kundenübersicht!$E$4:$F$85,2,FALSE),"")</f>
        <v>Beate Konradt</v>
      </c>
      <c r="AI222" s="17" t="str">
        <f t="shared" si="49"/>
        <v>Hauswirtschaft</v>
      </c>
      <c r="AJ222" s="17" t="str">
        <f t="shared" si="49"/>
        <v>Entlastungsleistung</v>
      </c>
      <c r="AL222" s="18">
        <f t="shared" si="41"/>
        <v>38</v>
      </c>
      <c r="AM222" s="18">
        <f t="shared" si="42"/>
        <v>57</v>
      </c>
      <c r="AN222" s="18">
        <f t="shared" si="43"/>
        <v>2.8</v>
      </c>
    </row>
    <row r="223" spans="2:40" x14ac:dyDescent="0.25">
      <c r="B223" s="30" t="s">
        <v>71</v>
      </c>
      <c r="C223" s="31">
        <v>45939</v>
      </c>
      <c r="D223" s="32">
        <v>0.41666666666666669</v>
      </c>
      <c r="E223" s="32">
        <v>0.45833333333333331</v>
      </c>
      <c r="F223" s="12">
        <f t="shared" si="44"/>
        <v>0.99999999999999911</v>
      </c>
      <c r="G223" s="12">
        <v>5</v>
      </c>
      <c r="H223" s="30" t="s">
        <v>64</v>
      </c>
      <c r="I223" s="30" t="s">
        <v>41</v>
      </c>
      <c r="J223" s="30" t="s">
        <v>72</v>
      </c>
      <c r="K223" s="9" t="str">
        <f>VLOOKUP($B223,[1]Kundenübersicht!$E$4:$AC$1003,MATCH(K$3,[1]Kundenübersicht!$E$3:$BA$3,FALSE),FALSE)</f>
        <v>Techniker Krankenkasse</v>
      </c>
      <c r="L223" s="13">
        <f>VLOOKUP(B223,[1]Kundenübersicht!$E$4:$AC$1003,MATCH(L$3,[1]Kundenübersicht!$E$3:$BA$3,FALSE),FALSE)</f>
        <v>101575519</v>
      </c>
      <c r="M223" s="13" t="str">
        <f>VLOOKUP(B223,[1]Kundenübersicht!$E$4:$AC$1003,MATCH(M$3,[1]Kundenübersicht!$E$3:$BA$3,FALSE),FALSE)</f>
        <v>V281460760</v>
      </c>
      <c r="N223" s="13" t="str">
        <f>VLOOKUP(B223,[1]Kundenübersicht!$E$4:$AC$1003,MATCH(N$3,[1]Kundenübersicht!$E$3:$BA$3,FALSE),FALSE)</f>
        <v>PG 2</v>
      </c>
      <c r="P223" s="9" t="s">
        <v>29</v>
      </c>
      <c r="R223" s="9" t="s">
        <v>30</v>
      </c>
      <c r="S223" s="14" t="s">
        <v>31</v>
      </c>
      <c r="U223" s="15">
        <f>IF(YEAR(C223)&lt;=2025,IFERROR(IF(I223="Hauswirtschaft",VLOOKUP($B223,[1]Kundenübersicht!$E$4:$BA$1003,MATCH("Hauswirtschaft [€/Stunde]",[1]Kundenübersicht!$E$3:$BA$3,FALSE),FALSE),VLOOKUP($B223,[1]Kundenübersicht!$E$4:$BA$1003,MATCH("Alltagsbegleitung [€/Stunde]",[1]Kundenübersicht!$E$3:$BA$3,FALSE),FALSE)),0),IFERROR(IF(I223="Hauswirtschaft",VLOOKUP($B223,[1]Kundenübersicht!$E$4:$BA$1003,MATCH("HW ab 2026 [€/Stunde]",[1]Kundenübersicht!$E$3:$BA$3,FALSE),FALSE),VLOOKUP($B223,[1]Kundenübersicht!$E$4:$BA$1003,MATCH("Alltagsbegleitung [€/Stunde]",[1]Kundenübersicht!$E$3:$BA$3,FALSE),FALSE)),0))</f>
        <v>42</v>
      </c>
      <c r="V223" s="16">
        <f t="shared" si="45"/>
        <v>41.999999999999964</v>
      </c>
      <c r="W223" s="16">
        <f t="shared" si="40"/>
        <v>1.75</v>
      </c>
      <c r="X223" s="16" t="str">
        <f>VLOOKUP(B223,[1]Kundenübersicht!E:AG,MATCH($X$3,[1]Kundenübersicht!$E$3:$AY$3,0),FALSE)</f>
        <v>Neu</v>
      </c>
      <c r="Z223" s="20" t="str">
        <f t="shared" si="38"/>
        <v>Ja</v>
      </c>
      <c r="AA223" s="19">
        <v>45979</v>
      </c>
      <c r="AC223" s="19">
        <v>45989</v>
      </c>
      <c r="AE223" s="9">
        <f t="shared" si="46"/>
        <v>2025</v>
      </c>
      <c r="AF223" s="17" t="str">
        <f t="shared" si="47"/>
        <v>10.2025</v>
      </c>
      <c r="AG223" s="17" t="str">
        <f t="shared" si="48"/>
        <v>Ursula Ullmann</v>
      </c>
      <c r="AH223" s="17" t="str">
        <f>IFERROR(VLOOKUP(B223,[1]Kundenübersicht!$E$4:$F$85,2,FALSE),"")</f>
        <v>Wolfgang Seidel</v>
      </c>
      <c r="AI223" s="17" t="str">
        <f t="shared" si="49"/>
        <v>Alltagsbegleitung</v>
      </c>
      <c r="AJ223" s="17" t="str">
        <f t="shared" si="49"/>
        <v>Verhinderungs-/Kurzzeitpflege</v>
      </c>
      <c r="AL223" s="18">
        <f t="shared" si="41"/>
        <v>42</v>
      </c>
      <c r="AM223" s="18">
        <f t="shared" si="42"/>
        <v>41.999999999999964</v>
      </c>
      <c r="AN223" s="18">
        <f t="shared" si="43"/>
        <v>1.75</v>
      </c>
    </row>
    <row r="224" spans="2:40" x14ac:dyDescent="0.25">
      <c r="B224" s="30" t="s">
        <v>71</v>
      </c>
      <c r="C224" s="31">
        <v>45940</v>
      </c>
      <c r="D224" s="32">
        <v>0.41666666666666669</v>
      </c>
      <c r="E224" s="32">
        <v>0.5</v>
      </c>
      <c r="F224" s="12">
        <f t="shared" si="44"/>
        <v>1.9999999999999996</v>
      </c>
      <c r="G224" s="12">
        <v>4</v>
      </c>
      <c r="H224" s="30" t="s">
        <v>64</v>
      </c>
      <c r="I224" s="30" t="s">
        <v>41</v>
      </c>
      <c r="J224" s="30" t="s">
        <v>72</v>
      </c>
      <c r="K224" s="9" t="str">
        <f>VLOOKUP($B224,[1]Kundenübersicht!$E$4:$AC$1003,MATCH(K$3,[1]Kundenübersicht!$E$3:$BA$3,FALSE),FALSE)</f>
        <v>Techniker Krankenkasse</v>
      </c>
      <c r="L224" s="13">
        <f>VLOOKUP(B224,[1]Kundenübersicht!$E$4:$AC$1003,MATCH(L$3,[1]Kundenübersicht!$E$3:$BA$3,FALSE),FALSE)</f>
        <v>101575519</v>
      </c>
      <c r="M224" s="13" t="str">
        <f>VLOOKUP(B224,[1]Kundenübersicht!$E$4:$AC$1003,MATCH(M$3,[1]Kundenübersicht!$E$3:$BA$3,FALSE),FALSE)</f>
        <v>V281460760</v>
      </c>
      <c r="N224" s="13" t="str">
        <f>VLOOKUP(B224,[1]Kundenübersicht!$E$4:$AC$1003,MATCH(N$3,[1]Kundenübersicht!$E$3:$BA$3,FALSE),FALSE)</f>
        <v>PG 2</v>
      </c>
      <c r="P224" s="9" t="s">
        <v>29</v>
      </c>
      <c r="R224" s="9" t="s">
        <v>30</v>
      </c>
      <c r="S224" s="14" t="s">
        <v>31</v>
      </c>
      <c r="U224" s="15">
        <f>IF(YEAR(C224)&lt;=2025,IFERROR(IF(I224="Hauswirtschaft",VLOOKUP($B224,[1]Kundenübersicht!$E$4:$BA$1003,MATCH("Hauswirtschaft [€/Stunde]",[1]Kundenübersicht!$E$3:$BA$3,FALSE),FALSE),VLOOKUP($B224,[1]Kundenübersicht!$E$4:$BA$1003,MATCH("Alltagsbegleitung [€/Stunde]",[1]Kundenübersicht!$E$3:$BA$3,FALSE),FALSE)),0),IFERROR(IF(I224="Hauswirtschaft",VLOOKUP($B224,[1]Kundenübersicht!$E$4:$BA$1003,MATCH("HW ab 2026 [€/Stunde]",[1]Kundenübersicht!$E$3:$BA$3,FALSE),FALSE),VLOOKUP($B224,[1]Kundenübersicht!$E$4:$BA$1003,MATCH("Alltagsbegleitung [€/Stunde]",[1]Kundenübersicht!$E$3:$BA$3,FALSE),FALSE)),0))</f>
        <v>42</v>
      </c>
      <c r="V224" s="16">
        <f t="shared" si="45"/>
        <v>83.999999999999986</v>
      </c>
      <c r="W224" s="16">
        <f t="shared" si="40"/>
        <v>1.4</v>
      </c>
      <c r="X224" s="16" t="str">
        <f>VLOOKUP(B224,[1]Kundenübersicht!E:AG,MATCH($X$3,[1]Kundenübersicht!$E$3:$AY$3,0),FALSE)</f>
        <v>Neu</v>
      </c>
      <c r="Z224" s="20" t="str">
        <f t="shared" si="38"/>
        <v>Ja</v>
      </c>
      <c r="AA224" s="19">
        <v>45979</v>
      </c>
      <c r="AC224" s="19">
        <v>45989</v>
      </c>
      <c r="AE224" s="9">
        <f t="shared" si="46"/>
        <v>2025</v>
      </c>
      <c r="AF224" s="17" t="str">
        <f t="shared" si="47"/>
        <v>10.2025</v>
      </c>
      <c r="AG224" s="17" t="str">
        <f t="shared" si="48"/>
        <v>Ursula Ullmann</v>
      </c>
      <c r="AH224" s="17" t="str">
        <f>IFERROR(VLOOKUP(B224,[1]Kundenübersicht!$E$4:$F$85,2,FALSE),"")</f>
        <v>Wolfgang Seidel</v>
      </c>
      <c r="AI224" s="17" t="str">
        <f t="shared" si="49"/>
        <v>Alltagsbegleitung</v>
      </c>
      <c r="AJ224" s="17" t="str">
        <f t="shared" si="49"/>
        <v>Verhinderungs-/Kurzzeitpflege</v>
      </c>
      <c r="AL224" s="18">
        <f t="shared" si="41"/>
        <v>42</v>
      </c>
      <c r="AM224" s="18">
        <f t="shared" si="42"/>
        <v>83.999999999999986</v>
      </c>
      <c r="AN224" s="18">
        <f t="shared" si="43"/>
        <v>1.4</v>
      </c>
    </row>
    <row r="225" spans="2:40" x14ac:dyDescent="0.25">
      <c r="B225" s="30" t="s">
        <v>69</v>
      </c>
      <c r="C225" s="31">
        <v>45958</v>
      </c>
      <c r="D225" s="32">
        <v>0.33333333333333331</v>
      </c>
      <c r="E225" s="32">
        <v>0.40625</v>
      </c>
      <c r="F225" s="12">
        <f t="shared" si="44"/>
        <v>1.7500000000000004</v>
      </c>
      <c r="G225" s="12">
        <v>12</v>
      </c>
      <c r="H225" s="30" t="s">
        <v>33</v>
      </c>
      <c r="I225" s="30" t="s">
        <v>27</v>
      </c>
      <c r="J225" s="30" t="s">
        <v>28</v>
      </c>
      <c r="K225" s="9" t="str">
        <f>VLOOKUP($B225,[1]Kundenübersicht!$E$4:$AC$1003,MATCH(K$3,[1]Kundenübersicht!$E$3:$BA$3,FALSE),FALSE)</f>
        <v>Barmer Pflegekasse</v>
      </c>
      <c r="L225" s="13">
        <f>VLOOKUP(B225,[1]Kundenübersicht!$E$4:$AC$1003,MATCH(L$3,[1]Kundenübersicht!$E$3:$BA$3,FALSE),FALSE)</f>
        <v>184940005</v>
      </c>
      <c r="M225" s="13" t="str">
        <f>VLOOKUP(B225,[1]Kundenübersicht!$E$4:$AC$1003,MATCH(M$3,[1]Kundenübersicht!$E$3:$BA$3,FALSE),FALSE)</f>
        <v>G192083809</v>
      </c>
      <c r="N225" s="13" t="str">
        <f>VLOOKUP(B225,[1]Kundenübersicht!$E$4:$AC$1003,MATCH(N$3,[1]Kundenübersicht!$E$3:$BA$3,FALSE),FALSE)</f>
        <v>PG 2</v>
      </c>
      <c r="P225" s="9" t="s">
        <v>29</v>
      </c>
      <c r="R225" s="9" t="s">
        <v>30</v>
      </c>
      <c r="S225" s="14" t="s">
        <v>31</v>
      </c>
      <c r="U225" s="15">
        <f>IF(YEAR(C225)&lt;=2025,IFERROR(IF(I225="Hauswirtschaft",VLOOKUP($B225,[1]Kundenübersicht!$E$4:$BA$1003,MATCH("Hauswirtschaft [€/Stunde]",[1]Kundenübersicht!$E$3:$BA$3,FALSE),FALSE),VLOOKUP($B225,[1]Kundenübersicht!$E$4:$BA$1003,MATCH("Alltagsbegleitung [€/Stunde]",[1]Kundenübersicht!$E$3:$BA$3,FALSE),FALSE)),0),IFERROR(IF(I225="Hauswirtschaft",VLOOKUP($B225,[1]Kundenübersicht!$E$4:$BA$1003,MATCH("HW ab 2026 [€/Stunde]",[1]Kundenübersicht!$E$3:$BA$3,FALSE),FALSE),VLOOKUP($B225,[1]Kundenübersicht!$E$4:$BA$1003,MATCH("Alltagsbegleitung [€/Stunde]",[1]Kundenübersicht!$E$3:$BA$3,FALSE),FALSE)),0))</f>
        <v>32.75</v>
      </c>
      <c r="V225" s="16">
        <f t="shared" si="45"/>
        <v>57.312500000000014</v>
      </c>
      <c r="W225" s="16">
        <f t="shared" si="40"/>
        <v>0</v>
      </c>
      <c r="X225" s="16" t="str">
        <f>VLOOKUP(B225,[1]Kundenübersicht!E:AG,MATCH($X$3,[1]Kundenübersicht!$E$3:$AY$3,0),FALSE)</f>
        <v>Alt</v>
      </c>
      <c r="Z225" s="20" t="str">
        <f t="shared" si="38"/>
        <v>Ja</v>
      </c>
      <c r="AA225" s="19">
        <v>45979</v>
      </c>
      <c r="AC225" s="19"/>
      <c r="AE225" s="9">
        <f t="shared" si="46"/>
        <v>2025</v>
      </c>
      <c r="AF225" s="17" t="str">
        <f t="shared" si="47"/>
        <v>10.2025</v>
      </c>
      <c r="AG225" s="17" t="str">
        <f t="shared" si="48"/>
        <v>Christiane Fiebag</v>
      </c>
      <c r="AH225" s="17" t="str">
        <f>IFERROR(VLOOKUP(B225,[1]Kundenübersicht!$E$4:$F$85,2,FALSE),"")</f>
        <v>Bettina Jungnickel</v>
      </c>
      <c r="AI225" s="17" t="str">
        <f t="shared" si="49"/>
        <v>Hauswirtschaft</v>
      </c>
      <c r="AJ225" s="17" t="str">
        <f t="shared" si="49"/>
        <v>Entlastungsleistung</v>
      </c>
      <c r="AL225" s="18">
        <f t="shared" si="41"/>
        <v>38</v>
      </c>
      <c r="AM225" s="18">
        <f t="shared" si="42"/>
        <v>66.500000000000014</v>
      </c>
      <c r="AN225" s="18">
        <f t="shared" si="43"/>
        <v>4.1999999999999993</v>
      </c>
    </row>
    <row r="226" spans="2:40" x14ac:dyDescent="0.25">
      <c r="B226" s="30" t="s">
        <v>71</v>
      </c>
      <c r="C226" s="31">
        <v>45946</v>
      </c>
      <c r="D226" s="32">
        <v>0.41666666666666669</v>
      </c>
      <c r="E226" s="32">
        <v>0.5</v>
      </c>
      <c r="F226" s="12">
        <f t="shared" si="44"/>
        <v>1.9999999999999996</v>
      </c>
      <c r="G226" s="12">
        <v>5</v>
      </c>
      <c r="H226" s="30" t="s">
        <v>64</v>
      </c>
      <c r="I226" s="30" t="s">
        <v>41</v>
      </c>
      <c r="J226" s="30" t="s">
        <v>72</v>
      </c>
      <c r="K226" s="9" t="str">
        <f>VLOOKUP($B226,[1]Kundenübersicht!$E$4:$AC$1003,MATCH(K$3,[1]Kundenübersicht!$E$3:$BA$3,FALSE),FALSE)</f>
        <v>Techniker Krankenkasse</v>
      </c>
      <c r="L226" s="13">
        <f>VLOOKUP(B226,[1]Kundenübersicht!$E$4:$AC$1003,MATCH(L$3,[1]Kundenübersicht!$E$3:$BA$3,FALSE),FALSE)</f>
        <v>101575519</v>
      </c>
      <c r="M226" s="13" t="str">
        <f>VLOOKUP(B226,[1]Kundenübersicht!$E$4:$AC$1003,MATCH(M$3,[1]Kundenübersicht!$E$3:$BA$3,FALSE),FALSE)</f>
        <v>V281460760</v>
      </c>
      <c r="N226" s="13" t="str">
        <f>VLOOKUP(B226,[1]Kundenübersicht!$E$4:$AC$1003,MATCH(N$3,[1]Kundenübersicht!$E$3:$BA$3,FALSE),FALSE)</f>
        <v>PG 2</v>
      </c>
      <c r="P226" s="9" t="s">
        <v>29</v>
      </c>
      <c r="R226" s="9" t="s">
        <v>30</v>
      </c>
      <c r="S226" s="14" t="s">
        <v>31</v>
      </c>
      <c r="U226" s="15">
        <f>IF(YEAR(C226)&lt;=2025,IFERROR(IF(I226="Hauswirtschaft",VLOOKUP($B226,[1]Kundenübersicht!$E$4:$BA$1003,MATCH("Hauswirtschaft [€/Stunde]",[1]Kundenübersicht!$E$3:$BA$3,FALSE),FALSE),VLOOKUP($B226,[1]Kundenübersicht!$E$4:$BA$1003,MATCH("Alltagsbegleitung [€/Stunde]",[1]Kundenübersicht!$E$3:$BA$3,FALSE),FALSE)),0),IFERROR(IF(I226="Hauswirtschaft",VLOOKUP($B226,[1]Kundenübersicht!$E$4:$BA$1003,MATCH("HW ab 2026 [€/Stunde]",[1]Kundenübersicht!$E$3:$BA$3,FALSE),FALSE),VLOOKUP($B226,[1]Kundenübersicht!$E$4:$BA$1003,MATCH("Alltagsbegleitung [€/Stunde]",[1]Kundenübersicht!$E$3:$BA$3,FALSE),FALSE)),0))</f>
        <v>42</v>
      </c>
      <c r="V226" s="16">
        <f t="shared" si="45"/>
        <v>83.999999999999986</v>
      </c>
      <c r="W226" s="16">
        <f t="shared" si="40"/>
        <v>1.75</v>
      </c>
      <c r="X226" s="16" t="str">
        <f>VLOOKUP(B226,[1]Kundenübersicht!E:AG,MATCH($X$3,[1]Kundenübersicht!$E$3:$AY$3,0),FALSE)</f>
        <v>Neu</v>
      </c>
      <c r="Z226" s="20" t="str">
        <f t="shared" si="38"/>
        <v>Ja</v>
      </c>
      <c r="AA226" s="19">
        <v>45979</v>
      </c>
      <c r="AC226" s="19">
        <v>45989</v>
      </c>
      <c r="AE226" s="9">
        <f t="shared" si="46"/>
        <v>2025</v>
      </c>
      <c r="AF226" s="17" t="str">
        <f t="shared" si="47"/>
        <v>10.2025</v>
      </c>
      <c r="AG226" s="17" t="str">
        <f t="shared" si="48"/>
        <v>Ursula Ullmann</v>
      </c>
      <c r="AH226" s="17" t="str">
        <f>IFERROR(VLOOKUP(B226,[1]Kundenübersicht!$E$4:$F$85,2,FALSE),"")</f>
        <v>Wolfgang Seidel</v>
      </c>
      <c r="AI226" s="17" t="str">
        <f t="shared" si="49"/>
        <v>Alltagsbegleitung</v>
      </c>
      <c r="AJ226" s="17" t="str">
        <f t="shared" si="49"/>
        <v>Verhinderungs-/Kurzzeitpflege</v>
      </c>
      <c r="AL226" s="18">
        <f t="shared" si="41"/>
        <v>42</v>
      </c>
      <c r="AM226" s="18">
        <f t="shared" si="42"/>
        <v>83.999999999999986</v>
      </c>
      <c r="AN226" s="18">
        <f t="shared" si="43"/>
        <v>1.75</v>
      </c>
    </row>
    <row r="227" spans="2:40" x14ac:dyDescent="0.25">
      <c r="B227" s="30" t="s">
        <v>74</v>
      </c>
      <c r="C227" s="31">
        <v>45958</v>
      </c>
      <c r="D227" s="32">
        <v>0.41666666666666669</v>
      </c>
      <c r="E227" s="32">
        <v>0.47916666666666669</v>
      </c>
      <c r="F227" s="12">
        <f t="shared" si="44"/>
        <v>1.5</v>
      </c>
      <c r="G227" s="12">
        <v>15.3</v>
      </c>
      <c r="H227" s="30" t="s">
        <v>33</v>
      </c>
      <c r="I227" s="30" t="s">
        <v>27</v>
      </c>
      <c r="J227" s="30" t="s">
        <v>28</v>
      </c>
      <c r="K227" s="9" t="str">
        <f>VLOOKUP($B227,[1]Kundenübersicht!$E$4:$AC$1003,MATCH(K$3,[1]Kundenübersicht!$E$3:$BA$3,FALSE),FALSE)</f>
        <v>AOK PLUS</v>
      </c>
      <c r="L227" s="13">
        <f>VLOOKUP(B227,[1]Kundenübersicht!$E$4:$AC$1003,MATCH(L$3,[1]Kundenübersicht!$E$3:$BA$3,FALSE),FALSE)</f>
        <v>107299005</v>
      </c>
      <c r="M227" s="13" t="str">
        <f>VLOOKUP(B227,[1]Kundenübersicht!$E$4:$AC$1003,MATCH(M$3,[1]Kundenübersicht!$E$3:$BA$3,FALSE),FALSE)</f>
        <v>V160231492</v>
      </c>
      <c r="N227" s="13" t="str">
        <f>VLOOKUP(B227,[1]Kundenübersicht!$E$4:$AC$1003,MATCH(N$3,[1]Kundenübersicht!$E$3:$BA$3,FALSE),FALSE)</f>
        <v>PG 2</v>
      </c>
      <c r="P227" s="9" t="s">
        <v>29</v>
      </c>
      <c r="R227" s="9" t="s">
        <v>30</v>
      </c>
      <c r="S227" s="14" t="s">
        <v>31</v>
      </c>
      <c r="U227" s="15">
        <f>IF(YEAR(C227)&lt;=2025,IFERROR(IF(I227="Hauswirtschaft",VLOOKUP($B227,[1]Kundenübersicht!$E$4:$BA$1003,MATCH("Hauswirtschaft [€/Stunde]",[1]Kundenübersicht!$E$3:$BA$3,FALSE),FALSE),VLOOKUP($B227,[1]Kundenübersicht!$E$4:$BA$1003,MATCH("Alltagsbegleitung [€/Stunde]",[1]Kundenübersicht!$E$3:$BA$3,FALSE),FALSE)),0),IFERROR(IF(I227="Hauswirtschaft",VLOOKUP($B227,[1]Kundenübersicht!$E$4:$BA$1003,MATCH("HW ab 2026 [€/Stunde]",[1]Kundenübersicht!$E$3:$BA$3,FALSE),FALSE),VLOOKUP($B227,[1]Kundenübersicht!$E$4:$BA$1003,MATCH("Alltagsbegleitung [€/Stunde]",[1]Kundenübersicht!$E$3:$BA$3,FALSE),FALSE)),0))</f>
        <v>38</v>
      </c>
      <c r="V227" s="16">
        <f t="shared" si="45"/>
        <v>57</v>
      </c>
      <c r="W227" s="16">
        <f t="shared" si="40"/>
        <v>5.3549999999999995</v>
      </c>
      <c r="X227" s="16" t="str">
        <f>VLOOKUP(B227,[1]Kundenübersicht!E:AG,MATCH($X$3,[1]Kundenübersicht!$E$3:$AY$3,0),FALSE)</f>
        <v>Neu</v>
      </c>
      <c r="Z227" s="20" t="str">
        <f t="shared" si="38"/>
        <v>Ja</v>
      </c>
      <c r="AA227" s="19">
        <v>45979</v>
      </c>
      <c r="AC227" s="19">
        <v>46002</v>
      </c>
      <c r="AE227" s="9">
        <f t="shared" si="46"/>
        <v>2025</v>
      </c>
      <c r="AF227" s="17" t="str">
        <f t="shared" si="47"/>
        <v>10.2025</v>
      </c>
      <c r="AG227" s="17" t="str">
        <f t="shared" si="48"/>
        <v>Christiane Fiebag</v>
      </c>
      <c r="AH227" s="17" t="str">
        <f>IFERROR(VLOOKUP(B227,[1]Kundenübersicht!$E$4:$F$85,2,FALSE),"")</f>
        <v>Gertraude Falk</v>
      </c>
      <c r="AI227" s="17" t="str">
        <f t="shared" si="49"/>
        <v>Hauswirtschaft</v>
      </c>
      <c r="AJ227" s="17" t="str">
        <f t="shared" si="49"/>
        <v>Entlastungsleistung</v>
      </c>
      <c r="AL227" s="18">
        <f t="shared" si="41"/>
        <v>38</v>
      </c>
      <c r="AM227" s="18">
        <f t="shared" si="42"/>
        <v>57</v>
      </c>
      <c r="AN227" s="18">
        <f t="shared" si="43"/>
        <v>5.3549999999999995</v>
      </c>
    </row>
    <row r="228" spans="2:40" x14ac:dyDescent="0.25">
      <c r="B228" s="30" t="s">
        <v>71</v>
      </c>
      <c r="C228" s="31">
        <v>45952</v>
      </c>
      <c r="D228" s="32">
        <v>0.39583333333333331</v>
      </c>
      <c r="E228" s="32">
        <v>0.5</v>
      </c>
      <c r="F228" s="12">
        <f t="shared" si="44"/>
        <v>2.5000000000000004</v>
      </c>
      <c r="G228" s="12">
        <v>6</v>
      </c>
      <c r="H228" s="30" t="s">
        <v>64</v>
      </c>
      <c r="I228" s="30" t="s">
        <v>41</v>
      </c>
      <c r="J228" s="30" t="s">
        <v>72</v>
      </c>
      <c r="K228" s="9" t="str">
        <f>VLOOKUP($B228,[1]Kundenübersicht!$E$4:$AC$1003,MATCH(K$3,[1]Kundenübersicht!$E$3:$BA$3,FALSE),FALSE)</f>
        <v>Techniker Krankenkasse</v>
      </c>
      <c r="L228" s="13">
        <f>VLOOKUP(B228,[1]Kundenübersicht!$E$4:$AC$1003,MATCH(L$3,[1]Kundenübersicht!$E$3:$BA$3,FALSE),FALSE)</f>
        <v>101575519</v>
      </c>
      <c r="M228" s="13" t="str">
        <f>VLOOKUP(B228,[1]Kundenübersicht!$E$4:$AC$1003,MATCH(M$3,[1]Kundenübersicht!$E$3:$BA$3,FALSE),FALSE)</f>
        <v>V281460760</v>
      </c>
      <c r="N228" s="13" t="str">
        <f>VLOOKUP(B228,[1]Kundenübersicht!$E$4:$AC$1003,MATCH(N$3,[1]Kundenübersicht!$E$3:$BA$3,FALSE),FALSE)</f>
        <v>PG 2</v>
      </c>
      <c r="P228" s="9" t="s">
        <v>29</v>
      </c>
      <c r="R228" s="9" t="s">
        <v>30</v>
      </c>
      <c r="S228" s="14" t="s">
        <v>31</v>
      </c>
      <c r="U228" s="15">
        <f>IF(YEAR(C228)&lt;=2025,IFERROR(IF(I228="Hauswirtschaft",VLOOKUP($B228,[1]Kundenübersicht!$E$4:$BA$1003,MATCH("Hauswirtschaft [€/Stunde]",[1]Kundenübersicht!$E$3:$BA$3,FALSE),FALSE),VLOOKUP($B228,[1]Kundenübersicht!$E$4:$BA$1003,MATCH("Alltagsbegleitung [€/Stunde]",[1]Kundenübersicht!$E$3:$BA$3,FALSE),FALSE)),0),IFERROR(IF(I228="Hauswirtschaft",VLOOKUP($B228,[1]Kundenübersicht!$E$4:$BA$1003,MATCH("HW ab 2026 [€/Stunde]",[1]Kundenübersicht!$E$3:$BA$3,FALSE),FALSE),VLOOKUP($B228,[1]Kundenübersicht!$E$4:$BA$1003,MATCH("Alltagsbegleitung [€/Stunde]",[1]Kundenübersicht!$E$3:$BA$3,FALSE),FALSE)),0))</f>
        <v>42</v>
      </c>
      <c r="V228" s="16">
        <f t="shared" si="45"/>
        <v>105.00000000000001</v>
      </c>
      <c r="W228" s="16">
        <f t="shared" si="40"/>
        <v>2.0999999999999996</v>
      </c>
      <c r="X228" s="16" t="str">
        <f>VLOOKUP(B228,[1]Kundenübersicht!E:AG,MATCH($X$3,[1]Kundenübersicht!$E$3:$AY$3,0),FALSE)</f>
        <v>Neu</v>
      </c>
      <c r="Z228" s="20" t="str">
        <f t="shared" si="38"/>
        <v>Ja</v>
      </c>
      <c r="AA228" s="19">
        <v>45979</v>
      </c>
      <c r="AC228" s="19">
        <v>45989</v>
      </c>
      <c r="AE228" s="9">
        <f t="shared" si="46"/>
        <v>2025</v>
      </c>
      <c r="AF228" s="17" t="str">
        <f t="shared" si="47"/>
        <v>10.2025</v>
      </c>
      <c r="AG228" s="17" t="str">
        <f t="shared" si="48"/>
        <v>Ursula Ullmann</v>
      </c>
      <c r="AH228" s="17" t="str">
        <f>IFERROR(VLOOKUP(B228,[1]Kundenübersicht!$E$4:$F$85,2,FALSE),"")</f>
        <v>Wolfgang Seidel</v>
      </c>
      <c r="AI228" s="17" t="str">
        <f t="shared" si="49"/>
        <v>Alltagsbegleitung</v>
      </c>
      <c r="AJ228" s="17" t="str">
        <f t="shared" si="49"/>
        <v>Verhinderungs-/Kurzzeitpflege</v>
      </c>
      <c r="AL228" s="18">
        <f t="shared" si="41"/>
        <v>42</v>
      </c>
      <c r="AM228" s="18">
        <f t="shared" si="42"/>
        <v>105.00000000000001</v>
      </c>
      <c r="AN228" s="18">
        <f t="shared" si="43"/>
        <v>2.0999999999999996</v>
      </c>
    </row>
    <row r="229" spans="2:40" x14ac:dyDescent="0.25">
      <c r="B229" s="30" t="s">
        <v>39</v>
      </c>
      <c r="C229" s="31">
        <v>45959</v>
      </c>
      <c r="D229" s="32">
        <v>0.5625</v>
      </c>
      <c r="E229" s="32">
        <v>0.60416666666666663</v>
      </c>
      <c r="F229" s="12">
        <f t="shared" si="44"/>
        <v>0.99999999999999911</v>
      </c>
      <c r="G229" s="12"/>
      <c r="H229" s="30" t="s">
        <v>40</v>
      </c>
      <c r="I229" s="30" t="s">
        <v>41</v>
      </c>
      <c r="J229" s="30" t="s">
        <v>28</v>
      </c>
      <c r="K229" s="9" t="str">
        <f>VLOOKUP($B229,[1]Kundenübersicht!$E$4:$AC$1003,MATCH(K$3,[1]Kundenübersicht!$E$3:$BA$3,FALSE),FALSE)</f>
        <v>AOK PLUS</v>
      </c>
      <c r="L229" s="13">
        <f>VLOOKUP(B229,[1]Kundenübersicht!$E$4:$AC$1003,MATCH(L$3,[1]Kundenübersicht!$E$3:$BA$3,FALSE),FALSE)</f>
        <v>107299005</v>
      </c>
      <c r="M229" s="13" t="str">
        <f>VLOOKUP(B229,[1]Kundenübersicht!$E$4:$AC$1003,MATCH(M$3,[1]Kundenübersicht!$E$3:$BA$3,FALSE),FALSE)</f>
        <v>Q445657677</v>
      </c>
      <c r="N229" s="13" t="str">
        <f>VLOOKUP(B229,[1]Kundenübersicht!$E$4:$AC$1003,MATCH(N$3,[1]Kundenübersicht!$E$3:$BA$3,FALSE),FALSE)</f>
        <v>PG 2</v>
      </c>
      <c r="P229" s="9" t="s">
        <v>29</v>
      </c>
      <c r="R229" s="9" t="s">
        <v>75</v>
      </c>
      <c r="S229" s="14"/>
      <c r="U229" s="15">
        <f>IF(YEAR(C229)&lt;=2025,IFERROR(IF(I229="Hauswirtschaft",VLOOKUP($B229,[1]Kundenübersicht!$E$4:$BA$1003,MATCH("Hauswirtschaft [€/Stunde]",[1]Kundenübersicht!$E$3:$BA$3,FALSE),FALSE),VLOOKUP($B229,[1]Kundenübersicht!$E$4:$BA$1003,MATCH("Alltagsbegleitung [€/Stunde]",[1]Kundenübersicht!$E$3:$BA$3,FALSE),FALSE)),0),IFERROR(IF(I229="Hauswirtschaft",VLOOKUP($B229,[1]Kundenübersicht!$E$4:$BA$1003,MATCH("HW ab 2026 [€/Stunde]",[1]Kundenübersicht!$E$3:$BA$3,FALSE),FALSE),VLOOKUP($B229,[1]Kundenübersicht!$E$4:$BA$1003,MATCH("Alltagsbegleitung [€/Stunde]",[1]Kundenübersicht!$E$3:$BA$3,FALSE),FALSE)),0))</f>
        <v>42</v>
      </c>
      <c r="V229" s="16">
        <f t="shared" si="45"/>
        <v>41.999999999999964</v>
      </c>
      <c r="W229" s="16">
        <f t="shared" si="40"/>
        <v>0</v>
      </c>
      <c r="X229" s="16" t="str">
        <f>VLOOKUP(B229,[1]Kundenübersicht!E:AG,MATCH($X$3,[1]Kundenübersicht!$E$3:$AY$3,0),FALSE)</f>
        <v>Alt</v>
      </c>
      <c r="Z229" s="20" t="str">
        <f t="shared" si="38"/>
        <v>Nein</v>
      </c>
      <c r="AA229" s="19"/>
      <c r="AC229" s="19"/>
      <c r="AE229" s="9">
        <f t="shared" si="46"/>
        <v>2025</v>
      </c>
      <c r="AF229" s="17" t="str">
        <f t="shared" si="47"/>
        <v>10.2025</v>
      </c>
      <c r="AG229" s="17" t="str">
        <f t="shared" si="48"/>
        <v>Franziska Wächtler</v>
      </c>
      <c r="AH229" s="17" t="str">
        <f>IFERROR(VLOOKUP(B229,[1]Kundenübersicht!$E$4:$F$85,2,FALSE),"")</f>
        <v>Helga Dienelt</v>
      </c>
      <c r="AI229" s="17" t="str">
        <f t="shared" si="49"/>
        <v>Alltagsbegleitung</v>
      </c>
      <c r="AJ229" s="17" t="str">
        <f t="shared" si="49"/>
        <v>Entlastungsleistung</v>
      </c>
      <c r="AL229" s="18">
        <f t="shared" si="41"/>
        <v>42</v>
      </c>
      <c r="AM229" s="18">
        <f t="shared" si="42"/>
        <v>41.999999999999964</v>
      </c>
      <c r="AN229" s="18">
        <f t="shared" si="43"/>
        <v>0</v>
      </c>
    </row>
    <row r="230" spans="2:40" x14ac:dyDescent="0.25">
      <c r="B230" s="30" t="s">
        <v>42</v>
      </c>
      <c r="C230" s="31">
        <v>45959</v>
      </c>
      <c r="D230" s="32">
        <v>0.375</v>
      </c>
      <c r="E230" s="32">
        <v>0.41666666666666669</v>
      </c>
      <c r="F230" s="12">
        <f t="shared" si="44"/>
        <v>1.0000000000000004</v>
      </c>
      <c r="G230" s="12">
        <v>6.7</v>
      </c>
      <c r="H230" s="30" t="s">
        <v>33</v>
      </c>
      <c r="I230" s="30" t="s">
        <v>27</v>
      </c>
      <c r="J230" s="30" t="s">
        <v>28</v>
      </c>
      <c r="K230" s="9" t="str">
        <f>VLOOKUP($B230,[1]Kundenübersicht!$E$4:$AC$1003,MATCH(K$3,[1]Kundenübersicht!$E$3:$BA$3,FALSE),FALSE)</f>
        <v>Techniker Krankenkasse</v>
      </c>
      <c r="L230" s="13">
        <f>VLOOKUP(B230,[1]Kundenübersicht!$E$4:$AC$1003,MATCH(L$3,[1]Kundenübersicht!$E$3:$BA$3,FALSE),FALSE)</f>
        <v>101575519</v>
      </c>
      <c r="M230" s="13" t="str">
        <f>VLOOKUP(B230,[1]Kundenübersicht!$E$4:$AC$1003,MATCH(M$3,[1]Kundenübersicht!$E$3:$BA$3,FALSE),FALSE)</f>
        <v>E759973784</v>
      </c>
      <c r="N230" s="13" t="str">
        <f>VLOOKUP(B230,[1]Kundenübersicht!$E$4:$AC$1003,MATCH(N$3,[1]Kundenübersicht!$E$3:$BA$3,FALSE),FALSE)</f>
        <v>PG 2</v>
      </c>
      <c r="P230" s="9" t="s">
        <v>29</v>
      </c>
      <c r="R230" s="9" t="s">
        <v>30</v>
      </c>
      <c r="S230" s="14" t="s">
        <v>31</v>
      </c>
      <c r="U230" s="15">
        <f>IF(YEAR(C230)&lt;=2025,IFERROR(IF(I230="Hauswirtschaft",VLOOKUP($B230,[1]Kundenübersicht!$E$4:$BA$1003,MATCH("Hauswirtschaft [€/Stunde]",[1]Kundenübersicht!$E$3:$BA$3,FALSE),FALSE),VLOOKUP($B230,[1]Kundenübersicht!$E$4:$BA$1003,MATCH("Alltagsbegleitung [€/Stunde]",[1]Kundenübersicht!$E$3:$BA$3,FALSE),FALSE)),0),IFERROR(IF(I230="Hauswirtschaft",VLOOKUP($B230,[1]Kundenübersicht!$E$4:$BA$1003,MATCH("HW ab 2026 [€/Stunde]",[1]Kundenübersicht!$E$3:$BA$3,FALSE),FALSE),VLOOKUP($B230,[1]Kundenübersicht!$E$4:$BA$1003,MATCH("Alltagsbegleitung [€/Stunde]",[1]Kundenübersicht!$E$3:$BA$3,FALSE),FALSE)),0))</f>
        <v>32.75</v>
      </c>
      <c r="V230" s="16">
        <f t="shared" si="45"/>
        <v>32.750000000000014</v>
      </c>
      <c r="W230" s="16">
        <f t="shared" si="40"/>
        <v>0</v>
      </c>
      <c r="X230" s="16" t="str">
        <f>VLOOKUP(B230,[1]Kundenübersicht!E:AG,MATCH($X$3,[1]Kundenübersicht!$E$3:$AY$3,0),FALSE)</f>
        <v>Alt</v>
      </c>
      <c r="Z230" s="20" t="str">
        <f t="shared" si="38"/>
        <v>Ja</v>
      </c>
      <c r="AA230" s="19">
        <v>45979</v>
      </c>
      <c r="AC230" s="19">
        <v>46007</v>
      </c>
      <c r="AE230" s="9">
        <f t="shared" si="46"/>
        <v>2025</v>
      </c>
      <c r="AF230" s="17" t="str">
        <f t="shared" si="47"/>
        <v>10.2025</v>
      </c>
      <c r="AG230" s="17" t="str">
        <f t="shared" si="48"/>
        <v>Christiane Fiebag</v>
      </c>
      <c r="AH230" s="17" t="str">
        <f>IFERROR(VLOOKUP(B230,[1]Kundenübersicht!$E$4:$F$85,2,FALSE),"")</f>
        <v>Martin Schmidt</v>
      </c>
      <c r="AI230" s="17" t="str">
        <f t="shared" si="49"/>
        <v>Hauswirtschaft</v>
      </c>
      <c r="AJ230" s="17" t="str">
        <f t="shared" si="49"/>
        <v>Entlastungsleistung</v>
      </c>
      <c r="AL230" s="18">
        <f t="shared" si="41"/>
        <v>38</v>
      </c>
      <c r="AM230" s="18">
        <f t="shared" si="42"/>
        <v>38.000000000000014</v>
      </c>
      <c r="AN230" s="18">
        <f t="shared" si="43"/>
        <v>2.3449999999999998</v>
      </c>
    </row>
    <row r="231" spans="2:40" x14ac:dyDescent="0.25">
      <c r="B231" s="30" t="s">
        <v>71</v>
      </c>
      <c r="C231" s="31">
        <v>45958</v>
      </c>
      <c r="D231" s="32">
        <v>0.625</v>
      </c>
      <c r="E231" s="32">
        <v>0.66666666666666663</v>
      </c>
      <c r="F231" s="12">
        <f t="shared" si="44"/>
        <v>0.99999999999999911</v>
      </c>
      <c r="G231" s="12">
        <v>6</v>
      </c>
      <c r="H231" s="30" t="s">
        <v>64</v>
      </c>
      <c r="I231" s="30" t="s">
        <v>41</v>
      </c>
      <c r="J231" s="30" t="s">
        <v>72</v>
      </c>
      <c r="K231" s="9" t="str">
        <f>VLOOKUP($B231,[1]Kundenübersicht!$E$4:$AC$1003,MATCH(K$3,[1]Kundenübersicht!$E$3:$BA$3,FALSE),FALSE)</f>
        <v>Techniker Krankenkasse</v>
      </c>
      <c r="L231" s="13">
        <f>VLOOKUP(B231,[1]Kundenübersicht!$E$4:$AC$1003,MATCH(L$3,[1]Kundenübersicht!$E$3:$BA$3,FALSE),FALSE)</f>
        <v>101575519</v>
      </c>
      <c r="M231" s="13" t="str">
        <f>VLOOKUP(B231,[1]Kundenübersicht!$E$4:$AC$1003,MATCH(M$3,[1]Kundenübersicht!$E$3:$BA$3,FALSE),FALSE)</f>
        <v>V281460760</v>
      </c>
      <c r="N231" s="13" t="str">
        <f>VLOOKUP(B231,[1]Kundenübersicht!$E$4:$AC$1003,MATCH(N$3,[1]Kundenübersicht!$E$3:$BA$3,FALSE),FALSE)</f>
        <v>PG 2</v>
      </c>
      <c r="P231" s="9" t="s">
        <v>29</v>
      </c>
      <c r="R231" s="9" t="s">
        <v>30</v>
      </c>
      <c r="S231" s="14" t="s">
        <v>31</v>
      </c>
      <c r="U231" s="15">
        <f>IF(YEAR(C231)&lt;=2025,IFERROR(IF(I231="Hauswirtschaft",VLOOKUP($B231,[1]Kundenübersicht!$E$4:$BA$1003,MATCH("Hauswirtschaft [€/Stunde]",[1]Kundenübersicht!$E$3:$BA$3,FALSE),FALSE),VLOOKUP($B231,[1]Kundenübersicht!$E$4:$BA$1003,MATCH("Alltagsbegleitung [€/Stunde]",[1]Kundenübersicht!$E$3:$BA$3,FALSE),FALSE)),0),IFERROR(IF(I231="Hauswirtschaft",VLOOKUP($B231,[1]Kundenübersicht!$E$4:$BA$1003,MATCH("HW ab 2026 [€/Stunde]",[1]Kundenübersicht!$E$3:$BA$3,FALSE),FALSE),VLOOKUP($B231,[1]Kundenübersicht!$E$4:$BA$1003,MATCH("Alltagsbegleitung [€/Stunde]",[1]Kundenübersicht!$E$3:$BA$3,FALSE),FALSE)),0))</f>
        <v>42</v>
      </c>
      <c r="V231" s="16">
        <f t="shared" si="45"/>
        <v>41.999999999999964</v>
      </c>
      <c r="W231" s="16">
        <f t="shared" si="40"/>
        <v>2.0999999999999996</v>
      </c>
      <c r="X231" s="16" t="str">
        <f>VLOOKUP(B231,[1]Kundenübersicht!E:AG,MATCH($X$3,[1]Kundenübersicht!$E$3:$AY$3,0),FALSE)</f>
        <v>Neu</v>
      </c>
      <c r="Z231" s="20" t="str">
        <f t="shared" si="38"/>
        <v>Ja</v>
      </c>
      <c r="AA231" s="19">
        <v>45979</v>
      </c>
      <c r="AC231" s="19">
        <v>45989</v>
      </c>
      <c r="AE231" s="9">
        <f t="shared" si="46"/>
        <v>2025</v>
      </c>
      <c r="AF231" s="17" t="str">
        <f t="shared" si="47"/>
        <v>10.2025</v>
      </c>
      <c r="AG231" s="17" t="str">
        <f t="shared" si="48"/>
        <v>Ursula Ullmann</v>
      </c>
      <c r="AH231" s="17" t="str">
        <f>IFERROR(VLOOKUP(B231,[1]Kundenübersicht!$E$4:$F$85,2,FALSE),"")</f>
        <v>Wolfgang Seidel</v>
      </c>
      <c r="AI231" s="17" t="str">
        <f t="shared" si="49"/>
        <v>Alltagsbegleitung</v>
      </c>
      <c r="AJ231" s="17" t="str">
        <f t="shared" si="49"/>
        <v>Verhinderungs-/Kurzzeitpflege</v>
      </c>
      <c r="AL231" s="18">
        <f t="shared" si="41"/>
        <v>42</v>
      </c>
      <c r="AM231" s="18">
        <f t="shared" si="42"/>
        <v>41.999999999999964</v>
      </c>
      <c r="AN231" s="18">
        <f t="shared" si="43"/>
        <v>2.0999999999999996</v>
      </c>
    </row>
    <row r="232" spans="2:40" x14ac:dyDescent="0.25">
      <c r="B232" s="30" t="s">
        <v>71</v>
      </c>
      <c r="C232" s="31">
        <v>45960</v>
      </c>
      <c r="D232" s="32">
        <v>0.4375</v>
      </c>
      <c r="E232" s="32">
        <v>0.52083333333333337</v>
      </c>
      <c r="F232" s="12">
        <f t="shared" si="44"/>
        <v>2.0000000000000009</v>
      </c>
      <c r="G232" s="12">
        <v>6</v>
      </c>
      <c r="H232" s="30" t="s">
        <v>64</v>
      </c>
      <c r="I232" s="30" t="s">
        <v>41</v>
      </c>
      <c r="J232" s="30" t="s">
        <v>72</v>
      </c>
      <c r="K232" s="9" t="str">
        <f>VLOOKUP($B232,[1]Kundenübersicht!$E$4:$AC$1003,MATCH(K$3,[1]Kundenübersicht!$E$3:$BA$3,FALSE),FALSE)</f>
        <v>Techniker Krankenkasse</v>
      </c>
      <c r="L232" s="13">
        <f>VLOOKUP(B232,[1]Kundenübersicht!$E$4:$AC$1003,MATCH(L$3,[1]Kundenübersicht!$E$3:$BA$3,FALSE),FALSE)</f>
        <v>101575519</v>
      </c>
      <c r="M232" s="13" t="str">
        <f>VLOOKUP(B232,[1]Kundenübersicht!$E$4:$AC$1003,MATCH(M$3,[1]Kundenübersicht!$E$3:$BA$3,FALSE),FALSE)</f>
        <v>V281460760</v>
      </c>
      <c r="N232" s="13" t="str">
        <f>VLOOKUP(B232,[1]Kundenübersicht!$E$4:$AC$1003,MATCH(N$3,[1]Kundenübersicht!$E$3:$BA$3,FALSE),FALSE)</f>
        <v>PG 2</v>
      </c>
      <c r="P232" s="9" t="s">
        <v>29</v>
      </c>
      <c r="R232" s="9" t="s">
        <v>30</v>
      </c>
      <c r="S232" s="14" t="s">
        <v>31</v>
      </c>
      <c r="U232" s="15">
        <f>IF(YEAR(C232)&lt;=2025,IFERROR(IF(I232="Hauswirtschaft",VLOOKUP($B232,[1]Kundenübersicht!$E$4:$BA$1003,MATCH("Hauswirtschaft [€/Stunde]",[1]Kundenübersicht!$E$3:$BA$3,FALSE),FALSE),VLOOKUP($B232,[1]Kundenübersicht!$E$4:$BA$1003,MATCH("Alltagsbegleitung [€/Stunde]",[1]Kundenübersicht!$E$3:$BA$3,FALSE),FALSE)),0),IFERROR(IF(I232="Hauswirtschaft",VLOOKUP($B232,[1]Kundenübersicht!$E$4:$BA$1003,MATCH("HW ab 2026 [€/Stunde]",[1]Kundenübersicht!$E$3:$BA$3,FALSE),FALSE),VLOOKUP($B232,[1]Kundenübersicht!$E$4:$BA$1003,MATCH("Alltagsbegleitung [€/Stunde]",[1]Kundenübersicht!$E$3:$BA$3,FALSE),FALSE)),0))</f>
        <v>42</v>
      </c>
      <c r="V232" s="16">
        <f t="shared" si="45"/>
        <v>84.000000000000043</v>
      </c>
      <c r="W232" s="16">
        <f t="shared" si="40"/>
        <v>2.0999999999999996</v>
      </c>
      <c r="X232" s="16" t="str">
        <f>VLOOKUP(B232,[1]Kundenübersicht!E:AG,MATCH($X$3,[1]Kundenübersicht!$E$3:$AY$3,0),FALSE)</f>
        <v>Neu</v>
      </c>
      <c r="Z232" s="20" t="str">
        <f t="shared" ref="Z232:Z240" si="50">IF(AA232&lt;&gt;"","Ja","Nein")</f>
        <v>Ja</v>
      </c>
      <c r="AA232" s="19">
        <v>45979</v>
      </c>
      <c r="AC232" s="19">
        <v>45989</v>
      </c>
      <c r="AE232" s="9">
        <f t="shared" si="46"/>
        <v>2025</v>
      </c>
      <c r="AF232" s="17" t="str">
        <f t="shared" si="47"/>
        <v>10.2025</v>
      </c>
      <c r="AG232" s="17" t="str">
        <f t="shared" si="48"/>
        <v>Ursula Ullmann</v>
      </c>
      <c r="AH232" s="17" t="str">
        <f>IFERROR(VLOOKUP(B232,[1]Kundenübersicht!$E$4:$F$85,2,FALSE),"")</f>
        <v>Wolfgang Seidel</v>
      </c>
      <c r="AI232" s="17" t="str">
        <f t="shared" si="49"/>
        <v>Alltagsbegleitung</v>
      </c>
      <c r="AJ232" s="17" t="str">
        <f t="shared" si="49"/>
        <v>Verhinderungs-/Kurzzeitpflege</v>
      </c>
      <c r="AL232" s="18">
        <f t="shared" si="41"/>
        <v>42</v>
      </c>
      <c r="AM232" s="18">
        <f t="shared" si="42"/>
        <v>84.000000000000043</v>
      </c>
      <c r="AN232" s="18">
        <f t="shared" si="43"/>
        <v>2.0999999999999996</v>
      </c>
    </row>
    <row r="233" spans="2:40" x14ac:dyDescent="0.25">
      <c r="B233" s="30" t="s">
        <v>35</v>
      </c>
      <c r="C233" s="31">
        <v>45959</v>
      </c>
      <c r="D233" s="32">
        <v>0.45833333333333331</v>
      </c>
      <c r="E233" s="32">
        <v>0.54166666666666663</v>
      </c>
      <c r="F233" s="12">
        <f t="shared" si="44"/>
        <v>1.9999999999999996</v>
      </c>
      <c r="G233" s="12">
        <v>6.9</v>
      </c>
      <c r="H233" s="30" t="s">
        <v>33</v>
      </c>
      <c r="I233" s="30" t="s">
        <v>27</v>
      </c>
      <c r="J233" s="30" t="s">
        <v>28</v>
      </c>
      <c r="K233" s="9" t="str">
        <f>VLOOKUP($B233,[1]Kundenübersicht!$E$4:$AC$1003,MATCH(K$3,[1]Kundenübersicht!$E$3:$BA$3,FALSE),FALSE)</f>
        <v>AOK PLUS</v>
      </c>
      <c r="L233" s="13">
        <f>VLOOKUP(B233,[1]Kundenübersicht!$E$4:$AC$1003,MATCH(L$3,[1]Kundenübersicht!$E$3:$BA$3,FALSE),FALSE)</f>
        <v>107299005</v>
      </c>
      <c r="M233" s="13" t="str">
        <f>VLOOKUP(B233,[1]Kundenübersicht!$E$4:$AC$1003,MATCH(M$3,[1]Kundenübersicht!$E$3:$BA$3,FALSE),FALSE)</f>
        <v>P722909118</v>
      </c>
      <c r="N233" s="13" t="str">
        <f>VLOOKUP(B233,[1]Kundenübersicht!$E$4:$AC$1003,MATCH(N$3,[1]Kundenübersicht!$E$3:$BA$3,FALSE),FALSE)</f>
        <v>PG 3</v>
      </c>
      <c r="P233" s="9" t="s">
        <v>29</v>
      </c>
      <c r="R233" s="9" t="s">
        <v>30</v>
      </c>
      <c r="S233" s="14" t="s">
        <v>31</v>
      </c>
      <c r="U233" s="15">
        <f>IF(YEAR(C233)&lt;=2025,IFERROR(IF(I233="Hauswirtschaft",VLOOKUP($B233,[1]Kundenübersicht!$E$4:$BA$1003,MATCH("Hauswirtschaft [€/Stunde]",[1]Kundenübersicht!$E$3:$BA$3,FALSE),FALSE),VLOOKUP($B233,[1]Kundenübersicht!$E$4:$BA$1003,MATCH("Alltagsbegleitung [€/Stunde]",[1]Kundenübersicht!$E$3:$BA$3,FALSE),FALSE)),0),IFERROR(IF(I233="Hauswirtschaft",VLOOKUP($B233,[1]Kundenübersicht!$E$4:$BA$1003,MATCH("HW ab 2026 [€/Stunde]",[1]Kundenübersicht!$E$3:$BA$3,FALSE),FALSE),VLOOKUP($B233,[1]Kundenübersicht!$E$4:$BA$1003,MATCH("Alltagsbegleitung [€/Stunde]",[1]Kundenübersicht!$E$3:$BA$3,FALSE),FALSE)),0))</f>
        <v>32.75</v>
      </c>
      <c r="V233" s="16">
        <f t="shared" si="45"/>
        <v>65.499999999999986</v>
      </c>
      <c r="W233" s="16">
        <f t="shared" si="40"/>
        <v>0</v>
      </c>
      <c r="X233" s="16" t="str">
        <f>VLOOKUP(B233,[1]Kundenübersicht!E:AG,MATCH($X$3,[1]Kundenübersicht!$E$3:$AY$3,0),FALSE)</f>
        <v>Alt</v>
      </c>
      <c r="Z233" s="20" t="str">
        <f t="shared" si="50"/>
        <v>Ja</v>
      </c>
      <c r="AA233" s="19">
        <v>45979</v>
      </c>
      <c r="AC233" s="19">
        <v>46002</v>
      </c>
      <c r="AE233" s="9">
        <f t="shared" si="46"/>
        <v>2025</v>
      </c>
      <c r="AF233" s="17" t="str">
        <f t="shared" si="47"/>
        <v>10.2025</v>
      </c>
      <c r="AG233" s="17" t="str">
        <f t="shared" si="48"/>
        <v>Christiane Fiebag</v>
      </c>
      <c r="AH233" s="17" t="str">
        <f>IFERROR(VLOOKUP(B233,[1]Kundenübersicht!$E$4:$F$85,2,FALSE),"")</f>
        <v>Elke Berghold</v>
      </c>
      <c r="AI233" s="17" t="str">
        <f t="shared" si="49"/>
        <v>Hauswirtschaft</v>
      </c>
      <c r="AJ233" s="17" t="str">
        <f t="shared" si="49"/>
        <v>Entlastungsleistung</v>
      </c>
      <c r="AL233" s="18">
        <f t="shared" si="41"/>
        <v>38</v>
      </c>
      <c r="AM233" s="18">
        <f t="shared" si="42"/>
        <v>75.999999999999986</v>
      </c>
      <c r="AN233" s="18">
        <f t="shared" si="43"/>
        <v>2.415</v>
      </c>
    </row>
    <row r="234" spans="2:40" x14ac:dyDescent="0.25">
      <c r="B234" s="30" t="s">
        <v>44</v>
      </c>
      <c r="C234" s="31">
        <v>45959</v>
      </c>
      <c r="D234" s="32">
        <v>0.55555555555555558</v>
      </c>
      <c r="E234" s="32">
        <v>0.59722222222222221</v>
      </c>
      <c r="F234" s="12">
        <f t="shared" si="44"/>
        <v>0.99999999999999911</v>
      </c>
      <c r="G234" s="12">
        <v>9.5</v>
      </c>
      <c r="H234" s="30" t="s">
        <v>33</v>
      </c>
      <c r="I234" s="30" t="s">
        <v>27</v>
      </c>
      <c r="J234" s="30" t="s">
        <v>28</v>
      </c>
      <c r="K234" s="9" t="str">
        <f>VLOOKUP($B234,[1]Kundenübersicht!$E$4:$AC$1003,MATCH(K$3,[1]Kundenübersicht!$E$3:$BA$3,FALSE),FALSE)</f>
        <v>Barmer Pflegekasse</v>
      </c>
      <c r="L234" s="13">
        <f>VLOOKUP(B234,[1]Kundenübersicht!$E$4:$AC$1003,MATCH(L$3,[1]Kundenübersicht!$E$3:$BA$3,FALSE),FALSE)</f>
        <v>184940005</v>
      </c>
      <c r="M234" s="13" t="str">
        <f>VLOOKUP(B234,[1]Kundenübersicht!$E$4:$AC$1003,MATCH(M$3,[1]Kundenübersicht!$E$3:$BA$3,FALSE),FALSE)</f>
        <v>Y800652371</v>
      </c>
      <c r="N234" s="13" t="str">
        <f>VLOOKUP(B234,[1]Kundenübersicht!$E$4:$AC$1003,MATCH(N$3,[1]Kundenübersicht!$E$3:$BA$3,FALSE),FALSE)</f>
        <v>PG 1</v>
      </c>
      <c r="P234" s="9" t="s">
        <v>29</v>
      </c>
      <c r="R234" s="9" t="s">
        <v>30</v>
      </c>
      <c r="S234" s="14" t="s">
        <v>31</v>
      </c>
      <c r="U234" s="15">
        <f>IF(YEAR(C234)&lt;=2025,IFERROR(IF(I234="Hauswirtschaft",VLOOKUP($B234,[1]Kundenübersicht!$E$4:$BA$1003,MATCH("Hauswirtschaft [€/Stunde]",[1]Kundenübersicht!$E$3:$BA$3,FALSE),FALSE),VLOOKUP($B234,[1]Kundenübersicht!$E$4:$BA$1003,MATCH("Alltagsbegleitung [€/Stunde]",[1]Kundenübersicht!$E$3:$BA$3,FALSE),FALSE)),0),IFERROR(IF(I234="Hauswirtschaft",VLOOKUP($B234,[1]Kundenübersicht!$E$4:$BA$1003,MATCH("HW ab 2026 [€/Stunde]",[1]Kundenübersicht!$E$3:$BA$3,FALSE),FALSE),VLOOKUP($B234,[1]Kundenübersicht!$E$4:$BA$1003,MATCH("Alltagsbegleitung [€/Stunde]",[1]Kundenübersicht!$E$3:$BA$3,FALSE),FALSE)),0))</f>
        <v>32.75</v>
      </c>
      <c r="V234" s="16">
        <f t="shared" si="45"/>
        <v>32.749999999999972</v>
      </c>
      <c r="W234" s="16">
        <f t="shared" si="40"/>
        <v>0</v>
      </c>
      <c r="X234" s="16" t="str">
        <f>VLOOKUP(B234,[1]Kundenübersicht!E:AG,MATCH($X$3,[1]Kundenübersicht!$E$3:$AY$3,0),FALSE)</f>
        <v>Alt</v>
      </c>
      <c r="Z234" s="20" t="str">
        <f t="shared" si="50"/>
        <v>Ja</v>
      </c>
      <c r="AA234" s="19">
        <v>45979</v>
      </c>
      <c r="AC234" s="19"/>
      <c r="AE234" s="9">
        <f t="shared" si="46"/>
        <v>2025</v>
      </c>
      <c r="AF234" s="17" t="str">
        <f t="shared" si="47"/>
        <v>10.2025</v>
      </c>
      <c r="AG234" s="17" t="str">
        <f t="shared" si="48"/>
        <v>Christiane Fiebag</v>
      </c>
      <c r="AH234" s="17" t="str">
        <f>IFERROR(VLOOKUP(B234,[1]Kundenübersicht!$E$4:$F$85,2,FALSE),"")</f>
        <v>Dieter Kraft</v>
      </c>
      <c r="AI234" s="17" t="str">
        <f t="shared" si="49"/>
        <v>Hauswirtschaft</v>
      </c>
      <c r="AJ234" s="17" t="str">
        <f t="shared" si="49"/>
        <v>Entlastungsleistung</v>
      </c>
      <c r="AL234" s="18">
        <f t="shared" si="41"/>
        <v>38</v>
      </c>
      <c r="AM234" s="18">
        <f t="shared" si="42"/>
        <v>37.999999999999964</v>
      </c>
      <c r="AN234" s="18">
        <f t="shared" si="43"/>
        <v>3.3249999999999997</v>
      </c>
    </row>
    <row r="235" spans="2:40" x14ac:dyDescent="0.25">
      <c r="B235" s="30" t="s">
        <v>45</v>
      </c>
      <c r="C235" s="31">
        <v>45960</v>
      </c>
      <c r="D235" s="32">
        <v>0.60416666666666663</v>
      </c>
      <c r="E235" s="32">
        <v>0.66666666666666663</v>
      </c>
      <c r="F235" s="12">
        <f t="shared" si="44"/>
        <v>1.5</v>
      </c>
      <c r="G235" s="12"/>
      <c r="H235" s="30" t="s">
        <v>46</v>
      </c>
      <c r="I235" s="30" t="s">
        <v>27</v>
      </c>
      <c r="J235" s="30" t="s">
        <v>28</v>
      </c>
      <c r="K235" s="28" t="s">
        <v>47</v>
      </c>
      <c r="L235" s="29">
        <v>109990508</v>
      </c>
      <c r="M235" s="29" t="s">
        <v>48</v>
      </c>
      <c r="N235" s="13" t="str">
        <f>VLOOKUP(B235,[1]Kundenübersicht!$E$4:$AC$1003,MATCH(N$3,[1]Kundenübersicht!$E$3:$BA$3,FALSE),FALSE)</f>
        <v>PG 1</v>
      </c>
      <c r="P235" s="9" t="s">
        <v>29</v>
      </c>
      <c r="R235" s="9" t="s">
        <v>30</v>
      </c>
      <c r="S235" s="14" t="s">
        <v>31</v>
      </c>
      <c r="U235" s="15">
        <f>IF(YEAR(C235)&lt;=2025,IFERROR(IF(I235="Hauswirtschaft",VLOOKUP($B235,[1]Kundenübersicht!$E$4:$BA$1003,MATCH("Hauswirtschaft [€/Stunde]",[1]Kundenübersicht!$E$3:$BA$3,FALSE),FALSE),VLOOKUP($B235,[1]Kundenübersicht!$E$4:$BA$1003,MATCH("Alltagsbegleitung [€/Stunde]",[1]Kundenübersicht!$E$3:$BA$3,FALSE),FALSE)),0),IFERROR(IF(I235="Hauswirtschaft",VLOOKUP($B235,[1]Kundenübersicht!$E$4:$BA$1003,MATCH("HW ab 2026 [€/Stunde]",[1]Kundenübersicht!$E$3:$BA$3,FALSE),FALSE),VLOOKUP($B235,[1]Kundenübersicht!$E$4:$BA$1003,MATCH("Alltagsbegleitung [€/Stunde]",[1]Kundenübersicht!$E$3:$BA$3,FALSE),FALSE)),0))</f>
        <v>32.75</v>
      </c>
      <c r="V235" s="16">
        <f t="shared" si="45"/>
        <v>49.125</v>
      </c>
      <c r="W235" s="16">
        <f t="shared" si="40"/>
        <v>0</v>
      </c>
      <c r="X235" s="16" t="str">
        <f>VLOOKUP(B235,[1]Kundenübersicht!E:AG,MATCH($X$3,[1]Kundenübersicht!$E$3:$AY$3,0),FALSE)</f>
        <v>Alt</v>
      </c>
      <c r="Z235" s="20" t="str">
        <f t="shared" si="50"/>
        <v>Ja</v>
      </c>
      <c r="AA235" s="19">
        <v>45979</v>
      </c>
      <c r="AC235" s="19">
        <v>45999</v>
      </c>
      <c r="AE235" s="9">
        <f t="shared" si="46"/>
        <v>2025</v>
      </c>
      <c r="AF235" s="17" t="str">
        <f t="shared" si="47"/>
        <v>10.2025</v>
      </c>
      <c r="AG235" s="17" t="str">
        <f t="shared" si="48"/>
        <v>Manuela Richter</v>
      </c>
      <c r="AH235" s="17" t="str">
        <f>IFERROR(VLOOKUP(B235,[1]Kundenübersicht!$E$4:$F$85,2,FALSE),"")</f>
        <v>Hella Reißig</v>
      </c>
      <c r="AI235" s="17" t="str">
        <f t="shared" si="49"/>
        <v>Hauswirtschaft</v>
      </c>
      <c r="AJ235" s="17" t="str">
        <f t="shared" si="49"/>
        <v>Entlastungsleistung</v>
      </c>
      <c r="AL235" s="18">
        <f t="shared" si="41"/>
        <v>38</v>
      </c>
      <c r="AM235" s="18">
        <f t="shared" si="42"/>
        <v>57</v>
      </c>
      <c r="AN235" s="18">
        <f t="shared" si="43"/>
        <v>0</v>
      </c>
    </row>
    <row r="236" spans="2:40" x14ac:dyDescent="0.25">
      <c r="B236" s="30" t="s">
        <v>38</v>
      </c>
      <c r="C236" s="31">
        <v>45960</v>
      </c>
      <c r="D236" s="32">
        <v>0.32291666666666669</v>
      </c>
      <c r="E236" s="32">
        <v>0.39583333333333331</v>
      </c>
      <c r="F236" s="12">
        <f t="shared" si="44"/>
        <v>1.7499999999999991</v>
      </c>
      <c r="G236" s="12">
        <v>6.8</v>
      </c>
      <c r="H236" s="30" t="s">
        <v>33</v>
      </c>
      <c r="I236" s="30" t="s">
        <v>27</v>
      </c>
      <c r="J236" s="30" t="s">
        <v>28</v>
      </c>
      <c r="K236" s="9" t="str">
        <f>VLOOKUP($B236,[1]Kundenübersicht!$E$4:$AC$1003,MATCH(K$3,[1]Kundenübersicht!$E$3:$BA$3,FALSE),FALSE)</f>
        <v>AOK PLUS</v>
      </c>
      <c r="L236" s="13">
        <f>VLOOKUP(B236,[1]Kundenübersicht!$E$4:$AC$1003,MATCH(L$3,[1]Kundenübersicht!$E$3:$BA$3,FALSE),FALSE)</f>
        <v>107299005</v>
      </c>
      <c r="M236" s="13" t="str">
        <f>VLOOKUP(B236,[1]Kundenübersicht!$E$4:$AC$1003,MATCH(M$3,[1]Kundenübersicht!$E$3:$BA$3,FALSE),FALSE)</f>
        <v>R782602114</v>
      </c>
      <c r="N236" s="13" t="str">
        <f>VLOOKUP(B236,[1]Kundenübersicht!$E$4:$AC$1003,MATCH(N$3,[1]Kundenübersicht!$E$3:$BA$3,FALSE),FALSE)</f>
        <v>PG 1</v>
      </c>
      <c r="P236" s="9" t="s">
        <v>29</v>
      </c>
      <c r="R236" s="9" t="s">
        <v>30</v>
      </c>
      <c r="S236" s="14" t="s">
        <v>31</v>
      </c>
      <c r="U236" s="15">
        <f>IF(YEAR(C236)&lt;=2025,IFERROR(IF(I236="Hauswirtschaft",VLOOKUP($B236,[1]Kundenübersicht!$E$4:$BA$1003,MATCH("Hauswirtschaft [€/Stunde]",[1]Kundenübersicht!$E$3:$BA$3,FALSE),FALSE),VLOOKUP($B236,[1]Kundenübersicht!$E$4:$BA$1003,MATCH("Alltagsbegleitung [€/Stunde]",[1]Kundenübersicht!$E$3:$BA$3,FALSE),FALSE)),0),IFERROR(IF(I236="Hauswirtschaft",VLOOKUP($B236,[1]Kundenübersicht!$E$4:$BA$1003,MATCH("HW ab 2026 [€/Stunde]",[1]Kundenübersicht!$E$3:$BA$3,FALSE),FALSE),VLOOKUP($B236,[1]Kundenübersicht!$E$4:$BA$1003,MATCH("Alltagsbegleitung [€/Stunde]",[1]Kundenübersicht!$E$3:$BA$3,FALSE),FALSE)),0))</f>
        <v>32.75</v>
      </c>
      <c r="V236" s="16">
        <f t="shared" si="45"/>
        <v>57.312499999999972</v>
      </c>
      <c r="W236" s="16">
        <f t="shared" si="40"/>
        <v>0</v>
      </c>
      <c r="X236" s="16" t="str">
        <f>VLOOKUP(B236,[1]Kundenübersicht!E:AG,MATCH($X$3,[1]Kundenübersicht!$E$3:$AY$3,0),FALSE)</f>
        <v>Alt</v>
      </c>
      <c r="Z236" s="20" t="str">
        <f t="shared" si="50"/>
        <v>Ja</v>
      </c>
      <c r="AA236" s="19">
        <v>45979</v>
      </c>
      <c r="AC236" s="19">
        <v>46002</v>
      </c>
      <c r="AE236" s="9">
        <f t="shared" si="46"/>
        <v>2025</v>
      </c>
      <c r="AF236" s="17" t="str">
        <f t="shared" si="47"/>
        <v>10.2025</v>
      </c>
      <c r="AG236" s="17" t="str">
        <f t="shared" si="48"/>
        <v>Christiane Fiebag</v>
      </c>
      <c r="AH236" s="17" t="str">
        <f>IFERROR(VLOOKUP(B236,[1]Kundenübersicht!$E$4:$F$85,2,FALSE),"")</f>
        <v>Christian Jungnickel</v>
      </c>
      <c r="AI236" s="17" t="str">
        <f t="shared" si="49"/>
        <v>Hauswirtschaft</v>
      </c>
      <c r="AJ236" s="17" t="str">
        <f t="shared" si="49"/>
        <v>Entlastungsleistung</v>
      </c>
      <c r="AL236" s="18">
        <f t="shared" si="41"/>
        <v>38</v>
      </c>
      <c r="AM236" s="18">
        <f t="shared" si="42"/>
        <v>66.499999999999972</v>
      </c>
      <c r="AN236" s="18">
        <f t="shared" si="43"/>
        <v>2.38</v>
      </c>
    </row>
    <row r="237" spans="2:40" x14ac:dyDescent="0.25">
      <c r="B237" s="30" t="s">
        <v>76</v>
      </c>
      <c r="C237" s="31">
        <v>45946</v>
      </c>
      <c r="D237" s="32">
        <v>0.625</v>
      </c>
      <c r="E237" s="32">
        <v>0.66666666666666663</v>
      </c>
      <c r="F237" s="12">
        <f t="shared" si="44"/>
        <v>0.99999999999999911</v>
      </c>
      <c r="G237" s="12">
        <v>6.5</v>
      </c>
      <c r="H237" s="30" t="s">
        <v>64</v>
      </c>
      <c r="I237" s="30" t="s">
        <v>41</v>
      </c>
      <c r="J237" s="30" t="s">
        <v>28</v>
      </c>
      <c r="K237" s="9" t="str">
        <f>VLOOKUP($B237,[1]Kundenübersicht!$E$4:$AC$1003,MATCH(K$3,[1]Kundenübersicht!$E$3:$BA$3,FALSE),FALSE)</f>
        <v>Barmer Pflegekasse</v>
      </c>
      <c r="L237" s="13">
        <f>VLOOKUP(B237,[1]Kundenübersicht!$E$4:$AC$1003,MATCH(L$3,[1]Kundenübersicht!$E$3:$BA$3,FALSE),FALSE)</f>
        <v>184940005</v>
      </c>
      <c r="M237" s="13" t="str">
        <f>VLOOKUP(B237,[1]Kundenübersicht!$E$4:$AC$1003,MATCH(M$3,[1]Kundenübersicht!$E$3:$BA$3,FALSE),FALSE)</f>
        <v>H869008891</v>
      </c>
      <c r="N237" s="13" t="str">
        <f>VLOOKUP(B237,[1]Kundenübersicht!$E$4:$AC$1003,MATCH(N$3,[1]Kundenübersicht!$E$3:$BA$3,FALSE),FALSE)</f>
        <v>PG 2</v>
      </c>
      <c r="P237" s="9" t="s">
        <v>29</v>
      </c>
      <c r="R237" s="9" t="s">
        <v>30</v>
      </c>
      <c r="S237" s="14" t="s">
        <v>31</v>
      </c>
      <c r="U237" s="15">
        <f>IF(YEAR(C237)&lt;=2025,IFERROR(IF(I237="Hauswirtschaft",VLOOKUP($B237,[1]Kundenübersicht!$E$4:$BA$1003,MATCH("Hauswirtschaft [€/Stunde]",[1]Kundenübersicht!$E$3:$BA$3,FALSE),FALSE),VLOOKUP($B237,[1]Kundenübersicht!$E$4:$BA$1003,MATCH("Alltagsbegleitung [€/Stunde]",[1]Kundenübersicht!$E$3:$BA$3,FALSE),FALSE)),0),IFERROR(IF(I237="Hauswirtschaft",VLOOKUP($B237,[1]Kundenübersicht!$E$4:$BA$1003,MATCH("HW ab 2026 [€/Stunde]",[1]Kundenübersicht!$E$3:$BA$3,FALSE),FALSE),VLOOKUP($B237,[1]Kundenübersicht!$E$4:$BA$1003,MATCH("Alltagsbegleitung [€/Stunde]",[1]Kundenübersicht!$E$3:$BA$3,FALSE),FALSE)),0))</f>
        <v>42</v>
      </c>
      <c r="V237" s="16">
        <f t="shared" si="45"/>
        <v>41.999999999999964</v>
      </c>
      <c r="W237" s="16">
        <f t="shared" si="40"/>
        <v>2.2749999999999999</v>
      </c>
      <c r="X237" s="16" t="str">
        <f>VLOOKUP(B237,[1]Kundenübersicht!E:AG,MATCH($X$3,[1]Kundenübersicht!$E$3:$AY$3,0),FALSE)</f>
        <v>Neu</v>
      </c>
      <c r="Z237" s="20" t="str">
        <f t="shared" si="50"/>
        <v>Ja</v>
      </c>
      <c r="AA237" s="19">
        <v>45979</v>
      </c>
      <c r="AC237" s="19"/>
      <c r="AE237" s="9">
        <f t="shared" si="46"/>
        <v>2025</v>
      </c>
      <c r="AF237" s="17" t="str">
        <f t="shared" si="47"/>
        <v>10.2025</v>
      </c>
      <c r="AG237" s="17" t="str">
        <f t="shared" si="48"/>
        <v>Ursula Ullmann</v>
      </c>
      <c r="AH237" s="17" t="str">
        <f>IFERROR(VLOOKUP(B237,[1]Kundenübersicht!$E$4:$F$85,2,FALSE),"")</f>
        <v>Margitta Friedmann</v>
      </c>
      <c r="AI237" s="17" t="str">
        <f t="shared" si="49"/>
        <v>Alltagsbegleitung</v>
      </c>
      <c r="AJ237" s="17" t="str">
        <f t="shared" si="49"/>
        <v>Entlastungsleistung</v>
      </c>
      <c r="AL237" s="18">
        <f t="shared" si="41"/>
        <v>42</v>
      </c>
      <c r="AM237" s="18">
        <f t="shared" si="42"/>
        <v>41.999999999999964</v>
      </c>
      <c r="AN237" s="18">
        <f t="shared" si="43"/>
        <v>2.2749999999999999</v>
      </c>
    </row>
    <row r="238" spans="2:40" x14ac:dyDescent="0.25">
      <c r="B238" s="30" t="s">
        <v>63</v>
      </c>
      <c r="C238" s="31">
        <v>45960</v>
      </c>
      <c r="D238" s="32">
        <v>0.41666666666666669</v>
      </c>
      <c r="E238" s="32">
        <v>0.5</v>
      </c>
      <c r="F238" s="12">
        <f t="shared" si="44"/>
        <v>1.9999999999999996</v>
      </c>
      <c r="G238" s="12">
        <v>10.8</v>
      </c>
      <c r="H238" s="30" t="s">
        <v>33</v>
      </c>
      <c r="I238" s="30" t="s">
        <v>27</v>
      </c>
      <c r="J238" s="30" t="s">
        <v>28</v>
      </c>
      <c r="K238" s="9" t="str">
        <f>VLOOKUP($B238,[1]Kundenübersicht!$E$4:$AC$1003,MATCH(K$3,[1]Kundenübersicht!$E$3:$BA$3,FALSE),FALSE)</f>
        <v>Techniker Krankenkasse</v>
      </c>
      <c r="L238" s="13">
        <f>VLOOKUP(B238,[1]Kundenübersicht!$E$4:$AC$1003,MATCH(L$3,[1]Kundenübersicht!$E$3:$BA$3,FALSE),FALSE)</f>
        <v>101575519</v>
      </c>
      <c r="M238" s="13" t="str">
        <f>VLOOKUP(B238,[1]Kundenübersicht!$E$4:$AC$1003,MATCH(M$3,[1]Kundenübersicht!$E$3:$BA$3,FALSE),FALSE)</f>
        <v>O816601650</v>
      </c>
      <c r="N238" s="13" t="str">
        <f>VLOOKUP(B238,[1]Kundenübersicht!$E$4:$AC$1003,MATCH(N$3,[1]Kundenübersicht!$E$3:$BA$3,FALSE),FALSE)</f>
        <v>PG 2</v>
      </c>
      <c r="P238" s="9" t="s">
        <v>29</v>
      </c>
      <c r="R238" s="9" t="s">
        <v>30</v>
      </c>
      <c r="S238" s="14" t="s">
        <v>31</v>
      </c>
      <c r="U238" s="15">
        <f>IF(YEAR(C238)&lt;=2025,IFERROR(IF(I238="Hauswirtschaft",VLOOKUP($B238,[1]Kundenübersicht!$E$4:$BA$1003,MATCH("Hauswirtschaft [€/Stunde]",[1]Kundenübersicht!$E$3:$BA$3,FALSE),FALSE),VLOOKUP($B238,[1]Kundenübersicht!$E$4:$BA$1003,MATCH("Alltagsbegleitung [€/Stunde]",[1]Kundenübersicht!$E$3:$BA$3,FALSE),FALSE)),0),IFERROR(IF(I238="Hauswirtschaft",VLOOKUP($B238,[1]Kundenübersicht!$E$4:$BA$1003,MATCH("HW ab 2026 [€/Stunde]",[1]Kundenübersicht!$E$3:$BA$3,FALSE),FALSE),VLOOKUP($B238,[1]Kundenübersicht!$E$4:$BA$1003,MATCH("Alltagsbegleitung [€/Stunde]",[1]Kundenübersicht!$E$3:$BA$3,FALSE),FALSE)),0))</f>
        <v>32.75</v>
      </c>
      <c r="V238" s="16">
        <f t="shared" si="45"/>
        <v>65.499999999999986</v>
      </c>
      <c r="W238" s="16">
        <f t="shared" si="40"/>
        <v>0</v>
      </c>
      <c r="X238" s="16" t="str">
        <f>VLOOKUP(B238,[1]Kundenübersicht!E:AG,MATCH($X$3,[1]Kundenübersicht!$E$3:$AY$3,0),FALSE)</f>
        <v>Alt</v>
      </c>
      <c r="Z238" s="20" t="str">
        <f t="shared" si="50"/>
        <v>Ja</v>
      </c>
      <c r="AA238" s="19">
        <v>45979</v>
      </c>
      <c r="AC238" s="19">
        <v>46007</v>
      </c>
      <c r="AE238" s="9">
        <f t="shared" si="46"/>
        <v>2025</v>
      </c>
      <c r="AF238" s="17" t="str">
        <f t="shared" si="47"/>
        <v>10.2025</v>
      </c>
      <c r="AG238" s="17" t="str">
        <f t="shared" si="48"/>
        <v>Christiane Fiebag</v>
      </c>
      <c r="AH238" s="17" t="str">
        <f>IFERROR(VLOOKUP(B238,[1]Kundenübersicht!$E$4:$F$85,2,FALSE),"")</f>
        <v>Joachim Röder</v>
      </c>
      <c r="AI238" s="17" t="str">
        <f t="shared" si="49"/>
        <v>Hauswirtschaft</v>
      </c>
      <c r="AJ238" s="17" t="str">
        <f t="shared" si="49"/>
        <v>Entlastungsleistung</v>
      </c>
      <c r="AL238" s="18">
        <f t="shared" si="41"/>
        <v>38</v>
      </c>
      <c r="AM238" s="18">
        <f t="shared" si="42"/>
        <v>75.999999999999986</v>
      </c>
      <c r="AN238" s="18">
        <f t="shared" si="43"/>
        <v>3.78</v>
      </c>
    </row>
    <row r="239" spans="2:40" x14ac:dyDescent="0.25">
      <c r="B239" s="30" t="s">
        <v>76</v>
      </c>
      <c r="C239" s="31">
        <v>45953</v>
      </c>
      <c r="D239" s="32">
        <v>0.39583333333333331</v>
      </c>
      <c r="E239" s="32">
        <v>0.52083333333333337</v>
      </c>
      <c r="F239" s="12">
        <f t="shared" si="44"/>
        <v>3.0000000000000013</v>
      </c>
      <c r="G239" s="12">
        <v>48</v>
      </c>
      <c r="H239" s="30" t="s">
        <v>64</v>
      </c>
      <c r="I239" s="30" t="s">
        <v>41</v>
      </c>
      <c r="J239" s="30" t="s">
        <v>28</v>
      </c>
      <c r="K239" s="9" t="str">
        <f>VLOOKUP($B239,[1]Kundenübersicht!$E$4:$AC$1003,MATCH(K$3,[1]Kundenübersicht!$E$3:$BA$3,FALSE),FALSE)</f>
        <v>Barmer Pflegekasse</v>
      </c>
      <c r="L239" s="13">
        <f>VLOOKUP(B239,[1]Kundenübersicht!$E$4:$AC$1003,MATCH(L$3,[1]Kundenübersicht!$E$3:$BA$3,FALSE),FALSE)</f>
        <v>184940005</v>
      </c>
      <c r="M239" s="13" t="str">
        <f>VLOOKUP(B239,[1]Kundenübersicht!$E$4:$AC$1003,MATCH(M$3,[1]Kundenübersicht!$E$3:$BA$3,FALSE),FALSE)</f>
        <v>H869008891</v>
      </c>
      <c r="N239" s="13" t="str">
        <f>VLOOKUP(B239,[1]Kundenübersicht!$E$4:$AC$1003,MATCH(N$3,[1]Kundenübersicht!$E$3:$BA$3,FALSE),FALSE)</f>
        <v>PG 2</v>
      </c>
      <c r="P239" s="9" t="s">
        <v>29</v>
      </c>
      <c r="R239" s="9" t="s">
        <v>30</v>
      </c>
      <c r="S239" s="14" t="s">
        <v>31</v>
      </c>
      <c r="U239" s="15">
        <f>IF(YEAR(C239)&lt;=2025,IFERROR(IF(I239="Hauswirtschaft",VLOOKUP($B239,[1]Kundenübersicht!$E$4:$BA$1003,MATCH("Hauswirtschaft [€/Stunde]",[1]Kundenübersicht!$E$3:$BA$3,FALSE),FALSE),VLOOKUP($B239,[1]Kundenübersicht!$E$4:$BA$1003,MATCH("Alltagsbegleitung [€/Stunde]",[1]Kundenübersicht!$E$3:$BA$3,FALSE),FALSE)),0),IFERROR(IF(I239="Hauswirtschaft",VLOOKUP($B239,[1]Kundenübersicht!$E$4:$BA$1003,MATCH("HW ab 2026 [€/Stunde]",[1]Kundenübersicht!$E$3:$BA$3,FALSE),FALSE),VLOOKUP($B239,[1]Kundenübersicht!$E$4:$BA$1003,MATCH("Alltagsbegleitung [€/Stunde]",[1]Kundenübersicht!$E$3:$BA$3,FALSE),FALSE)),0))</f>
        <v>42</v>
      </c>
      <c r="V239" s="16">
        <f t="shared" si="45"/>
        <v>126.00000000000006</v>
      </c>
      <c r="W239" s="16">
        <f t="shared" si="40"/>
        <v>16.799999999999997</v>
      </c>
      <c r="X239" s="16" t="str">
        <f>VLOOKUP(B239,[1]Kundenübersicht!E:AG,MATCH($X$3,[1]Kundenübersicht!$E$3:$AY$3,0),FALSE)</f>
        <v>Neu</v>
      </c>
      <c r="Z239" s="20" t="str">
        <f t="shared" si="50"/>
        <v>Ja</v>
      </c>
      <c r="AA239" s="19">
        <v>45979</v>
      </c>
      <c r="AC239" s="19"/>
      <c r="AE239" s="9">
        <f t="shared" si="46"/>
        <v>2025</v>
      </c>
      <c r="AF239" s="17" t="str">
        <f t="shared" si="47"/>
        <v>10.2025</v>
      </c>
      <c r="AG239" s="17" t="str">
        <f t="shared" si="48"/>
        <v>Ursula Ullmann</v>
      </c>
      <c r="AH239" s="17" t="str">
        <f>IFERROR(VLOOKUP(B239,[1]Kundenübersicht!$E$4:$F$85,2,FALSE),"")</f>
        <v>Margitta Friedmann</v>
      </c>
      <c r="AI239" s="17" t="str">
        <f t="shared" si="49"/>
        <v>Alltagsbegleitung</v>
      </c>
      <c r="AJ239" s="17" t="str">
        <f t="shared" si="49"/>
        <v>Entlastungsleistung</v>
      </c>
      <c r="AL239" s="18">
        <f t="shared" si="41"/>
        <v>42</v>
      </c>
      <c r="AM239" s="18">
        <f t="shared" si="42"/>
        <v>126.00000000000006</v>
      </c>
      <c r="AN239" s="18">
        <f t="shared" si="43"/>
        <v>16.799999999999997</v>
      </c>
    </row>
    <row r="240" spans="2:40" x14ac:dyDescent="0.25">
      <c r="B240" s="30" t="s">
        <v>52</v>
      </c>
      <c r="C240" s="31">
        <v>45960</v>
      </c>
      <c r="D240" s="32">
        <v>0.53125</v>
      </c>
      <c r="E240" s="32">
        <v>0.57291666666666663</v>
      </c>
      <c r="F240" s="12">
        <f t="shared" si="44"/>
        <v>0.99999999999999911</v>
      </c>
      <c r="G240" s="12">
        <v>16.100000000000001</v>
      </c>
      <c r="H240" s="30" t="s">
        <v>33</v>
      </c>
      <c r="I240" s="30" t="s">
        <v>27</v>
      </c>
      <c r="J240" s="30" t="s">
        <v>28</v>
      </c>
      <c r="K240" s="9" t="str">
        <f>VLOOKUP($B240,[1]Kundenübersicht!$E$4:$AC$1003,MATCH(K$3,[1]Kundenübersicht!$E$3:$BA$3,FALSE),FALSE)</f>
        <v>AOK PLUS</v>
      </c>
      <c r="L240" s="13">
        <f>VLOOKUP(B240,[1]Kundenübersicht!$E$4:$AC$1003,MATCH(L$3,[1]Kundenübersicht!$E$3:$BA$3,FALSE),FALSE)</f>
        <v>107299005</v>
      </c>
      <c r="M240" s="13" t="str">
        <f>VLOOKUP(B240,[1]Kundenübersicht!$E$4:$AC$1003,MATCH(M$3,[1]Kundenübersicht!$E$3:$BA$3,FALSE),FALSE)</f>
        <v>G562042888</v>
      </c>
      <c r="N240" s="13" t="str">
        <f>VLOOKUP(B240,[1]Kundenübersicht!$E$4:$AC$1003,MATCH(N$3,[1]Kundenübersicht!$E$3:$BA$3,FALSE),FALSE)</f>
        <v>PG 2</v>
      </c>
      <c r="P240" s="9" t="s">
        <v>29</v>
      </c>
      <c r="R240" s="9" t="s">
        <v>30</v>
      </c>
      <c r="S240" s="14" t="s">
        <v>31</v>
      </c>
      <c r="U240" s="15">
        <f>IF(YEAR(C240)&lt;=2025,IFERROR(IF(I240="Hauswirtschaft",VLOOKUP($B240,[1]Kundenübersicht!$E$4:$BA$1003,MATCH("Hauswirtschaft [€/Stunde]",[1]Kundenübersicht!$E$3:$BA$3,FALSE),FALSE),VLOOKUP($B240,[1]Kundenübersicht!$E$4:$BA$1003,MATCH("Alltagsbegleitung [€/Stunde]",[1]Kundenübersicht!$E$3:$BA$3,FALSE),FALSE)),0),IFERROR(IF(I240="Hauswirtschaft",VLOOKUP($B240,[1]Kundenübersicht!$E$4:$BA$1003,MATCH("HW ab 2026 [€/Stunde]",[1]Kundenübersicht!$E$3:$BA$3,FALSE),FALSE),VLOOKUP($B240,[1]Kundenübersicht!$E$4:$BA$1003,MATCH("Alltagsbegleitung [€/Stunde]",[1]Kundenübersicht!$E$3:$BA$3,FALSE),FALSE)),0))</f>
        <v>32.75</v>
      </c>
      <c r="V240" s="16">
        <f t="shared" si="45"/>
        <v>32.749999999999972</v>
      </c>
      <c r="W240" s="16">
        <f t="shared" si="40"/>
        <v>0</v>
      </c>
      <c r="X240" s="16" t="str">
        <f>VLOOKUP(B240,[1]Kundenübersicht!E:AG,MATCH($X$3,[1]Kundenübersicht!$E$3:$AY$3,0),FALSE)</f>
        <v>Alt</v>
      </c>
      <c r="Z240" s="20" t="str">
        <f t="shared" si="50"/>
        <v>Ja</v>
      </c>
      <c r="AA240" s="19">
        <v>45979</v>
      </c>
      <c r="AC240" s="19">
        <v>46002</v>
      </c>
      <c r="AE240" s="9">
        <f t="shared" si="46"/>
        <v>2025</v>
      </c>
      <c r="AF240" s="17" t="str">
        <f t="shared" si="47"/>
        <v>10.2025</v>
      </c>
      <c r="AG240" s="17" t="str">
        <f t="shared" si="48"/>
        <v>Christiane Fiebag</v>
      </c>
      <c r="AH240" s="17" t="str">
        <f>IFERROR(VLOOKUP(B240,[1]Kundenübersicht!$E$4:$F$85,2,FALSE),"")</f>
        <v>Matthias Roß</v>
      </c>
      <c r="AI240" s="17" t="str">
        <f t="shared" si="49"/>
        <v>Hauswirtschaft</v>
      </c>
      <c r="AJ240" s="17" t="str">
        <f t="shared" si="49"/>
        <v>Entlastungsleistung</v>
      </c>
      <c r="AL240" s="18">
        <f t="shared" si="41"/>
        <v>38</v>
      </c>
      <c r="AM240" s="18">
        <f t="shared" si="42"/>
        <v>37.999999999999964</v>
      </c>
      <c r="AN240" s="18">
        <f t="shared" si="43"/>
        <v>5.6349999999999998</v>
      </c>
    </row>
    <row r="241" spans="2:40" x14ac:dyDescent="0.25">
      <c r="B241" s="30" t="s">
        <v>45</v>
      </c>
      <c r="C241" s="31">
        <v>45967</v>
      </c>
      <c r="D241" s="32">
        <v>0.64583333333333337</v>
      </c>
      <c r="E241" s="32">
        <v>0.70833333333333337</v>
      </c>
      <c r="F241" s="12">
        <f t="shared" si="44"/>
        <v>1.5</v>
      </c>
      <c r="G241" s="12"/>
      <c r="H241" s="30" t="s">
        <v>46</v>
      </c>
      <c r="I241" s="30" t="s">
        <v>27</v>
      </c>
      <c r="J241" s="30" t="s">
        <v>28</v>
      </c>
      <c r="K241" s="28" t="s">
        <v>47</v>
      </c>
      <c r="L241" s="29">
        <v>109990508</v>
      </c>
      <c r="M241" s="29" t="s">
        <v>48</v>
      </c>
      <c r="N241" s="13" t="str">
        <f>IFERROR(VLOOKUP(B241,[1]Kundenübersicht!$E$4:$AC$1003,MATCH(N$3,[1]Kundenübersicht!$E$3:$BA$3,FALSE),FALSE),"")</f>
        <v>PG 1</v>
      </c>
      <c r="P241" s="9" t="s">
        <v>29</v>
      </c>
      <c r="R241" s="9" t="str">
        <f>IF(S241="Link","Unterschrieben","Fehlt")</f>
        <v>Unterschrieben</v>
      </c>
      <c r="S241" s="14" t="s">
        <v>31</v>
      </c>
      <c r="U241" s="15">
        <f>IF(YEAR(C241)&lt;=2025,IFERROR(IF(I241="Hauswirtschaft",VLOOKUP($B241,[1]Kundenübersicht!$E$4:$BA$1003,MATCH("Hauswirtschaft [€/Stunde]",[1]Kundenübersicht!$E$3:$BA$3,FALSE),FALSE),VLOOKUP($B241,[1]Kundenübersicht!$E$4:$BA$1003,MATCH("Alltagsbegleitung [€/Stunde]",[1]Kundenübersicht!$E$3:$BA$3,FALSE),FALSE)),0),IFERROR(IF(I241="Hauswirtschaft",VLOOKUP($B241,[1]Kundenübersicht!$E$4:$BA$1003,MATCH("HW ab 2026 [€/Stunde]",[1]Kundenübersicht!$E$3:$BA$3,FALSE),FALSE),VLOOKUP($B241,[1]Kundenübersicht!$E$4:$BA$1003,MATCH("Alltagsbegleitung [€/Stunde]",[1]Kundenübersicht!$E$3:$BA$3,FALSE),FALSE)),0))</f>
        <v>32.75</v>
      </c>
      <c r="V241" s="16">
        <f t="shared" si="45"/>
        <v>49.125</v>
      </c>
      <c r="W241" s="16">
        <f t="shared" si="40"/>
        <v>0</v>
      </c>
      <c r="X241" s="16" t="str">
        <f>VLOOKUP(B241,[1]Kundenübersicht!E:AG,MATCH($X$3,[1]Kundenübersicht!$E$3:$AY$3,0),FALSE)</f>
        <v>Alt</v>
      </c>
      <c r="Z241" s="20" t="str">
        <f>IF(AA241&lt;&gt;"","Ja","Nein")</f>
        <v>Ja</v>
      </c>
      <c r="AA241" s="19">
        <v>46009</v>
      </c>
      <c r="AC241" s="19">
        <v>45677</v>
      </c>
      <c r="AE241" s="9">
        <f t="shared" si="46"/>
        <v>2025</v>
      </c>
      <c r="AF241" s="17" t="str">
        <f t="shared" si="47"/>
        <v>11.2025</v>
      </c>
      <c r="AG241" s="17" t="str">
        <f t="shared" si="48"/>
        <v>Manuela Richter</v>
      </c>
      <c r="AH241" s="17" t="str">
        <f>IFERROR(VLOOKUP(B241,[1]Kundenübersicht!$E$4:$F$85,2,FALSE),"")</f>
        <v>Hella Reißig</v>
      </c>
      <c r="AI241" s="17" t="str">
        <f t="shared" si="49"/>
        <v>Hauswirtschaft</v>
      </c>
      <c r="AJ241" s="17" t="str">
        <f t="shared" si="49"/>
        <v>Entlastungsleistung</v>
      </c>
      <c r="AL241" s="18">
        <f>IF(I241="Hauswirtschaft",38,42)</f>
        <v>38</v>
      </c>
      <c r="AM241" s="18">
        <f>AL241*F241</f>
        <v>57</v>
      </c>
      <c r="AN241" s="18">
        <f>G241*0.35</f>
        <v>0</v>
      </c>
    </row>
    <row r="242" spans="2:40" x14ac:dyDescent="0.25">
      <c r="B242" s="30" t="s">
        <v>43</v>
      </c>
      <c r="C242" s="31">
        <v>45973</v>
      </c>
      <c r="D242" s="32">
        <v>0.33333333333333331</v>
      </c>
      <c r="E242" s="32">
        <v>0.375</v>
      </c>
      <c r="F242" s="12">
        <f t="shared" si="44"/>
        <v>1.0000000000000004</v>
      </c>
      <c r="G242" s="12"/>
      <c r="H242" s="30" t="s">
        <v>46</v>
      </c>
      <c r="I242" s="30" t="s">
        <v>27</v>
      </c>
      <c r="J242" s="30" t="s">
        <v>28</v>
      </c>
      <c r="K242" s="9" t="str">
        <f>IFERROR(VLOOKUP($B242,[1]Kundenübersicht!$E$4:$AC$1003,MATCH(K$3,[1]Kundenübersicht!$E$3:$BA$3,FALSE),FALSE),"")</f>
        <v>AOK PLUS</v>
      </c>
      <c r="L242" s="13">
        <f>IFERROR(VLOOKUP(B242,[1]Kundenübersicht!$E$4:$AC$1003,MATCH(L$3,[1]Kundenübersicht!$E$3:$BA$3,FALSE),FALSE),"")</f>
        <v>107299005</v>
      </c>
      <c r="M242" s="13" t="str">
        <f>IFERROR(VLOOKUP(B242,[1]Kundenübersicht!$E$4:$AC$1003,MATCH(M$3,[1]Kundenübersicht!$E$3:$BA$3,FALSE),FALSE),"")</f>
        <v>I323820679</v>
      </c>
      <c r="N242" s="13" t="str">
        <f>IFERROR(VLOOKUP(B242,[1]Kundenübersicht!$E$4:$AC$1003,MATCH(N$3,[1]Kundenübersicht!$E$3:$BA$3,FALSE),FALSE),"")</f>
        <v>PG 1</v>
      </c>
      <c r="P242" s="9" t="s">
        <v>29</v>
      </c>
      <c r="R242" s="9" t="str">
        <f t="shared" ref="R242:R305" si="51">IF(S242="Link","Unterschrieben","Fehlt")</f>
        <v>Unterschrieben</v>
      </c>
      <c r="S242" s="14" t="s">
        <v>31</v>
      </c>
      <c r="U242" s="15">
        <f>IF(YEAR(C242)&lt;=2025,IFERROR(IF(I242="Hauswirtschaft",VLOOKUP($B242,[1]Kundenübersicht!$E$4:$BA$1003,MATCH("Hauswirtschaft [€/Stunde]",[1]Kundenübersicht!$E$3:$BA$3,FALSE),FALSE),VLOOKUP($B242,[1]Kundenübersicht!$E$4:$BA$1003,MATCH("Alltagsbegleitung [€/Stunde]",[1]Kundenübersicht!$E$3:$BA$3,FALSE),FALSE)),0),IFERROR(IF(I242="Hauswirtschaft",VLOOKUP($B242,[1]Kundenübersicht!$E$4:$BA$1003,MATCH("HW ab 2026 [€/Stunde]",[1]Kundenübersicht!$E$3:$BA$3,FALSE),FALSE),VLOOKUP($B242,[1]Kundenübersicht!$E$4:$BA$1003,MATCH("Alltagsbegleitung [€/Stunde]",[1]Kundenübersicht!$E$3:$BA$3,FALSE),FALSE)),0))</f>
        <v>32.75</v>
      </c>
      <c r="V242" s="16">
        <f t="shared" si="45"/>
        <v>32.750000000000014</v>
      </c>
      <c r="W242" s="16">
        <f t="shared" si="40"/>
        <v>0</v>
      </c>
      <c r="X242" s="16" t="str">
        <f>VLOOKUP(B242,[1]Kundenübersicht!E:AG,MATCH($X$3,[1]Kundenübersicht!$E$3:$AY$3,0),FALSE)</f>
        <v>Alt</v>
      </c>
      <c r="Z242" s="20" t="str">
        <f t="shared" ref="Z242:Z305" si="52">IF(AA242&lt;&gt;"","Ja","Nein")</f>
        <v>Ja</v>
      </c>
      <c r="AA242" s="19">
        <v>46009</v>
      </c>
      <c r="AC242" s="19">
        <v>46045</v>
      </c>
      <c r="AE242" s="9">
        <f t="shared" si="46"/>
        <v>2025</v>
      </c>
      <c r="AF242" s="17" t="str">
        <f t="shared" si="47"/>
        <v>11.2025</v>
      </c>
      <c r="AG242" s="17" t="str">
        <f t="shared" si="48"/>
        <v>Manuela Richter</v>
      </c>
      <c r="AH242" s="17" t="str">
        <f>IFERROR(VLOOKUP(B242,[1]Kundenübersicht!$E$4:$F$85,2,FALSE),"")</f>
        <v>Inge Leupold</v>
      </c>
      <c r="AI242" s="17" t="str">
        <f t="shared" si="49"/>
        <v>Hauswirtschaft</v>
      </c>
      <c r="AJ242" s="17" t="str">
        <f t="shared" si="49"/>
        <v>Entlastungsleistung</v>
      </c>
      <c r="AL242" s="18">
        <f t="shared" ref="AL242:AL305" si="53">IF(I242="Hauswirtschaft",38,42)</f>
        <v>38</v>
      </c>
      <c r="AM242" s="18">
        <f t="shared" ref="AM242:AM305" si="54">AL242*F242</f>
        <v>38.000000000000014</v>
      </c>
      <c r="AN242" s="18">
        <f t="shared" ref="AN242:AN305" si="55">G242*0.35</f>
        <v>0</v>
      </c>
    </row>
    <row r="243" spans="2:40" x14ac:dyDescent="0.25">
      <c r="B243" s="30" t="s">
        <v>50</v>
      </c>
      <c r="C243" s="31">
        <v>45968</v>
      </c>
      <c r="D243" s="32">
        <v>0.58333333333333337</v>
      </c>
      <c r="E243" s="32">
        <v>0.66666666666666663</v>
      </c>
      <c r="F243" s="12">
        <f t="shared" si="44"/>
        <v>1.9999999999999982</v>
      </c>
      <c r="G243" s="12"/>
      <c r="H243" s="30" t="s">
        <v>46</v>
      </c>
      <c r="I243" s="30" t="s">
        <v>27</v>
      </c>
      <c r="J243" s="30" t="s">
        <v>28</v>
      </c>
      <c r="K243" s="9" t="str">
        <f>IFERROR(VLOOKUP($B243,[1]Kundenübersicht!$E$4:$AC$1003,MATCH(K$3,[1]Kundenübersicht!$E$3:$BA$3,FALSE),FALSE),"")</f>
        <v>AOK PLUS</v>
      </c>
      <c r="L243" s="13">
        <f>IFERROR(VLOOKUP(B243,[1]Kundenübersicht!$E$4:$AC$1003,MATCH(L$3,[1]Kundenübersicht!$E$3:$BA$3,FALSE),FALSE),"")</f>
        <v>107299005</v>
      </c>
      <c r="M243" s="13" t="str">
        <f>IFERROR(VLOOKUP(B243,[1]Kundenübersicht!$E$4:$AC$1003,MATCH(M$3,[1]Kundenübersicht!$E$3:$BA$3,FALSE),FALSE),"")</f>
        <v>L212281967</v>
      </c>
      <c r="N243" s="13" t="str">
        <f>IFERROR(VLOOKUP(B243,[1]Kundenübersicht!$E$4:$AC$1003,MATCH(N$3,[1]Kundenübersicht!$E$3:$BA$3,FALSE),FALSE),"")</f>
        <v>PG 1</v>
      </c>
      <c r="P243" s="9" t="s">
        <v>29</v>
      </c>
      <c r="R243" s="9" t="str">
        <f t="shared" si="51"/>
        <v>Unterschrieben</v>
      </c>
      <c r="S243" s="14" t="s">
        <v>31</v>
      </c>
      <c r="U243" s="15">
        <f>IF(YEAR(C243)&lt;=2025,IFERROR(IF(I243="Hauswirtschaft",VLOOKUP($B243,[1]Kundenübersicht!$E$4:$BA$1003,MATCH("Hauswirtschaft [€/Stunde]",[1]Kundenübersicht!$E$3:$BA$3,FALSE),FALSE),VLOOKUP($B243,[1]Kundenübersicht!$E$4:$BA$1003,MATCH("Alltagsbegleitung [€/Stunde]",[1]Kundenübersicht!$E$3:$BA$3,FALSE),FALSE)),0),IFERROR(IF(I243="Hauswirtschaft",VLOOKUP($B243,[1]Kundenübersicht!$E$4:$BA$1003,MATCH("HW ab 2026 [€/Stunde]",[1]Kundenübersicht!$E$3:$BA$3,FALSE),FALSE),VLOOKUP($B243,[1]Kundenübersicht!$E$4:$BA$1003,MATCH("Alltagsbegleitung [€/Stunde]",[1]Kundenübersicht!$E$3:$BA$3,FALSE),FALSE)),0))</f>
        <v>32.75</v>
      </c>
      <c r="V243" s="16">
        <f t="shared" si="45"/>
        <v>65.499999999999943</v>
      </c>
      <c r="W243" s="16">
        <f t="shared" si="40"/>
        <v>0</v>
      </c>
      <c r="X243" s="16" t="str">
        <f>VLOOKUP(B243,[1]Kundenübersicht!E:AG,MATCH($X$3,[1]Kundenübersicht!$E$3:$AY$3,0),FALSE)</f>
        <v>Alt</v>
      </c>
      <c r="Z243" s="20" t="str">
        <f t="shared" si="52"/>
        <v>Ja</v>
      </c>
      <c r="AA243" s="19">
        <v>46009</v>
      </c>
      <c r="AC243" s="19">
        <v>46045</v>
      </c>
      <c r="AE243" s="9">
        <f t="shared" si="46"/>
        <v>2025</v>
      </c>
      <c r="AF243" s="17" t="str">
        <f t="shared" si="47"/>
        <v>11.2025</v>
      </c>
      <c r="AG243" s="17" t="str">
        <f t="shared" si="48"/>
        <v>Manuela Richter</v>
      </c>
      <c r="AH243" s="17" t="str">
        <f>IFERROR(VLOOKUP(B243,[1]Kundenübersicht!$E$4:$F$85,2,FALSE),"")</f>
        <v>Lothar Krawalski</v>
      </c>
      <c r="AI243" s="17" t="str">
        <f t="shared" ref="AI243:AJ258" si="56">IF(I243="","",I243)</f>
        <v>Hauswirtschaft</v>
      </c>
      <c r="AJ243" s="17" t="str">
        <f t="shared" si="56"/>
        <v>Entlastungsleistung</v>
      </c>
      <c r="AL243" s="18">
        <f t="shared" si="53"/>
        <v>38</v>
      </c>
      <c r="AM243" s="18">
        <f t="shared" si="54"/>
        <v>75.999999999999929</v>
      </c>
      <c r="AN243" s="18">
        <f t="shared" si="55"/>
        <v>0</v>
      </c>
    </row>
    <row r="244" spans="2:40" x14ac:dyDescent="0.25">
      <c r="B244" s="30" t="s">
        <v>49</v>
      </c>
      <c r="C244" s="31">
        <v>45967</v>
      </c>
      <c r="D244" s="32">
        <v>0.60416666666666663</v>
      </c>
      <c r="E244" s="32">
        <v>0.64583333333333337</v>
      </c>
      <c r="F244" s="12">
        <f t="shared" si="44"/>
        <v>1.0000000000000018</v>
      </c>
      <c r="G244" s="12"/>
      <c r="H244" s="30" t="s">
        <v>46</v>
      </c>
      <c r="I244" s="30" t="s">
        <v>27</v>
      </c>
      <c r="J244" s="30" t="s">
        <v>28</v>
      </c>
      <c r="K244" s="9" t="str">
        <f>IFERROR(VLOOKUP($B244,[1]Kundenübersicht!$E$4:$AC$1003,MATCH(K$3,[1]Kundenübersicht!$E$3:$BA$3,FALSE),FALSE),"")</f>
        <v>AOK PLUS</v>
      </c>
      <c r="L244" s="13">
        <f>IFERROR(VLOOKUP(B244,[1]Kundenübersicht!$E$4:$AC$1003,MATCH(L$3,[1]Kundenübersicht!$E$3:$BA$3,FALSE),FALSE),"")</f>
        <v>107299005</v>
      </c>
      <c r="M244" s="13" t="str">
        <f>IFERROR(VLOOKUP(B244,[1]Kundenübersicht!$E$4:$AC$1003,MATCH(M$3,[1]Kundenübersicht!$E$3:$BA$3,FALSE),FALSE),"")</f>
        <v>T309560658</v>
      </c>
      <c r="N244" s="13" t="str">
        <f>IFERROR(VLOOKUP(B244,[1]Kundenübersicht!$E$4:$AC$1003,MATCH(N$3,[1]Kundenübersicht!$E$3:$BA$3,FALSE),FALSE),"")</f>
        <v>PG 2</v>
      </c>
      <c r="P244" s="9" t="s">
        <v>29</v>
      </c>
      <c r="R244" s="9" t="str">
        <f t="shared" si="51"/>
        <v>Unterschrieben</v>
      </c>
      <c r="S244" s="14" t="s">
        <v>31</v>
      </c>
      <c r="U244" s="15">
        <f>IF(YEAR(C244)&lt;=2025,IFERROR(IF(I244="Hauswirtschaft",VLOOKUP($B244,[1]Kundenübersicht!$E$4:$BA$1003,MATCH("Hauswirtschaft [€/Stunde]",[1]Kundenübersicht!$E$3:$BA$3,FALSE),FALSE),VLOOKUP($B244,[1]Kundenübersicht!$E$4:$BA$1003,MATCH("Alltagsbegleitung [€/Stunde]",[1]Kundenübersicht!$E$3:$BA$3,FALSE),FALSE)),0),IFERROR(IF(I244="Hauswirtschaft",VLOOKUP($B244,[1]Kundenübersicht!$E$4:$BA$1003,MATCH("HW ab 2026 [€/Stunde]",[1]Kundenübersicht!$E$3:$BA$3,FALSE),FALSE),VLOOKUP($B244,[1]Kundenübersicht!$E$4:$BA$1003,MATCH("Alltagsbegleitung [€/Stunde]",[1]Kundenübersicht!$E$3:$BA$3,FALSE),FALSE)),0))</f>
        <v>32.75</v>
      </c>
      <c r="V244" s="16">
        <f t="shared" si="45"/>
        <v>32.750000000000057</v>
      </c>
      <c r="W244" s="16">
        <f t="shared" si="40"/>
        <v>0</v>
      </c>
      <c r="X244" s="16" t="str">
        <f>VLOOKUP(B244,[1]Kundenübersicht!E:AG,MATCH($X$3,[1]Kundenübersicht!$E$3:$AY$3,0),FALSE)</f>
        <v>Alt</v>
      </c>
      <c r="Z244" s="20" t="str">
        <f t="shared" si="52"/>
        <v>Ja</v>
      </c>
      <c r="AA244" s="19">
        <v>46009</v>
      </c>
      <c r="AC244" s="19">
        <v>46045</v>
      </c>
      <c r="AE244" s="9">
        <f t="shared" si="46"/>
        <v>2025</v>
      </c>
      <c r="AF244" s="17" t="str">
        <f t="shared" si="47"/>
        <v>11.2025</v>
      </c>
      <c r="AG244" s="17" t="str">
        <f t="shared" si="48"/>
        <v>Manuela Richter</v>
      </c>
      <c r="AH244" s="17" t="str">
        <f>IFERROR(VLOOKUP(B244,[1]Kundenübersicht!$E$4:$F$85,2,FALSE),"")</f>
        <v>Rita Neubert</v>
      </c>
      <c r="AI244" s="17" t="str">
        <f t="shared" si="56"/>
        <v>Hauswirtschaft</v>
      </c>
      <c r="AJ244" s="17" t="str">
        <f t="shared" si="56"/>
        <v>Entlastungsleistung</v>
      </c>
      <c r="AL244" s="18">
        <f t="shared" si="53"/>
        <v>38</v>
      </c>
      <c r="AM244" s="18">
        <f t="shared" si="54"/>
        <v>38.000000000000071</v>
      </c>
      <c r="AN244" s="18">
        <f t="shared" si="55"/>
        <v>0</v>
      </c>
    </row>
    <row r="245" spans="2:40" x14ac:dyDescent="0.25">
      <c r="B245" s="30" t="s">
        <v>25</v>
      </c>
      <c r="C245" s="31">
        <v>45973</v>
      </c>
      <c r="D245" s="32">
        <v>0.375</v>
      </c>
      <c r="E245" s="32">
        <v>0.4375</v>
      </c>
      <c r="F245" s="12">
        <f t="shared" si="44"/>
        <v>1.5</v>
      </c>
      <c r="G245" s="12"/>
      <c r="H245" s="30" t="s">
        <v>26</v>
      </c>
      <c r="I245" s="30" t="s">
        <v>27</v>
      </c>
      <c r="J245" s="30" t="s">
        <v>28</v>
      </c>
      <c r="K245" s="9" t="str">
        <f>IFERROR(VLOOKUP($B245,[1]Kundenübersicht!$E$4:$AC$1003,MATCH(K$3,[1]Kundenübersicht!$E$3:$BA$3,FALSE),FALSE),"")</f>
        <v>Barmer Pflegekasse</v>
      </c>
      <c r="L245" s="13">
        <f>IFERROR(VLOOKUP(B245,[1]Kundenübersicht!$E$4:$AC$1003,MATCH(L$3,[1]Kundenübersicht!$E$3:$BA$3,FALSE),FALSE),"")</f>
        <v>184940005</v>
      </c>
      <c r="M245" s="13" t="str">
        <f>IFERROR(VLOOKUP(B245,[1]Kundenübersicht!$E$4:$AC$1003,MATCH(M$3,[1]Kundenübersicht!$E$3:$BA$3,FALSE),FALSE),"")</f>
        <v>Z817157321</v>
      </c>
      <c r="N245" s="13" t="str">
        <f>IFERROR(VLOOKUP(B245,[1]Kundenübersicht!$E$4:$AC$1003,MATCH(N$3,[1]Kundenübersicht!$E$3:$BA$3,FALSE),FALSE),"")</f>
        <v>PG 1</v>
      </c>
      <c r="P245" s="9" t="s">
        <v>29</v>
      </c>
      <c r="R245" s="9" t="str">
        <f t="shared" si="51"/>
        <v>Unterschrieben</v>
      </c>
      <c r="S245" s="14" t="s">
        <v>31</v>
      </c>
      <c r="U245" s="15">
        <f>IF(YEAR(C245)&lt;=2025,IFERROR(IF(I245="Hauswirtschaft",VLOOKUP($B245,[1]Kundenübersicht!$E$4:$BA$1003,MATCH("Hauswirtschaft [€/Stunde]",[1]Kundenübersicht!$E$3:$BA$3,FALSE),FALSE),VLOOKUP($B245,[1]Kundenübersicht!$E$4:$BA$1003,MATCH("Alltagsbegleitung [€/Stunde]",[1]Kundenübersicht!$E$3:$BA$3,FALSE),FALSE)),0),IFERROR(IF(I245="Hauswirtschaft",VLOOKUP($B245,[1]Kundenübersicht!$E$4:$BA$1003,MATCH("HW ab 2026 [€/Stunde]",[1]Kundenübersicht!$E$3:$BA$3,FALSE),FALSE),VLOOKUP($B245,[1]Kundenübersicht!$E$4:$BA$1003,MATCH("Alltagsbegleitung [€/Stunde]",[1]Kundenübersicht!$E$3:$BA$3,FALSE),FALSE)),0))</f>
        <v>32.75</v>
      </c>
      <c r="V245" s="16">
        <f t="shared" si="45"/>
        <v>49.125</v>
      </c>
      <c r="W245" s="16">
        <f t="shared" si="40"/>
        <v>0</v>
      </c>
      <c r="X245" s="16" t="str">
        <f>VLOOKUP(B245,[1]Kundenübersicht!E:AG,MATCH($X$3,[1]Kundenübersicht!$E$3:$AY$3,0),FALSE)</f>
        <v>Alt</v>
      </c>
      <c r="Z245" s="20" t="str">
        <f t="shared" si="52"/>
        <v>Ja</v>
      </c>
      <c r="AA245" s="19">
        <v>46057</v>
      </c>
      <c r="AC245" s="19"/>
      <c r="AE245" s="9">
        <f t="shared" si="46"/>
        <v>2025</v>
      </c>
      <c r="AF245" s="17" t="str">
        <f t="shared" si="47"/>
        <v>11.2025</v>
      </c>
      <c r="AG245" s="17" t="str">
        <f t="shared" si="48"/>
        <v>Celina Panther</v>
      </c>
      <c r="AH245" s="17" t="str">
        <f>IFERROR(VLOOKUP(B245,[1]Kundenübersicht!$E$4:$F$85,2,FALSE),"")</f>
        <v>Rosemarie Schröder</v>
      </c>
      <c r="AI245" s="17" t="str">
        <f t="shared" si="56"/>
        <v>Hauswirtschaft</v>
      </c>
      <c r="AJ245" s="17" t="str">
        <f t="shared" si="56"/>
        <v>Entlastungsleistung</v>
      </c>
      <c r="AL245" s="18">
        <f t="shared" si="53"/>
        <v>38</v>
      </c>
      <c r="AM245" s="18">
        <f t="shared" si="54"/>
        <v>57</v>
      </c>
      <c r="AN245" s="18">
        <f t="shared" si="55"/>
        <v>0</v>
      </c>
    </row>
    <row r="246" spans="2:40" x14ac:dyDescent="0.25">
      <c r="B246" s="30" t="s">
        <v>25</v>
      </c>
      <c r="C246" s="31">
        <v>45962</v>
      </c>
      <c r="D246" s="32">
        <v>0.375</v>
      </c>
      <c r="E246" s="32">
        <v>0.4375</v>
      </c>
      <c r="F246" s="12">
        <f t="shared" si="44"/>
        <v>1.5</v>
      </c>
      <c r="G246" s="12"/>
      <c r="H246" s="30" t="s">
        <v>26</v>
      </c>
      <c r="I246" s="30" t="s">
        <v>27</v>
      </c>
      <c r="J246" s="30" t="s">
        <v>28</v>
      </c>
      <c r="K246" s="9" t="str">
        <f>IFERROR(VLOOKUP($B246,[1]Kundenübersicht!$E$4:$AC$1003,MATCH(K$3,[1]Kundenübersicht!$E$3:$BA$3,FALSE),FALSE),"")</f>
        <v>Barmer Pflegekasse</v>
      </c>
      <c r="L246" s="13">
        <f>IFERROR(VLOOKUP(B246,[1]Kundenübersicht!$E$4:$AC$1003,MATCH(L$3,[1]Kundenübersicht!$E$3:$BA$3,FALSE),FALSE),"")</f>
        <v>184940005</v>
      </c>
      <c r="M246" s="13" t="str">
        <f>IFERROR(VLOOKUP(B246,[1]Kundenübersicht!$E$4:$AC$1003,MATCH(M$3,[1]Kundenübersicht!$E$3:$BA$3,FALSE),FALSE),"")</f>
        <v>Z817157321</v>
      </c>
      <c r="N246" s="13" t="str">
        <f>IFERROR(VLOOKUP(B246,[1]Kundenübersicht!$E$4:$AC$1003,MATCH(N$3,[1]Kundenübersicht!$E$3:$BA$3,FALSE),FALSE),"")</f>
        <v>PG 1</v>
      </c>
      <c r="P246" s="9" t="s">
        <v>29</v>
      </c>
      <c r="R246" s="9" t="str">
        <f t="shared" si="51"/>
        <v>Unterschrieben</v>
      </c>
      <c r="S246" s="14" t="s">
        <v>31</v>
      </c>
      <c r="U246" s="15">
        <f>IF(YEAR(C246)&lt;=2025,IFERROR(IF(I246="Hauswirtschaft",VLOOKUP($B246,[1]Kundenübersicht!$E$4:$BA$1003,MATCH("Hauswirtschaft [€/Stunde]",[1]Kundenübersicht!$E$3:$BA$3,FALSE),FALSE),VLOOKUP($B246,[1]Kundenübersicht!$E$4:$BA$1003,MATCH("Alltagsbegleitung [€/Stunde]",[1]Kundenübersicht!$E$3:$BA$3,FALSE),FALSE)),0),IFERROR(IF(I246="Hauswirtschaft",VLOOKUP($B246,[1]Kundenübersicht!$E$4:$BA$1003,MATCH("HW ab 2026 [€/Stunde]",[1]Kundenübersicht!$E$3:$BA$3,FALSE),FALSE),VLOOKUP($B246,[1]Kundenübersicht!$E$4:$BA$1003,MATCH("Alltagsbegleitung [€/Stunde]",[1]Kundenübersicht!$E$3:$BA$3,FALSE),FALSE)),0))</f>
        <v>32.75</v>
      </c>
      <c r="V246" s="16">
        <f t="shared" si="45"/>
        <v>49.125</v>
      </c>
      <c r="W246" s="16">
        <f t="shared" si="40"/>
        <v>0</v>
      </c>
      <c r="X246" s="16" t="str">
        <f>VLOOKUP(B246,[1]Kundenübersicht!E:AG,MATCH($X$3,[1]Kundenübersicht!$E$3:$AY$3,0),FALSE)</f>
        <v>Alt</v>
      </c>
      <c r="Z246" s="20" t="str">
        <f t="shared" si="52"/>
        <v>Ja</v>
      </c>
      <c r="AA246" s="19">
        <v>46057</v>
      </c>
      <c r="AC246" s="19"/>
      <c r="AE246" s="9">
        <f t="shared" si="46"/>
        <v>2025</v>
      </c>
      <c r="AF246" s="17" t="str">
        <f t="shared" si="47"/>
        <v>11.2025</v>
      </c>
      <c r="AG246" s="17" t="str">
        <f t="shared" si="48"/>
        <v>Celina Panther</v>
      </c>
      <c r="AH246" s="17" t="str">
        <f>IFERROR(VLOOKUP(B246,[1]Kundenübersicht!$E$4:$F$85,2,FALSE),"")</f>
        <v>Rosemarie Schröder</v>
      </c>
      <c r="AI246" s="17" t="str">
        <f t="shared" si="56"/>
        <v>Hauswirtschaft</v>
      </c>
      <c r="AJ246" s="17" t="str">
        <f t="shared" si="56"/>
        <v>Entlastungsleistung</v>
      </c>
      <c r="AL246" s="18">
        <f t="shared" si="53"/>
        <v>38</v>
      </c>
      <c r="AM246" s="18">
        <f t="shared" si="54"/>
        <v>57</v>
      </c>
      <c r="AN246" s="18">
        <f t="shared" si="55"/>
        <v>0</v>
      </c>
    </row>
    <row r="247" spans="2:40" x14ac:dyDescent="0.25">
      <c r="B247" s="30" t="s">
        <v>65</v>
      </c>
      <c r="C247" s="31">
        <v>45988</v>
      </c>
      <c r="D247" s="32">
        <v>0.54166666666666663</v>
      </c>
      <c r="E247" s="32">
        <v>0.60416666666666663</v>
      </c>
      <c r="F247" s="12">
        <f>(E247-D247)*24</f>
        <v>1.5</v>
      </c>
      <c r="G247" s="12">
        <v>8.3000000000000007</v>
      </c>
      <c r="H247" s="30" t="s">
        <v>77</v>
      </c>
      <c r="I247" s="30" t="s">
        <v>27</v>
      </c>
      <c r="J247" s="30" t="s">
        <v>28</v>
      </c>
      <c r="K247" s="9" t="str">
        <f>IFERROR(VLOOKUP($B247,[1]Kundenübersicht!$E$4:$AC$1003,MATCH(K$3,[1]Kundenübersicht!$E$3:$BA$3,FALSE),FALSE),"")</f>
        <v>IKK Südwest</v>
      </c>
      <c r="L247" s="13">
        <f>IFERROR(VLOOKUP(B247,[1]Kundenübersicht!$E$4:$AC$1003,MATCH(L$3,[1]Kundenübersicht!$E$3:$BA$3,FALSE),FALSE),"")</f>
        <v>109303301</v>
      </c>
      <c r="M247" s="13" t="str">
        <f>IFERROR(VLOOKUP(B247,[1]Kundenübersicht!$E$4:$AC$1003,MATCH(M$3,[1]Kundenübersicht!$E$3:$BA$3,FALSE),FALSE),"")</f>
        <v>Y341093341</v>
      </c>
      <c r="N247" s="13" t="str">
        <f>IFERROR(VLOOKUP(B247,[1]Kundenübersicht!$E$4:$AC$1003,MATCH(N$3,[1]Kundenübersicht!$E$3:$BA$3,FALSE),FALSE),"")</f>
        <v>PG 1</v>
      </c>
      <c r="P247" s="9" t="s">
        <v>29</v>
      </c>
      <c r="R247" s="9" t="str">
        <f t="shared" si="51"/>
        <v>Unterschrieben</v>
      </c>
      <c r="S247" s="14" t="s">
        <v>31</v>
      </c>
      <c r="U247" s="15">
        <f>IF(YEAR(C247)&lt;=2025,IFERROR(IF(I247="Hauswirtschaft",VLOOKUP($B247,[1]Kundenübersicht!$E$4:$BA$1003,MATCH("Hauswirtschaft [€/Stunde]",[1]Kundenübersicht!$E$3:$BA$3,FALSE),FALSE),VLOOKUP($B247,[1]Kundenübersicht!$E$4:$BA$1003,MATCH("Alltagsbegleitung [€/Stunde]",[1]Kundenübersicht!$E$3:$BA$3,FALSE),FALSE)),0),IFERROR(IF(I247="Hauswirtschaft",VLOOKUP($B247,[1]Kundenübersicht!$E$4:$BA$1003,MATCH("HW ab 2026 [€/Stunde]",[1]Kundenübersicht!$E$3:$BA$3,FALSE),FALSE),VLOOKUP($B247,[1]Kundenübersicht!$E$4:$BA$1003,MATCH("Alltagsbegleitung [€/Stunde]",[1]Kundenübersicht!$E$3:$BA$3,FALSE),FALSE)),0))</f>
        <v>38</v>
      </c>
      <c r="V247" s="16">
        <f>U247*F247</f>
        <v>57</v>
      </c>
      <c r="W247" s="16">
        <f t="shared" si="40"/>
        <v>2.9050000000000002</v>
      </c>
      <c r="X247" s="16" t="str">
        <f>VLOOKUP(B247,[1]Kundenübersicht!E:AG,MATCH($X$3,[1]Kundenübersicht!$E$3:$AY$3,0),FALSE)</f>
        <v>Neu</v>
      </c>
      <c r="Z247" s="20" t="str">
        <f t="shared" si="52"/>
        <v>Ja</v>
      </c>
      <c r="AA247" s="19">
        <v>46009</v>
      </c>
      <c r="AC247" s="19"/>
      <c r="AE247" s="9">
        <f t="shared" si="46"/>
        <v>2025</v>
      </c>
      <c r="AF247" s="17" t="str">
        <f t="shared" si="47"/>
        <v>11.2025</v>
      </c>
      <c r="AG247" s="17" t="str">
        <f t="shared" si="48"/>
        <v>Janet Klitzsch</v>
      </c>
      <c r="AH247" s="17" t="str">
        <f>IFERROR(VLOOKUP(B247,[1]Kundenübersicht!$E$4:$F$85,2,FALSE),"")</f>
        <v>Beate Konradt</v>
      </c>
      <c r="AI247" s="17" t="str">
        <f t="shared" si="56"/>
        <v>Hauswirtschaft</v>
      </c>
      <c r="AJ247" s="17" t="str">
        <f t="shared" si="56"/>
        <v>Entlastungsleistung</v>
      </c>
      <c r="AL247" s="18">
        <f t="shared" si="53"/>
        <v>38</v>
      </c>
      <c r="AM247" s="18">
        <f t="shared" si="54"/>
        <v>57</v>
      </c>
      <c r="AN247" s="18">
        <f t="shared" si="55"/>
        <v>2.9050000000000002</v>
      </c>
    </row>
    <row r="248" spans="2:40" x14ac:dyDescent="0.25">
      <c r="B248" s="30" t="s">
        <v>45</v>
      </c>
      <c r="C248" s="31">
        <v>45981</v>
      </c>
      <c r="D248" s="32">
        <v>0.64583333333333337</v>
      </c>
      <c r="E248" s="32">
        <v>0.70833333333333337</v>
      </c>
      <c r="F248" s="12">
        <f t="shared" ref="F248:F311" si="57">(E248-D248)*24</f>
        <v>1.5</v>
      </c>
      <c r="G248" s="12">
        <v>1</v>
      </c>
      <c r="H248" s="30" t="s">
        <v>77</v>
      </c>
      <c r="I248" s="30" t="s">
        <v>27</v>
      </c>
      <c r="J248" s="30" t="s">
        <v>28</v>
      </c>
      <c r="K248" s="28" t="s">
        <v>47</v>
      </c>
      <c r="L248" s="29">
        <v>109990508</v>
      </c>
      <c r="M248" s="29" t="s">
        <v>48</v>
      </c>
      <c r="N248" s="13" t="str">
        <f>IFERROR(VLOOKUP(B248,[1]Kundenübersicht!$E$4:$AC$1003,MATCH(N$3,[1]Kundenübersicht!$E$3:$BA$3,FALSE),FALSE),"")</f>
        <v>PG 1</v>
      </c>
      <c r="P248" s="9" t="s">
        <v>29</v>
      </c>
      <c r="R248" s="9" t="str">
        <f t="shared" si="51"/>
        <v>Unterschrieben</v>
      </c>
      <c r="S248" s="14" t="s">
        <v>31</v>
      </c>
      <c r="U248" s="15">
        <f>IF(YEAR(C248)&lt;=2025,IFERROR(IF(I248="Hauswirtschaft",VLOOKUP($B248,[1]Kundenübersicht!$E$4:$BA$1003,MATCH("Hauswirtschaft [€/Stunde]",[1]Kundenübersicht!$E$3:$BA$3,FALSE),FALSE),VLOOKUP($B248,[1]Kundenübersicht!$E$4:$BA$1003,MATCH("Alltagsbegleitung [€/Stunde]",[1]Kundenübersicht!$E$3:$BA$3,FALSE),FALSE)),0),IFERROR(IF(I248="Hauswirtschaft",VLOOKUP($B248,[1]Kundenübersicht!$E$4:$BA$1003,MATCH("HW ab 2026 [€/Stunde]",[1]Kundenübersicht!$E$3:$BA$3,FALSE),FALSE),VLOOKUP($B248,[1]Kundenübersicht!$E$4:$BA$1003,MATCH("Alltagsbegleitung [€/Stunde]",[1]Kundenübersicht!$E$3:$BA$3,FALSE),FALSE)),0))</f>
        <v>32.75</v>
      </c>
      <c r="V248" s="16">
        <f t="shared" ref="V248:V311" si="58">U248*F248</f>
        <v>49.125</v>
      </c>
      <c r="W248" s="16">
        <f t="shared" si="40"/>
        <v>0</v>
      </c>
      <c r="X248" s="16" t="str">
        <f>VLOOKUP(B248,[1]Kundenübersicht!E:AG,MATCH($X$3,[1]Kundenübersicht!$E$3:$AY$3,0),FALSE)</f>
        <v>Alt</v>
      </c>
      <c r="Z248" s="20" t="str">
        <f t="shared" si="52"/>
        <v>Ja</v>
      </c>
      <c r="AA248" s="19">
        <v>46009</v>
      </c>
      <c r="AC248" s="19">
        <v>45677</v>
      </c>
      <c r="AE248" s="9">
        <f t="shared" si="46"/>
        <v>2025</v>
      </c>
      <c r="AF248" s="17" t="str">
        <f t="shared" si="47"/>
        <v>11.2025</v>
      </c>
      <c r="AG248" s="17" t="str">
        <f t="shared" si="48"/>
        <v>Janet Klitzsch</v>
      </c>
      <c r="AH248" s="17" t="str">
        <f>IFERROR(VLOOKUP(B248,[1]Kundenübersicht!$E$4:$F$85,2,FALSE),"")</f>
        <v>Hella Reißig</v>
      </c>
      <c r="AI248" s="17" t="str">
        <f t="shared" si="56"/>
        <v>Hauswirtschaft</v>
      </c>
      <c r="AJ248" s="17" t="str">
        <f t="shared" si="56"/>
        <v>Entlastungsleistung</v>
      </c>
      <c r="AL248" s="18">
        <f t="shared" si="53"/>
        <v>38</v>
      </c>
      <c r="AM248" s="18">
        <f t="shared" si="54"/>
        <v>57</v>
      </c>
      <c r="AN248" s="18">
        <f t="shared" si="55"/>
        <v>0.35</v>
      </c>
    </row>
    <row r="249" spans="2:40" x14ac:dyDescent="0.25">
      <c r="B249" s="30" t="s">
        <v>45</v>
      </c>
      <c r="C249" s="31">
        <v>45988</v>
      </c>
      <c r="D249" s="32">
        <v>0.64583333333333337</v>
      </c>
      <c r="E249" s="32">
        <v>0.70833333333333337</v>
      </c>
      <c r="F249" s="12">
        <f t="shared" si="57"/>
        <v>1.5</v>
      </c>
      <c r="G249" s="12">
        <v>10</v>
      </c>
      <c r="H249" s="30" t="s">
        <v>77</v>
      </c>
      <c r="I249" s="30" t="s">
        <v>27</v>
      </c>
      <c r="J249" s="30" t="s">
        <v>28</v>
      </c>
      <c r="K249" s="28" t="s">
        <v>47</v>
      </c>
      <c r="L249" s="29">
        <v>109990508</v>
      </c>
      <c r="M249" s="29" t="s">
        <v>48</v>
      </c>
      <c r="N249" s="13" t="str">
        <f>IFERROR(VLOOKUP(B249,[1]Kundenübersicht!$E$4:$AC$1003,MATCH(N$3,[1]Kundenübersicht!$E$3:$BA$3,FALSE),FALSE),"")</f>
        <v>PG 1</v>
      </c>
      <c r="P249" s="9" t="s">
        <v>29</v>
      </c>
      <c r="R249" s="9" t="str">
        <f t="shared" si="51"/>
        <v>Unterschrieben</v>
      </c>
      <c r="S249" s="14" t="s">
        <v>31</v>
      </c>
      <c r="U249" s="15">
        <f>IF(YEAR(C249)&lt;=2025,IFERROR(IF(I249="Hauswirtschaft",VLOOKUP($B249,[1]Kundenübersicht!$E$4:$BA$1003,MATCH("Hauswirtschaft [€/Stunde]",[1]Kundenübersicht!$E$3:$BA$3,FALSE),FALSE),VLOOKUP($B249,[1]Kundenübersicht!$E$4:$BA$1003,MATCH("Alltagsbegleitung [€/Stunde]",[1]Kundenübersicht!$E$3:$BA$3,FALSE),FALSE)),0),IFERROR(IF(I249="Hauswirtschaft",VLOOKUP($B249,[1]Kundenübersicht!$E$4:$BA$1003,MATCH("HW ab 2026 [€/Stunde]",[1]Kundenübersicht!$E$3:$BA$3,FALSE),FALSE),VLOOKUP($B249,[1]Kundenübersicht!$E$4:$BA$1003,MATCH("Alltagsbegleitung [€/Stunde]",[1]Kundenübersicht!$E$3:$BA$3,FALSE),FALSE)),0))</f>
        <v>32.75</v>
      </c>
      <c r="V249" s="16">
        <f t="shared" si="58"/>
        <v>49.125</v>
      </c>
      <c r="W249" s="16">
        <f t="shared" si="40"/>
        <v>0</v>
      </c>
      <c r="X249" s="16" t="str">
        <f>VLOOKUP(B249,[1]Kundenübersicht!E:AG,MATCH($X$3,[1]Kundenübersicht!$E$3:$AY$3,0),FALSE)</f>
        <v>Alt</v>
      </c>
      <c r="Z249" s="20" t="str">
        <f t="shared" si="52"/>
        <v>Ja</v>
      </c>
      <c r="AA249" s="19">
        <v>46009</v>
      </c>
      <c r="AC249" s="19">
        <v>45677</v>
      </c>
      <c r="AE249" s="9">
        <f t="shared" si="46"/>
        <v>2025</v>
      </c>
      <c r="AF249" s="17" t="str">
        <f t="shared" si="47"/>
        <v>11.2025</v>
      </c>
      <c r="AG249" s="17" t="str">
        <f t="shared" si="48"/>
        <v>Janet Klitzsch</v>
      </c>
      <c r="AH249" s="17" t="str">
        <f>IFERROR(VLOOKUP(B249,[1]Kundenübersicht!$E$4:$F$85,2,FALSE),"")</f>
        <v>Hella Reißig</v>
      </c>
      <c r="AI249" s="17" t="str">
        <f t="shared" si="56"/>
        <v>Hauswirtschaft</v>
      </c>
      <c r="AJ249" s="17" t="str">
        <f t="shared" si="56"/>
        <v>Entlastungsleistung</v>
      </c>
      <c r="AL249" s="18">
        <f t="shared" si="53"/>
        <v>38</v>
      </c>
      <c r="AM249" s="18">
        <f t="shared" si="54"/>
        <v>57</v>
      </c>
      <c r="AN249" s="18">
        <f t="shared" si="55"/>
        <v>3.5</v>
      </c>
    </row>
    <row r="250" spans="2:40" x14ac:dyDescent="0.25">
      <c r="B250" s="30" t="s">
        <v>78</v>
      </c>
      <c r="C250" s="31">
        <v>45982</v>
      </c>
      <c r="D250" s="32">
        <v>0.58333333333333337</v>
      </c>
      <c r="E250" s="32">
        <v>0.64583333333333337</v>
      </c>
      <c r="F250" s="12">
        <f t="shared" si="57"/>
        <v>1.5</v>
      </c>
      <c r="G250" s="12">
        <v>6.4</v>
      </c>
      <c r="H250" s="30" t="s">
        <v>77</v>
      </c>
      <c r="I250" s="30" t="s">
        <v>27</v>
      </c>
      <c r="J250" s="30" t="s">
        <v>28</v>
      </c>
      <c r="K250" s="9" t="str">
        <f>IFERROR(VLOOKUP($B250,[1]Kundenübersicht!$E$4:$AC$1003,MATCH(K$3,[1]Kundenübersicht!$E$3:$BA$3,FALSE),FALSE),"")</f>
        <v>AOK PLUS</v>
      </c>
      <c r="L250" s="13">
        <f>IFERROR(VLOOKUP(B250,[1]Kundenübersicht!$E$4:$AC$1003,MATCH(L$3,[1]Kundenübersicht!$E$3:$BA$3,FALSE),FALSE),"")</f>
        <v>107299005</v>
      </c>
      <c r="M250" s="13" t="str">
        <f>IFERROR(VLOOKUP(B250,[1]Kundenübersicht!$E$4:$AC$1003,MATCH(M$3,[1]Kundenübersicht!$E$3:$BA$3,FALSE),FALSE),"")</f>
        <v>H973915536</v>
      </c>
      <c r="N250" s="13" t="str">
        <f>IFERROR(VLOOKUP(B250,[1]Kundenübersicht!$E$4:$AC$1003,MATCH(N$3,[1]Kundenübersicht!$E$3:$BA$3,FALSE),FALSE),"")</f>
        <v>PG 2</v>
      </c>
      <c r="P250" s="9" t="s">
        <v>29</v>
      </c>
      <c r="R250" s="9" t="str">
        <f t="shared" si="51"/>
        <v>Unterschrieben</v>
      </c>
      <c r="S250" s="14" t="s">
        <v>31</v>
      </c>
      <c r="U250" s="15">
        <f>IF(YEAR(C250)&lt;=2025,IFERROR(IF(I250="Hauswirtschaft",VLOOKUP($B250,[1]Kundenübersicht!$E$4:$BA$1003,MATCH("Hauswirtschaft [€/Stunde]",[1]Kundenübersicht!$E$3:$BA$3,FALSE),FALSE),VLOOKUP($B250,[1]Kundenübersicht!$E$4:$BA$1003,MATCH("Alltagsbegleitung [€/Stunde]",[1]Kundenübersicht!$E$3:$BA$3,FALSE),FALSE)),0),IFERROR(IF(I250="Hauswirtschaft",VLOOKUP($B250,[1]Kundenübersicht!$E$4:$BA$1003,MATCH("HW ab 2026 [€/Stunde]",[1]Kundenübersicht!$E$3:$BA$3,FALSE),FALSE),VLOOKUP($B250,[1]Kundenübersicht!$E$4:$BA$1003,MATCH("Alltagsbegleitung [€/Stunde]",[1]Kundenübersicht!$E$3:$BA$3,FALSE),FALSE)),0))</f>
        <v>38</v>
      </c>
      <c r="V250" s="16">
        <f t="shared" si="58"/>
        <v>57</v>
      </c>
      <c r="W250" s="16">
        <f t="shared" si="40"/>
        <v>2.2399999999999998</v>
      </c>
      <c r="X250" s="16" t="str">
        <f>VLOOKUP(B250,[1]Kundenübersicht!E:AG,MATCH($X$3,[1]Kundenübersicht!$E$3:$AY$3,0),FALSE)</f>
        <v>Neu</v>
      </c>
      <c r="Z250" s="20" t="str">
        <f t="shared" si="52"/>
        <v>Ja</v>
      </c>
      <c r="AA250" s="19">
        <v>46009</v>
      </c>
      <c r="AC250" s="19">
        <v>46045</v>
      </c>
      <c r="AE250" s="9">
        <f t="shared" si="46"/>
        <v>2025</v>
      </c>
      <c r="AF250" s="17" t="str">
        <f t="shared" si="47"/>
        <v>11.2025</v>
      </c>
      <c r="AG250" s="17" t="str">
        <f t="shared" si="48"/>
        <v>Janet Klitzsch</v>
      </c>
      <c r="AH250" s="17" t="str">
        <f>IFERROR(VLOOKUP(B250,[1]Kundenübersicht!$E$4:$F$85,2,FALSE),"")</f>
        <v>Gunnar Schenke</v>
      </c>
      <c r="AI250" s="17" t="str">
        <f t="shared" si="56"/>
        <v>Hauswirtschaft</v>
      </c>
      <c r="AJ250" s="17" t="str">
        <f t="shared" si="56"/>
        <v>Entlastungsleistung</v>
      </c>
      <c r="AL250" s="18">
        <f t="shared" si="53"/>
        <v>38</v>
      </c>
      <c r="AM250" s="18">
        <f t="shared" si="54"/>
        <v>57</v>
      </c>
      <c r="AN250" s="18">
        <f t="shared" si="55"/>
        <v>2.2399999999999998</v>
      </c>
    </row>
    <row r="251" spans="2:40" x14ac:dyDescent="0.25">
      <c r="B251" s="30" t="s">
        <v>78</v>
      </c>
      <c r="C251" s="31">
        <v>45987</v>
      </c>
      <c r="D251" s="32">
        <v>0.625</v>
      </c>
      <c r="E251" s="32">
        <v>0.6875</v>
      </c>
      <c r="F251" s="12">
        <f t="shared" si="57"/>
        <v>1.5</v>
      </c>
      <c r="G251" s="12">
        <v>6.4</v>
      </c>
      <c r="H251" s="30" t="s">
        <v>77</v>
      </c>
      <c r="I251" s="30" t="s">
        <v>27</v>
      </c>
      <c r="J251" s="30" t="s">
        <v>28</v>
      </c>
      <c r="K251" s="9" t="str">
        <f>IFERROR(VLOOKUP($B251,[1]Kundenübersicht!$E$4:$AC$1003,MATCH(K$3,[1]Kundenübersicht!$E$3:$BA$3,FALSE),FALSE),"")</f>
        <v>AOK PLUS</v>
      </c>
      <c r="L251" s="13">
        <f>IFERROR(VLOOKUP(B251,[1]Kundenübersicht!$E$4:$AC$1003,MATCH(L$3,[1]Kundenübersicht!$E$3:$BA$3,FALSE),FALSE),"")</f>
        <v>107299005</v>
      </c>
      <c r="M251" s="13" t="str">
        <f>IFERROR(VLOOKUP(B251,[1]Kundenübersicht!$E$4:$AC$1003,MATCH(M$3,[1]Kundenübersicht!$E$3:$BA$3,FALSE),FALSE),"")</f>
        <v>H973915536</v>
      </c>
      <c r="N251" s="13" t="str">
        <f>IFERROR(VLOOKUP(B251,[1]Kundenübersicht!$E$4:$AC$1003,MATCH(N$3,[1]Kundenübersicht!$E$3:$BA$3,FALSE),FALSE),"")</f>
        <v>PG 2</v>
      </c>
      <c r="P251" s="9" t="s">
        <v>29</v>
      </c>
      <c r="R251" s="9" t="str">
        <f t="shared" si="51"/>
        <v>Unterschrieben</v>
      </c>
      <c r="S251" s="14" t="s">
        <v>31</v>
      </c>
      <c r="U251" s="15">
        <f>IF(YEAR(C251)&lt;=2025,IFERROR(IF(I251="Hauswirtschaft",VLOOKUP($B251,[1]Kundenübersicht!$E$4:$BA$1003,MATCH("Hauswirtschaft [€/Stunde]",[1]Kundenübersicht!$E$3:$BA$3,FALSE),FALSE),VLOOKUP($B251,[1]Kundenübersicht!$E$4:$BA$1003,MATCH("Alltagsbegleitung [€/Stunde]",[1]Kundenübersicht!$E$3:$BA$3,FALSE),FALSE)),0),IFERROR(IF(I251="Hauswirtschaft",VLOOKUP($B251,[1]Kundenübersicht!$E$4:$BA$1003,MATCH("HW ab 2026 [€/Stunde]",[1]Kundenübersicht!$E$3:$BA$3,FALSE),FALSE),VLOOKUP($B251,[1]Kundenübersicht!$E$4:$BA$1003,MATCH("Alltagsbegleitung [€/Stunde]",[1]Kundenübersicht!$E$3:$BA$3,FALSE),FALSE)),0))</f>
        <v>38</v>
      </c>
      <c r="V251" s="16">
        <f t="shared" si="58"/>
        <v>57</v>
      </c>
      <c r="W251" s="16">
        <f t="shared" si="40"/>
        <v>2.2399999999999998</v>
      </c>
      <c r="X251" s="16" t="str">
        <f>VLOOKUP(B251,[1]Kundenübersicht!E:AG,MATCH($X$3,[1]Kundenübersicht!$E$3:$AY$3,0),FALSE)</f>
        <v>Neu</v>
      </c>
      <c r="Z251" s="20" t="str">
        <f t="shared" si="52"/>
        <v>Ja</v>
      </c>
      <c r="AA251" s="19">
        <v>46009</v>
      </c>
      <c r="AC251" s="19">
        <v>46045</v>
      </c>
      <c r="AE251" s="9">
        <f t="shared" si="46"/>
        <v>2025</v>
      </c>
      <c r="AF251" s="17" t="str">
        <f t="shared" si="47"/>
        <v>11.2025</v>
      </c>
      <c r="AG251" s="17" t="str">
        <f t="shared" si="48"/>
        <v>Janet Klitzsch</v>
      </c>
      <c r="AH251" s="17" t="str">
        <f>IFERROR(VLOOKUP(B251,[1]Kundenübersicht!$E$4:$F$85,2,FALSE),"")</f>
        <v>Gunnar Schenke</v>
      </c>
      <c r="AI251" s="17" t="str">
        <f t="shared" si="56"/>
        <v>Hauswirtschaft</v>
      </c>
      <c r="AJ251" s="17" t="str">
        <f t="shared" si="56"/>
        <v>Entlastungsleistung</v>
      </c>
      <c r="AL251" s="18">
        <f t="shared" si="53"/>
        <v>38</v>
      </c>
      <c r="AM251" s="18">
        <f t="shared" si="54"/>
        <v>57</v>
      </c>
      <c r="AN251" s="18">
        <f t="shared" si="55"/>
        <v>2.2399999999999998</v>
      </c>
    </row>
    <row r="252" spans="2:40" x14ac:dyDescent="0.25">
      <c r="B252" s="30" t="s">
        <v>79</v>
      </c>
      <c r="C252" s="31">
        <v>45986</v>
      </c>
      <c r="D252" s="32">
        <v>0.625</v>
      </c>
      <c r="E252" s="32">
        <v>0.66666666666666663</v>
      </c>
      <c r="F252" s="12">
        <f t="shared" si="57"/>
        <v>0.99999999999999911</v>
      </c>
      <c r="G252" s="12">
        <v>2.4</v>
      </c>
      <c r="H252" s="30" t="s">
        <v>77</v>
      </c>
      <c r="I252" s="30" t="s">
        <v>27</v>
      </c>
      <c r="J252" s="30" t="s">
        <v>28</v>
      </c>
      <c r="K252" s="9" t="str">
        <f>IFERROR(VLOOKUP($B252,[1]Kundenübersicht!$E$4:$AC$1003,MATCH(K$3,[1]Kundenübersicht!$E$3:$BA$3,FALSE),FALSE),"")</f>
        <v>AOK PLUS</v>
      </c>
      <c r="L252" s="13">
        <f>IFERROR(VLOOKUP(B252,[1]Kundenübersicht!$E$4:$AC$1003,MATCH(L$3,[1]Kundenübersicht!$E$3:$BA$3,FALSE),FALSE),"")</f>
        <v>107299005</v>
      </c>
      <c r="M252" s="13" t="str">
        <f>IFERROR(VLOOKUP(B252,[1]Kundenübersicht!$E$4:$AC$1003,MATCH(M$3,[1]Kundenübersicht!$E$3:$BA$3,FALSE),FALSE),"")</f>
        <v>Z531781988</v>
      </c>
      <c r="N252" s="13" t="str">
        <f>IFERROR(VLOOKUP(B252,[1]Kundenübersicht!$E$4:$AC$1003,MATCH(N$3,[1]Kundenübersicht!$E$3:$BA$3,FALSE),FALSE),"")</f>
        <v>PG 1</v>
      </c>
      <c r="P252" s="9" t="s">
        <v>29</v>
      </c>
      <c r="R252" s="9" t="str">
        <f t="shared" si="51"/>
        <v>Unterschrieben</v>
      </c>
      <c r="S252" s="14" t="s">
        <v>31</v>
      </c>
      <c r="U252" s="15">
        <f>IF(YEAR(C252)&lt;=2025,IFERROR(IF(I252="Hauswirtschaft",VLOOKUP($B252,[1]Kundenübersicht!$E$4:$BA$1003,MATCH("Hauswirtschaft [€/Stunde]",[1]Kundenübersicht!$E$3:$BA$3,FALSE),FALSE),VLOOKUP($B252,[1]Kundenübersicht!$E$4:$BA$1003,MATCH("Alltagsbegleitung [€/Stunde]",[1]Kundenübersicht!$E$3:$BA$3,FALSE),FALSE)),0),IFERROR(IF(I252="Hauswirtschaft",VLOOKUP($B252,[1]Kundenübersicht!$E$4:$BA$1003,MATCH("HW ab 2026 [€/Stunde]",[1]Kundenübersicht!$E$3:$BA$3,FALSE),FALSE),VLOOKUP($B252,[1]Kundenübersicht!$E$4:$BA$1003,MATCH("Alltagsbegleitung [€/Stunde]",[1]Kundenübersicht!$E$3:$BA$3,FALSE),FALSE)),0))</f>
        <v>38</v>
      </c>
      <c r="V252" s="16">
        <f t="shared" si="58"/>
        <v>37.999999999999964</v>
      </c>
      <c r="W252" s="16">
        <f t="shared" si="40"/>
        <v>0.84</v>
      </c>
      <c r="X252" s="16" t="str">
        <f>VLOOKUP(B252,[1]Kundenübersicht!E:AG,MATCH($X$3,[1]Kundenübersicht!$E$3:$AY$3,0),FALSE)</f>
        <v>Neu</v>
      </c>
      <c r="Z252" s="20" t="str">
        <f t="shared" si="52"/>
        <v>Ja</v>
      </c>
      <c r="AA252" s="19">
        <v>46009</v>
      </c>
      <c r="AC252" s="19">
        <v>46045</v>
      </c>
      <c r="AE252" s="9">
        <f t="shared" si="46"/>
        <v>2025</v>
      </c>
      <c r="AF252" s="17" t="str">
        <f t="shared" si="47"/>
        <v>11.2025</v>
      </c>
      <c r="AG252" s="17" t="str">
        <f t="shared" si="48"/>
        <v>Janet Klitzsch</v>
      </c>
      <c r="AH252" s="17" t="str">
        <f>IFERROR(VLOOKUP(B252,[1]Kundenübersicht!$E$4:$F$85,2,FALSE),"")</f>
        <v>Lianne Kröher</v>
      </c>
      <c r="AI252" s="17" t="str">
        <f t="shared" si="56"/>
        <v>Hauswirtschaft</v>
      </c>
      <c r="AJ252" s="17" t="str">
        <f t="shared" si="56"/>
        <v>Entlastungsleistung</v>
      </c>
      <c r="AL252" s="18">
        <f t="shared" si="53"/>
        <v>38</v>
      </c>
      <c r="AM252" s="18">
        <f t="shared" si="54"/>
        <v>37.999999999999964</v>
      </c>
      <c r="AN252" s="18">
        <f t="shared" si="55"/>
        <v>0.84</v>
      </c>
    </row>
    <row r="253" spans="2:40" x14ac:dyDescent="0.25">
      <c r="B253" s="30" t="s">
        <v>49</v>
      </c>
      <c r="C253" s="31">
        <v>45981</v>
      </c>
      <c r="D253" s="32">
        <v>0.60416666666666663</v>
      </c>
      <c r="E253" s="32">
        <v>0.64583333333333337</v>
      </c>
      <c r="F253" s="12">
        <f t="shared" si="57"/>
        <v>1.0000000000000018</v>
      </c>
      <c r="G253" s="12">
        <v>4.3</v>
      </c>
      <c r="H253" s="30" t="s">
        <v>77</v>
      </c>
      <c r="I253" s="30" t="s">
        <v>27</v>
      </c>
      <c r="J253" s="30" t="s">
        <v>28</v>
      </c>
      <c r="K253" s="9" t="str">
        <f>IFERROR(VLOOKUP($B253,[1]Kundenübersicht!$E$4:$AC$1003,MATCH(K$3,[1]Kundenübersicht!$E$3:$BA$3,FALSE),FALSE),"")</f>
        <v>AOK PLUS</v>
      </c>
      <c r="L253" s="13">
        <f>IFERROR(VLOOKUP(B253,[1]Kundenübersicht!$E$4:$AC$1003,MATCH(L$3,[1]Kundenübersicht!$E$3:$BA$3,FALSE),FALSE),"")</f>
        <v>107299005</v>
      </c>
      <c r="M253" s="13" t="str">
        <f>IFERROR(VLOOKUP(B253,[1]Kundenübersicht!$E$4:$AC$1003,MATCH(M$3,[1]Kundenübersicht!$E$3:$BA$3,FALSE),FALSE),"")</f>
        <v>T309560658</v>
      </c>
      <c r="N253" s="13" t="str">
        <f>IFERROR(VLOOKUP(B253,[1]Kundenübersicht!$E$4:$AC$1003,MATCH(N$3,[1]Kundenübersicht!$E$3:$BA$3,FALSE),FALSE),"")</f>
        <v>PG 2</v>
      </c>
      <c r="P253" s="9" t="s">
        <v>29</v>
      </c>
      <c r="R253" s="9" t="str">
        <f t="shared" si="51"/>
        <v>Unterschrieben</v>
      </c>
      <c r="S253" s="14" t="s">
        <v>31</v>
      </c>
      <c r="U253" s="15">
        <f>IF(YEAR(C253)&lt;=2025,IFERROR(IF(I253="Hauswirtschaft",VLOOKUP($B253,[1]Kundenübersicht!$E$4:$BA$1003,MATCH("Hauswirtschaft [€/Stunde]",[1]Kundenübersicht!$E$3:$BA$3,FALSE),FALSE),VLOOKUP($B253,[1]Kundenübersicht!$E$4:$BA$1003,MATCH("Alltagsbegleitung [€/Stunde]",[1]Kundenübersicht!$E$3:$BA$3,FALSE),FALSE)),0),IFERROR(IF(I253="Hauswirtschaft",VLOOKUP($B253,[1]Kundenübersicht!$E$4:$BA$1003,MATCH("HW ab 2026 [€/Stunde]",[1]Kundenübersicht!$E$3:$BA$3,FALSE),FALSE),VLOOKUP($B253,[1]Kundenübersicht!$E$4:$BA$1003,MATCH("Alltagsbegleitung [€/Stunde]",[1]Kundenübersicht!$E$3:$BA$3,FALSE),FALSE)),0))</f>
        <v>32.75</v>
      </c>
      <c r="V253" s="16">
        <f t="shared" si="58"/>
        <v>32.750000000000057</v>
      </c>
      <c r="W253" s="16">
        <f t="shared" si="40"/>
        <v>0</v>
      </c>
      <c r="X253" s="16" t="str">
        <f>VLOOKUP(B253,[1]Kundenübersicht!E:AG,MATCH($X$3,[1]Kundenübersicht!$E$3:$AY$3,0),FALSE)</f>
        <v>Alt</v>
      </c>
      <c r="Z253" s="20" t="str">
        <f t="shared" si="52"/>
        <v>Ja</v>
      </c>
      <c r="AA253" s="19">
        <v>46009</v>
      </c>
      <c r="AC253" s="19">
        <v>46045</v>
      </c>
      <c r="AE253" s="9">
        <f t="shared" si="46"/>
        <v>2025</v>
      </c>
      <c r="AF253" s="17" t="str">
        <f t="shared" si="47"/>
        <v>11.2025</v>
      </c>
      <c r="AG253" s="17" t="str">
        <f t="shared" si="48"/>
        <v>Janet Klitzsch</v>
      </c>
      <c r="AH253" s="17" t="str">
        <f>IFERROR(VLOOKUP(B253,[1]Kundenübersicht!$E$4:$F$85,2,FALSE),"")</f>
        <v>Rita Neubert</v>
      </c>
      <c r="AI253" s="17" t="str">
        <f t="shared" si="56"/>
        <v>Hauswirtschaft</v>
      </c>
      <c r="AJ253" s="17" t="str">
        <f t="shared" si="56"/>
        <v>Entlastungsleistung</v>
      </c>
      <c r="AL253" s="18">
        <f t="shared" si="53"/>
        <v>38</v>
      </c>
      <c r="AM253" s="18">
        <f t="shared" si="54"/>
        <v>38.000000000000071</v>
      </c>
      <c r="AN253" s="18">
        <f t="shared" si="55"/>
        <v>1.5049999999999999</v>
      </c>
    </row>
    <row r="254" spans="2:40" x14ac:dyDescent="0.25">
      <c r="B254" s="30" t="s">
        <v>80</v>
      </c>
      <c r="C254" s="31">
        <v>45988</v>
      </c>
      <c r="D254" s="32">
        <v>0.375</v>
      </c>
      <c r="E254" s="32">
        <v>0.4375</v>
      </c>
      <c r="F254" s="12">
        <f t="shared" si="57"/>
        <v>1.5</v>
      </c>
      <c r="G254" s="12">
        <v>1.7</v>
      </c>
      <c r="H254" s="30" t="s">
        <v>33</v>
      </c>
      <c r="I254" s="30" t="s">
        <v>27</v>
      </c>
      <c r="J254" s="30" t="s">
        <v>28</v>
      </c>
      <c r="K254" s="9" t="str">
        <f>IFERROR(VLOOKUP($B254,[1]Kundenübersicht!$E$4:$AC$1003,MATCH(K$3,[1]Kundenübersicht!$E$3:$BA$3,FALSE),FALSE),"")</f>
        <v>AOK PLUS</v>
      </c>
      <c r="L254" s="13">
        <f>IFERROR(VLOOKUP(B254,[1]Kundenübersicht!$E$4:$AC$1003,MATCH(L$3,[1]Kundenübersicht!$E$3:$BA$3,FALSE),FALSE),"")</f>
        <v>107299005</v>
      </c>
      <c r="M254" s="13" t="str">
        <f>IFERROR(VLOOKUP(B254,[1]Kundenübersicht!$E$4:$AC$1003,MATCH(M$3,[1]Kundenübersicht!$E$3:$BA$3,FALSE),FALSE),"")</f>
        <v>F566086642</v>
      </c>
      <c r="N254" s="13" t="str">
        <f>IFERROR(VLOOKUP(B254,[1]Kundenübersicht!$E$4:$AC$1003,MATCH(N$3,[1]Kundenübersicht!$E$3:$BA$3,FALSE),FALSE),"")</f>
        <v>PG 2</v>
      </c>
      <c r="P254" s="9" t="s">
        <v>29</v>
      </c>
      <c r="R254" s="9" t="str">
        <f t="shared" si="51"/>
        <v>Unterschrieben</v>
      </c>
      <c r="S254" s="14" t="s">
        <v>31</v>
      </c>
      <c r="U254" s="15">
        <f>IF(YEAR(C254)&lt;=2025,IFERROR(IF(I254="Hauswirtschaft",VLOOKUP($B254,[1]Kundenübersicht!$E$4:$BA$1003,MATCH("Hauswirtschaft [€/Stunde]",[1]Kundenübersicht!$E$3:$BA$3,FALSE),FALSE),VLOOKUP($B254,[1]Kundenübersicht!$E$4:$BA$1003,MATCH("Alltagsbegleitung [€/Stunde]",[1]Kundenübersicht!$E$3:$BA$3,FALSE),FALSE)),0),IFERROR(IF(I254="Hauswirtschaft",VLOOKUP($B254,[1]Kundenübersicht!$E$4:$BA$1003,MATCH("HW ab 2026 [€/Stunde]",[1]Kundenübersicht!$E$3:$BA$3,FALSE),FALSE),VLOOKUP($B254,[1]Kundenübersicht!$E$4:$BA$1003,MATCH("Alltagsbegleitung [€/Stunde]",[1]Kundenübersicht!$E$3:$BA$3,FALSE),FALSE)),0))</f>
        <v>38</v>
      </c>
      <c r="V254" s="16">
        <f t="shared" si="58"/>
        <v>57</v>
      </c>
      <c r="W254" s="16">
        <f t="shared" si="40"/>
        <v>0.59499999999999997</v>
      </c>
      <c r="X254" s="16" t="str">
        <f>VLOOKUP(B254,[1]Kundenübersicht!E:AG,MATCH($X$3,[1]Kundenübersicht!$E$3:$AY$3,0),FALSE)</f>
        <v>Neu</v>
      </c>
      <c r="Z254" s="20" t="str">
        <f t="shared" si="52"/>
        <v>Ja</v>
      </c>
      <c r="AA254" s="19">
        <v>46009</v>
      </c>
      <c r="AC254" s="19">
        <v>46045</v>
      </c>
      <c r="AE254" s="9">
        <f t="shared" si="46"/>
        <v>2025</v>
      </c>
      <c r="AF254" s="17" t="str">
        <f t="shared" si="47"/>
        <v>11.2025</v>
      </c>
      <c r="AG254" s="17" t="str">
        <f t="shared" si="48"/>
        <v>Christiane Fiebag</v>
      </c>
      <c r="AH254" s="17" t="str">
        <f>IFERROR(VLOOKUP(B254,[1]Kundenübersicht!$E$4:$F$85,2,FALSE),"")</f>
        <v>Helly Wuchrer</v>
      </c>
      <c r="AI254" s="17" t="str">
        <f t="shared" si="56"/>
        <v>Hauswirtschaft</v>
      </c>
      <c r="AJ254" s="17" t="str">
        <f t="shared" si="56"/>
        <v>Entlastungsleistung</v>
      </c>
      <c r="AL254" s="18">
        <f t="shared" si="53"/>
        <v>38</v>
      </c>
      <c r="AM254" s="18">
        <f t="shared" si="54"/>
        <v>57</v>
      </c>
      <c r="AN254" s="18">
        <f t="shared" si="55"/>
        <v>0.59499999999999997</v>
      </c>
    </row>
    <row r="255" spans="2:40" x14ac:dyDescent="0.25">
      <c r="B255" s="30" t="s">
        <v>44</v>
      </c>
      <c r="C255" s="31">
        <v>45971</v>
      </c>
      <c r="D255" s="32">
        <v>0.55208333333333337</v>
      </c>
      <c r="E255" s="32">
        <v>0.61458333333333337</v>
      </c>
      <c r="F255" s="12">
        <f>(E255-D255)*24</f>
        <v>1.5</v>
      </c>
      <c r="G255" s="12">
        <v>5.8</v>
      </c>
      <c r="H255" s="30" t="s">
        <v>33</v>
      </c>
      <c r="I255" s="30" t="s">
        <v>27</v>
      </c>
      <c r="J255" s="30" t="s">
        <v>28</v>
      </c>
      <c r="K255" s="9" t="str">
        <f>IFERROR(VLOOKUP($B255,[1]Kundenübersicht!$E$4:$AC$1003,MATCH(K$3,[1]Kundenübersicht!$E$3:$BA$3,FALSE),FALSE),"")</f>
        <v>Barmer Pflegekasse</v>
      </c>
      <c r="L255" s="13">
        <f>IFERROR(VLOOKUP(B255,[1]Kundenübersicht!$E$4:$AC$1003,MATCH(L$3,[1]Kundenübersicht!$E$3:$BA$3,FALSE),FALSE),"")</f>
        <v>184940005</v>
      </c>
      <c r="M255" s="13" t="str">
        <f>IFERROR(VLOOKUP(B255,[1]Kundenübersicht!$E$4:$AC$1003,MATCH(M$3,[1]Kundenübersicht!$E$3:$BA$3,FALSE),FALSE),"")</f>
        <v>Y800652371</v>
      </c>
      <c r="N255" s="13" t="str">
        <f>IFERROR(VLOOKUP(B255,[1]Kundenübersicht!$E$4:$AC$1003,MATCH(N$3,[1]Kundenübersicht!$E$3:$BA$3,FALSE),FALSE),"")</f>
        <v>PG 1</v>
      </c>
      <c r="P255" s="9" t="s">
        <v>29</v>
      </c>
      <c r="R255" s="9" t="str">
        <f>IF(S255="Link","Unterschrieben","Fehlt")</f>
        <v>Unterschrieben</v>
      </c>
      <c r="S255" s="14" t="s">
        <v>31</v>
      </c>
      <c r="U255" s="15">
        <f>IF(YEAR(C255)&lt;=2025,IFERROR(IF(I255="Hauswirtschaft",VLOOKUP($B255,[1]Kundenübersicht!$E$4:$BA$1003,MATCH("Hauswirtschaft [€/Stunde]",[1]Kundenübersicht!$E$3:$BA$3,FALSE),FALSE),VLOOKUP($B255,[1]Kundenübersicht!$E$4:$BA$1003,MATCH("Alltagsbegleitung [€/Stunde]",[1]Kundenübersicht!$E$3:$BA$3,FALSE),FALSE)),0),IFERROR(IF(I255="Hauswirtschaft",VLOOKUP($B255,[1]Kundenübersicht!$E$4:$BA$1003,MATCH("HW ab 2026 [€/Stunde]",[1]Kundenübersicht!$E$3:$BA$3,FALSE),FALSE),VLOOKUP($B255,[1]Kundenübersicht!$E$4:$BA$1003,MATCH("Alltagsbegleitung [€/Stunde]",[1]Kundenübersicht!$E$3:$BA$3,FALSE),FALSE)),0))</f>
        <v>32.75</v>
      </c>
      <c r="V255" s="16">
        <f>U255*F255</f>
        <v>49.125</v>
      </c>
      <c r="W255" s="16">
        <f>IF(AND(YEAR(C255)&lt;=2025,X255="Alt"),0,G255*0.35)</f>
        <v>0</v>
      </c>
      <c r="X255" s="16" t="str">
        <f>VLOOKUP(B255,[1]Kundenübersicht!E:AG,MATCH($X$3,[1]Kundenübersicht!$E$3:$AY$3,0),FALSE)</f>
        <v>Alt</v>
      </c>
      <c r="Z255" s="20" t="str">
        <f>IF(AA255&lt;&gt;"","Ja","Nein")</f>
        <v>Ja</v>
      </c>
      <c r="AA255" s="19">
        <v>46009</v>
      </c>
      <c r="AC255" s="19">
        <v>46031</v>
      </c>
      <c r="AE255" s="9">
        <f>YEAR(C255)</f>
        <v>2025</v>
      </c>
      <c r="AF255" s="17" t="str">
        <f>IF(MONTH(C255)&lt;=9,"0"&amp;MONTH(C255)&amp;"."&amp;YEAR(C255),MONTH(C255)&amp;"."&amp;YEAR(C255))</f>
        <v>11.2025</v>
      </c>
      <c r="AG255" s="17" t="str">
        <f>IF(H255="","",H255)</f>
        <v>Christiane Fiebag</v>
      </c>
      <c r="AH255" s="17" t="str">
        <f>IFERROR(VLOOKUP(B255,[1]Kundenübersicht!$E$4:$F$85,2,FALSE),"")</f>
        <v>Dieter Kraft</v>
      </c>
      <c r="AI255" s="17" t="str">
        <f>IF(I255="","",I255)</f>
        <v>Hauswirtschaft</v>
      </c>
      <c r="AJ255" s="17" t="str">
        <f>IF(J255="","",J255)</f>
        <v>Entlastungsleistung</v>
      </c>
      <c r="AL255" s="18">
        <f>IF(I255="Hauswirtschaft",38,42)</f>
        <v>38</v>
      </c>
      <c r="AM255" s="18">
        <f>AL255*F255</f>
        <v>57</v>
      </c>
      <c r="AN255" s="18">
        <f>G255*0.35</f>
        <v>2.0299999999999998</v>
      </c>
    </row>
    <row r="256" spans="2:40" x14ac:dyDescent="0.25">
      <c r="B256" s="30" t="s">
        <v>44</v>
      </c>
      <c r="C256" s="31">
        <v>45988</v>
      </c>
      <c r="D256" s="32">
        <v>0.54166666666666663</v>
      </c>
      <c r="E256" s="32">
        <v>0.59375</v>
      </c>
      <c r="F256" s="12">
        <f>(E256-D256)*24</f>
        <v>1.2500000000000009</v>
      </c>
      <c r="G256" s="12">
        <v>4.2</v>
      </c>
      <c r="H256" s="30" t="s">
        <v>33</v>
      </c>
      <c r="I256" s="30" t="s">
        <v>27</v>
      </c>
      <c r="J256" s="30" t="s">
        <v>28</v>
      </c>
      <c r="K256" s="9" t="str">
        <f>IFERROR(VLOOKUP($B256,[1]Kundenübersicht!$E$4:$AC$1003,MATCH(K$3,[1]Kundenübersicht!$E$3:$BA$3,FALSE),FALSE),"")</f>
        <v>Barmer Pflegekasse</v>
      </c>
      <c r="L256" s="13">
        <f>IFERROR(VLOOKUP(B256,[1]Kundenübersicht!$E$4:$AC$1003,MATCH(L$3,[1]Kundenübersicht!$E$3:$BA$3,FALSE),FALSE),"")</f>
        <v>184940005</v>
      </c>
      <c r="M256" s="13" t="str">
        <f>IFERROR(VLOOKUP(B256,[1]Kundenübersicht!$E$4:$AC$1003,MATCH(M$3,[1]Kundenübersicht!$E$3:$BA$3,FALSE),FALSE),"")</f>
        <v>Y800652371</v>
      </c>
      <c r="N256" s="13" t="str">
        <f>IFERROR(VLOOKUP(B256,[1]Kundenübersicht!$E$4:$AC$1003,MATCH(N$3,[1]Kundenübersicht!$E$3:$BA$3,FALSE),FALSE),"")</f>
        <v>PG 1</v>
      </c>
      <c r="P256" s="9" t="s">
        <v>29</v>
      </c>
      <c r="R256" s="9" t="str">
        <f>IF(S256="Link","Unterschrieben","Fehlt")</f>
        <v>Unterschrieben</v>
      </c>
      <c r="S256" s="14" t="s">
        <v>31</v>
      </c>
      <c r="U256" s="15">
        <f>IF(YEAR(C256)&lt;=2025,IFERROR(IF(I256="Hauswirtschaft",VLOOKUP($B256,[1]Kundenübersicht!$E$4:$BA$1003,MATCH("Hauswirtschaft [€/Stunde]",[1]Kundenübersicht!$E$3:$BA$3,FALSE),FALSE),VLOOKUP($B256,[1]Kundenübersicht!$E$4:$BA$1003,MATCH("Alltagsbegleitung [€/Stunde]",[1]Kundenübersicht!$E$3:$BA$3,FALSE),FALSE)),0),IFERROR(IF(I256="Hauswirtschaft",VLOOKUP($B256,[1]Kundenübersicht!$E$4:$BA$1003,MATCH("HW ab 2026 [€/Stunde]",[1]Kundenübersicht!$E$3:$BA$3,FALSE),FALSE),VLOOKUP($B256,[1]Kundenübersicht!$E$4:$BA$1003,MATCH("Alltagsbegleitung [€/Stunde]",[1]Kundenübersicht!$E$3:$BA$3,FALSE),FALSE)),0))</f>
        <v>32.75</v>
      </c>
      <c r="V256" s="16">
        <f>U256*F256</f>
        <v>40.937500000000028</v>
      </c>
      <c r="W256" s="16">
        <f>IF(AND(YEAR(C256)&lt;=2025,X256="Alt"),0,G256*0.35)</f>
        <v>0</v>
      </c>
      <c r="X256" s="16" t="str">
        <f>VLOOKUP(B256,[1]Kundenübersicht!E:AG,MATCH($X$3,[1]Kundenübersicht!$E$3:$AY$3,0),FALSE)</f>
        <v>Alt</v>
      </c>
      <c r="Z256" s="20" t="str">
        <f>IF(AA256&lt;&gt;"","Ja","Nein")</f>
        <v>Ja</v>
      </c>
      <c r="AA256" s="19">
        <v>46009</v>
      </c>
      <c r="AC256" s="19">
        <v>46031</v>
      </c>
      <c r="AE256" s="9">
        <f>YEAR(C256)</f>
        <v>2025</v>
      </c>
      <c r="AF256" s="17" t="str">
        <f>IF(MONTH(C256)&lt;=9,"0"&amp;MONTH(C256)&amp;"."&amp;YEAR(C256),MONTH(C256)&amp;"."&amp;YEAR(C256))</f>
        <v>11.2025</v>
      </c>
      <c r="AG256" s="17" t="str">
        <f>IF(H256="","",H256)</f>
        <v>Christiane Fiebag</v>
      </c>
      <c r="AH256" s="17" t="str">
        <f>IFERROR(VLOOKUP(B256,[1]Kundenübersicht!$E$4:$F$85,2,FALSE),"")</f>
        <v>Dieter Kraft</v>
      </c>
      <c r="AI256" s="17" t="str">
        <f>IF(I256="","",I256)</f>
        <v>Hauswirtschaft</v>
      </c>
      <c r="AJ256" s="17" t="str">
        <f>IF(J256="","",J256)</f>
        <v>Entlastungsleistung</v>
      </c>
      <c r="AL256" s="18">
        <f>IF(I256="Hauswirtschaft",38,42)</f>
        <v>38</v>
      </c>
      <c r="AM256" s="18">
        <f>AL256*F256</f>
        <v>47.500000000000036</v>
      </c>
      <c r="AN256" s="18">
        <f>G256*0.35</f>
        <v>1.47</v>
      </c>
    </row>
    <row r="257" spans="2:40" x14ac:dyDescent="0.25">
      <c r="B257" s="30" t="s">
        <v>81</v>
      </c>
      <c r="C257" s="31">
        <v>45987</v>
      </c>
      <c r="D257" s="32">
        <v>0.61458333333333337</v>
      </c>
      <c r="E257" s="32">
        <v>0.73958333333333337</v>
      </c>
      <c r="F257" s="12">
        <f t="shared" si="57"/>
        <v>3</v>
      </c>
      <c r="G257" s="12">
        <v>24.5</v>
      </c>
      <c r="H257" s="30" t="s">
        <v>33</v>
      </c>
      <c r="I257" s="30" t="s">
        <v>27</v>
      </c>
      <c r="J257" s="30" t="s">
        <v>28</v>
      </c>
      <c r="K257" s="9" t="str">
        <f>IFERROR(VLOOKUP($B257,[1]Kundenübersicht!$E$4:$AC$1003,MATCH(K$3,[1]Kundenübersicht!$E$3:$BA$3,FALSE),FALSE),"")</f>
        <v>IKK Classic</v>
      </c>
      <c r="L257" s="13">
        <f>IFERROR(VLOOKUP(B257,[1]Kundenübersicht!$E$4:$AC$1003,MATCH(L$3,[1]Kundenübersicht!$E$3:$BA$3,FALSE),FALSE),"")</f>
        <v>187202793</v>
      </c>
      <c r="M257" s="13" t="str">
        <f>IFERROR(VLOOKUP(B257,[1]Kundenübersicht!$E$4:$AC$1003,MATCH(M$3,[1]Kundenübersicht!$E$3:$BA$3,FALSE),FALSE),"")</f>
        <v>F289600055</v>
      </c>
      <c r="N257" s="13" t="str">
        <f>IFERROR(VLOOKUP(B257,[1]Kundenübersicht!$E$4:$AC$1003,MATCH(N$3,[1]Kundenübersicht!$E$3:$BA$3,FALSE),FALSE),"")</f>
        <v>PG 1</v>
      </c>
      <c r="P257" s="9" t="s">
        <v>29</v>
      </c>
      <c r="R257" s="9" t="str">
        <f t="shared" si="51"/>
        <v>Unterschrieben</v>
      </c>
      <c r="S257" s="14" t="s">
        <v>31</v>
      </c>
      <c r="U257" s="15">
        <f>IF(YEAR(C257)&lt;=2025,IFERROR(IF(I257="Hauswirtschaft",VLOOKUP($B257,[1]Kundenübersicht!$E$4:$BA$1003,MATCH("Hauswirtschaft [€/Stunde]",[1]Kundenübersicht!$E$3:$BA$3,FALSE),FALSE),VLOOKUP($B257,[1]Kundenübersicht!$E$4:$BA$1003,MATCH("Alltagsbegleitung [€/Stunde]",[1]Kundenübersicht!$E$3:$BA$3,FALSE),FALSE)),0),IFERROR(IF(I257="Hauswirtschaft",VLOOKUP($B257,[1]Kundenübersicht!$E$4:$BA$1003,MATCH("HW ab 2026 [€/Stunde]",[1]Kundenübersicht!$E$3:$BA$3,FALSE),FALSE),VLOOKUP($B257,[1]Kundenübersicht!$E$4:$BA$1003,MATCH("Alltagsbegleitung [€/Stunde]",[1]Kundenübersicht!$E$3:$BA$3,FALSE),FALSE)),0))</f>
        <v>38</v>
      </c>
      <c r="V257" s="16">
        <f t="shared" si="58"/>
        <v>114</v>
      </c>
      <c r="W257" s="16">
        <f t="shared" si="40"/>
        <v>8.5749999999999993</v>
      </c>
      <c r="X257" s="16" t="str">
        <f>VLOOKUP(B257,[1]Kundenübersicht!E:AG,MATCH($X$3,[1]Kundenübersicht!$E$3:$AY$3,0),FALSE)</f>
        <v>Neu</v>
      </c>
      <c r="Z257" s="20" t="str">
        <f t="shared" si="52"/>
        <v>Ja</v>
      </c>
      <c r="AA257" s="19">
        <v>46009</v>
      </c>
      <c r="AC257" s="19">
        <v>45669</v>
      </c>
      <c r="AE257" s="9">
        <f t="shared" si="46"/>
        <v>2025</v>
      </c>
      <c r="AF257" s="17" t="str">
        <f t="shared" si="47"/>
        <v>11.2025</v>
      </c>
      <c r="AG257" s="17" t="str">
        <f t="shared" si="48"/>
        <v>Christiane Fiebag</v>
      </c>
      <c r="AH257" s="17" t="str">
        <f>IFERROR(VLOOKUP(B257,[1]Kundenübersicht!$E$4:$F$85,2,FALSE),"")</f>
        <v>Amelie Hengst</v>
      </c>
      <c r="AI257" s="17" t="str">
        <f t="shared" si="56"/>
        <v>Hauswirtschaft</v>
      </c>
      <c r="AJ257" s="17" t="str">
        <f t="shared" si="56"/>
        <v>Entlastungsleistung</v>
      </c>
      <c r="AL257" s="18">
        <f t="shared" si="53"/>
        <v>38</v>
      </c>
      <c r="AM257" s="18">
        <f t="shared" si="54"/>
        <v>114</v>
      </c>
      <c r="AN257" s="18">
        <f t="shared" si="55"/>
        <v>8.5749999999999993</v>
      </c>
    </row>
    <row r="258" spans="2:40" x14ac:dyDescent="0.25">
      <c r="B258" s="30" t="s">
        <v>63</v>
      </c>
      <c r="C258" s="31">
        <v>45973</v>
      </c>
      <c r="D258" s="32">
        <v>0.4375</v>
      </c>
      <c r="E258" s="32">
        <v>0.52083333333333337</v>
      </c>
      <c r="F258" s="12">
        <f t="shared" si="57"/>
        <v>2.0000000000000009</v>
      </c>
      <c r="G258" s="12">
        <v>30.1</v>
      </c>
      <c r="H258" s="30" t="s">
        <v>33</v>
      </c>
      <c r="I258" s="30" t="s">
        <v>27</v>
      </c>
      <c r="J258" s="30" t="s">
        <v>28</v>
      </c>
      <c r="K258" s="9" t="str">
        <f>IFERROR(VLOOKUP($B258,[1]Kundenübersicht!$E$4:$AC$1003,MATCH(K$3,[1]Kundenübersicht!$E$3:$BA$3,FALSE),FALSE),"")</f>
        <v>Techniker Krankenkasse</v>
      </c>
      <c r="L258" s="13">
        <f>IFERROR(VLOOKUP(B258,[1]Kundenübersicht!$E$4:$AC$1003,MATCH(L$3,[1]Kundenübersicht!$E$3:$BA$3,FALSE),FALSE),"")</f>
        <v>101575519</v>
      </c>
      <c r="M258" s="13" t="str">
        <f>IFERROR(VLOOKUP(B258,[1]Kundenübersicht!$E$4:$AC$1003,MATCH(M$3,[1]Kundenübersicht!$E$3:$BA$3,FALSE),FALSE),"")</f>
        <v>O816601650</v>
      </c>
      <c r="N258" s="13" t="str">
        <f>IFERROR(VLOOKUP(B258,[1]Kundenübersicht!$E$4:$AC$1003,MATCH(N$3,[1]Kundenübersicht!$E$3:$BA$3,FALSE),FALSE),"")</f>
        <v>PG 2</v>
      </c>
      <c r="P258" s="9" t="s">
        <v>29</v>
      </c>
      <c r="R258" s="9" t="str">
        <f t="shared" si="51"/>
        <v>Unterschrieben</v>
      </c>
      <c r="S258" s="14" t="s">
        <v>31</v>
      </c>
      <c r="U258" s="15">
        <f>IF(YEAR(C258)&lt;=2025,IFERROR(IF(I258="Hauswirtschaft",VLOOKUP($B258,[1]Kundenübersicht!$E$4:$BA$1003,MATCH("Hauswirtschaft [€/Stunde]",[1]Kundenübersicht!$E$3:$BA$3,FALSE),FALSE),VLOOKUP($B258,[1]Kundenübersicht!$E$4:$BA$1003,MATCH("Alltagsbegleitung [€/Stunde]",[1]Kundenübersicht!$E$3:$BA$3,FALSE),FALSE)),0),IFERROR(IF(I258="Hauswirtschaft",VLOOKUP($B258,[1]Kundenübersicht!$E$4:$BA$1003,MATCH("HW ab 2026 [€/Stunde]",[1]Kundenübersicht!$E$3:$BA$3,FALSE),FALSE),VLOOKUP($B258,[1]Kundenübersicht!$E$4:$BA$1003,MATCH("Alltagsbegleitung [€/Stunde]",[1]Kundenübersicht!$E$3:$BA$3,FALSE),FALSE)),0))</f>
        <v>32.75</v>
      </c>
      <c r="V258" s="16">
        <f t="shared" si="58"/>
        <v>65.500000000000028</v>
      </c>
      <c r="W258" s="16">
        <f t="shared" si="40"/>
        <v>0</v>
      </c>
      <c r="X258" s="16" t="str">
        <f>VLOOKUP(B258,[1]Kundenübersicht!E:AG,MATCH($X$3,[1]Kundenübersicht!$E$3:$AY$3,0),FALSE)</f>
        <v>Alt</v>
      </c>
      <c r="Z258" s="20" t="str">
        <f t="shared" si="52"/>
        <v>Ja</v>
      </c>
      <c r="AA258" s="19">
        <v>45644</v>
      </c>
      <c r="AC258" s="19">
        <v>46050</v>
      </c>
      <c r="AE258" s="9">
        <f t="shared" si="46"/>
        <v>2025</v>
      </c>
      <c r="AF258" s="17" t="str">
        <f t="shared" si="47"/>
        <v>11.2025</v>
      </c>
      <c r="AG258" s="17" t="str">
        <f t="shared" si="48"/>
        <v>Christiane Fiebag</v>
      </c>
      <c r="AH258" s="17" t="str">
        <f>IFERROR(VLOOKUP(B258,[1]Kundenübersicht!$E$4:$F$85,2,FALSE),"")</f>
        <v>Joachim Röder</v>
      </c>
      <c r="AI258" s="17" t="str">
        <f t="shared" si="56"/>
        <v>Hauswirtschaft</v>
      </c>
      <c r="AJ258" s="17" t="str">
        <f t="shared" si="56"/>
        <v>Entlastungsleistung</v>
      </c>
      <c r="AL258" s="18">
        <f t="shared" si="53"/>
        <v>38</v>
      </c>
      <c r="AM258" s="18">
        <f t="shared" si="54"/>
        <v>76.000000000000028</v>
      </c>
      <c r="AN258" s="18">
        <f t="shared" si="55"/>
        <v>10.535</v>
      </c>
    </row>
    <row r="259" spans="2:40" x14ac:dyDescent="0.25">
      <c r="B259" s="30" t="s">
        <v>63</v>
      </c>
      <c r="C259" s="31">
        <v>45987</v>
      </c>
      <c r="D259" s="32">
        <v>0.49305555555555558</v>
      </c>
      <c r="E259" s="32">
        <v>0.57638888888888884</v>
      </c>
      <c r="F259" s="12">
        <f t="shared" si="57"/>
        <v>1.9999999999999982</v>
      </c>
      <c r="G259" s="12">
        <v>10.6</v>
      </c>
      <c r="H259" s="30" t="s">
        <v>33</v>
      </c>
      <c r="I259" s="30" t="s">
        <v>27</v>
      </c>
      <c r="J259" s="30" t="s">
        <v>28</v>
      </c>
      <c r="K259" s="9" t="str">
        <f>IFERROR(VLOOKUP($B259,[1]Kundenübersicht!$E$4:$AC$1003,MATCH(K$3,[1]Kundenübersicht!$E$3:$BA$3,FALSE),FALSE),"")</f>
        <v>Techniker Krankenkasse</v>
      </c>
      <c r="L259" s="13">
        <f>IFERROR(VLOOKUP(B259,[1]Kundenübersicht!$E$4:$AC$1003,MATCH(L$3,[1]Kundenübersicht!$E$3:$BA$3,FALSE),FALSE),"")</f>
        <v>101575519</v>
      </c>
      <c r="M259" s="13" t="str">
        <f>IFERROR(VLOOKUP(B259,[1]Kundenübersicht!$E$4:$AC$1003,MATCH(M$3,[1]Kundenübersicht!$E$3:$BA$3,FALSE),FALSE),"")</f>
        <v>O816601650</v>
      </c>
      <c r="N259" s="13" t="str">
        <f>IFERROR(VLOOKUP(B259,[1]Kundenübersicht!$E$4:$AC$1003,MATCH(N$3,[1]Kundenübersicht!$E$3:$BA$3,FALSE),FALSE),"")</f>
        <v>PG 2</v>
      </c>
      <c r="P259" s="9" t="s">
        <v>29</v>
      </c>
      <c r="R259" s="9" t="str">
        <f t="shared" si="51"/>
        <v>Unterschrieben</v>
      </c>
      <c r="S259" s="14" t="s">
        <v>31</v>
      </c>
      <c r="U259" s="15">
        <f>IF(YEAR(C259)&lt;=2025,IFERROR(IF(I259="Hauswirtschaft",VLOOKUP($B259,[1]Kundenübersicht!$E$4:$BA$1003,MATCH("Hauswirtschaft [€/Stunde]",[1]Kundenübersicht!$E$3:$BA$3,FALSE),FALSE),VLOOKUP($B259,[1]Kundenübersicht!$E$4:$BA$1003,MATCH("Alltagsbegleitung [€/Stunde]",[1]Kundenübersicht!$E$3:$BA$3,FALSE),FALSE)),0),IFERROR(IF(I259="Hauswirtschaft",VLOOKUP($B259,[1]Kundenübersicht!$E$4:$BA$1003,MATCH("HW ab 2026 [€/Stunde]",[1]Kundenübersicht!$E$3:$BA$3,FALSE),FALSE),VLOOKUP($B259,[1]Kundenübersicht!$E$4:$BA$1003,MATCH("Alltagsbegleitung [€/Stunde]",[1]Kundenübersicht!$E$3:$BA$3,FALSE),FALSE)),0))</f>
        <v>32.75</v>
      </c>
      <c r="V259" s="16">
        <f t="shared" si="58"/>
        <v>65.499999999999943</v>
      </c>
      <c r="W259" s="16">
        <f t="shared" si="40"/>
        <v>0</v>
      </c>
      <c r="X259" s="16" t="str">
        <f>VLOOKUP(B259,[1]Kundenübersicht!E:AG,MATCH($X$3,[1]Kundenübersicht!$E$3:$AY$3,0),FALSE)</f>
        <v>Alt</v>
      </c>
      <c r="Z259" s="20" t="str">
        <f t="shared" si="52"/>
        <v>Ja</v>
      </c>
      <c r="AA259" s="19">
        <v>45644</v>
      </c>
      <c r="AC259" s="19">
        <v>46050</v>
      </c>
      <c r="AE259" s="9">
        <f t="shared" si="46"/>
        <v>2025</v>
      </c>
      <c r="AF259" s="17" t="str">
        <f t="shared" si="47"/>
        <v>11.2025</v>
      </c>
      <c r="AG259" s="17" t="str">
        <f t="shared" si="48"/>
        <v>Christiane Fiebag</v>
      </c>
      <c r="AH259" s="17" t="str">
        <f>IFERROR(VLOOKUP(B259,[1]Kundenübersicht!$E$4:$F$85,2,FALSE),"")</f>
        <v>Joachim Röder</v>
      </c>
      <c r="AI259" s="17" t="str">
        <f t="shared" ref="AI259:AJ314" si="59">IF(I259="","",I259)</f>
        <v>Hauswirtschaft</v>
      </c>
      <c r="AJ259" s="17" t="str">
        <f t="shared" si="59"/>
        <v>Entlastungsleistung</v>
      </c>
      <c r="AL259" s="18">
        <f t="shared" si="53"/>
        <v>38</v>
      </c>
      <c r="AM259" s="18">
        <f t="shared" si="54"/>
        <v>75.999999999999929</v>
      </c>
      <c r="AN259" s="18">
        <f t="shared" si="55"/>
        <v>3.7099999999999995</v>
      </c>
    </row>
    <row r="260" spans="2:40" x14ac:dyDescent="0.25">
      <c r="B260" s="30" t="s">
        <v>36</v>
      </c>
      <c r="C260" s="31">
        <v>45966</v>
      </c>
      <c r="D260" s="32">
        <v>0.45833333333333331</v>
      </c>
      <c r="E260" s="32">
        <v>0.58333333333333337</v>
      </c>
      <c r="F260" s="12">
        <f t="shared" si="57"/>
        <v>3.0000000000000013</v>
      </c>
      <c r="G260" s="12">
        <v>19.600000000000001</v>
      </c>
      <c r="H260" s="30" t="s">
        <v>33</v>
      </c>
      <c r="I260" s="30" t="s">
        <v>27</v>
      </c>
      <c r="J260" s="30" t="s">
        <v>28</v>
      </c>
      <c r="K260" s="9" t="str">
        <f>IFERROR(VLOOKUP($B260,[1]Kundenübersicht!$E$4:$AC$1003,MATCH(K$3,[1]Kundenübersicht!$E$3:$BA$3,FALSE),FALSE),"")</f>
        <v>IKK Classic</v>
      </c>
      <c r="L260" s="13" t="str">
        <f>IFERROR(VLOOKUP(B260,[1]Kundenübersicht!$E$4:$AC$1003,MATCH(L$3,[1]Kundenübersicht!$E$3:$BA$3,FALSE),FALSE),"")</f>
        <v>187202793</v>
      </c>
      <c r="M260" s="13" t="str">
        <f>IFERROR(VLOOKUP(B260,[1]Kundenübersicht!$E$4:$AC$1003,MATCH(M$3,[1]Kundenübersicht!$E$3:$BA$3,FALSE),FALSE),"")</f>
        <v>X365499146</v>
      </c>
      <c r="N260" s="13" t="str">
        <f>IFERROR(VLOOKUP(B260,[1]Kundenübersicht!$E$4:$AC$1003,MATCH(N$3,[1]Kundenübersicht!$E$3:$BA$3,FALSE),FALSE),"")</f>
        <v>PG 1</v>
      </c>
      <c r="P260" s="9" t="s">
        <v>29</v>
      </c>
      <c r="R260" s="9" t="str">
        <f t="shared" si="51"/>
        <v>Unterschrieben</v>
      </c>
      <c r="S260" s="14" t="s">
        <v>31</v>
      </c>
      <c r="U260" s="15">
        <f>IF(YEAR(C260)&lt;=2025,IFERROR(IF(I260="Hauswirtschaft",VLOOKUP($B260,[1]Kundenübersicht!$E$4:$BA$1003,MATCH("Hauswirtschaft [€/Stunde]",[1]Kundenübersicht!$E$3:$BA$3,FALSE),FALSE),VLOOKUP($B260,[1]Kundenübersicht!$E$4:$BA$1003,MATCH("Alltagsbegleitung [€/Stunde]",[1]Kundenübersicht!$E$3:$BA$3,FALSE),FALSE)),0),IFERROR(IF(I260="Hauswirtschaft",VLOOKUP($B260,[1]Kundenübersicht!$E$4:$BA$1003,MATCH("HW ab 2026 [€/Stunde]",[1]Kundenübersicht!$E$3:$BA$3,FALSE),FALSE),VLOOKUP($B260,[1]Kundenübersicht!$E$4:$BA$1003,MATCH("Alltagsbegleitung [€/Stunde]",[1]Kundenübersicht!$E$3:$BA$3,FALSE),FALSE)),0))</f>
        <v>32.75</v>
      </c>
      <c r="V260" s="16">
        <f t="shared" si="58"/>
        <v>98.250000000000043</v>
      </c>
      <c r="W260" s="16">
        <f t="shared" ref="W260:W323" si="60">IF(AND(YEAR(C260)&lt;=2025,X260="Alt"),0,G260*0.35)</f>
        <v>0</v>
      </c>
      <c r="X260" s="16" t="str">
        <f>VLOOKUP(B260,[1]Kundenübersicht!E:AG,MATCH($X$3,[1]Kundenübersicht!$E$3:$AY$3,0),FALSE)</f>
        <v>Alt</v>
      </c>
      <c r="Z260" s="20" t="str">
        <f t="shared" si="52"/>
        <v>Ja</v>
      </c>
      <c r="AA260" s="19">
        <v>46009</v>
      </c>
      <c r="AC260" s="19">
        <v>45669</v>
      </c>
      <c r="AE260" s="9">
        <f t="shared" si="46"/>
        <v>2025</v>
      </c>
      <c r="AF260" s="17" t="str">
        <f t="shared" si="47"/>
        <v>11.2025</v>
      </c>
      <c r="AG260" s="17" t="str">
        <f t="shared" si="48"/>
        <v>Christiane Fiebag</v>
      </c>
      <c r="AH260" s="17" t="str">
        <f>IFERROR(VLOOKUP(B260,[1]Kundenübersicht!$E$4:$F$85,2,FALSE),"")</f>
        <v>Ingrid Haufe</v>
      </c>
      <c r="AI260" s="17" t="str">
        <f t="shared" si="59"/>
        <v>Hauswirtschaft</v>
      </c>
      <c r="AJ260" s="17" t="str">
        <f t="shared" si="59"/>
        <v>Entlastungsleistung</v>
      </c>
      <c r="AL260" s="18">
        <f t="shared" si="53"/>
        <v>38</v>
      </c>
      <c r="AM260" s="18">
        <f t="shared" si="54"/>
        <v>114.00000000000006</v>
      </c>
      <c r="AN260" s="18">
        <f t="shared" si="55"/>
        <v>6.86</v>
      </c>
    </row>
    <row r="261" spans="2:40" x14ac:dyDescent="0.25">
      <c r="B261" s="30" t="s">
        <v>36</v>
      </c>
      <c r="C261" s="31">
        <v>45987</v>
      </c>
      <c r="D261" s="32">
        <v>0.35416666666666669</v>
      </c>
      <c r="E261" s="32">
        <v>0.47916666666666669</v>
      </c>
      <c r="F261" s="12">
        <f t="shared" si="57"/>
        <v>3</v>
      </c>
      <c r="G261" s="12">
        <v>10.7</v>
      </c>
      <c r="H261" s="30" t="s">
        <v>33</v>
      </c>
      <c r="I261" s="30" t="s">
        <v>27</v>
      </c>
      <c r="J261" s="30" t="s">
        <v>28</v>
      </c>
      <c r="K261" s="9" t="str">
        <f>IFERROR(VLOOKUP($B261,[1]Kundenübersicht!$E$4:$AC$1003,MATCH(K$3,[1]Kundenübersicht!$E$3:$BA$3,FALSE),FALSE),"")</f>
        <v>IKK Classic</v>
      </c>
      <c r="L261" s="13" t="str">
        <f>IFERROR(VLOOKUP(B261,[1]Kundenübersicht!$E$4:$AC$1003,MATCH(L$3,[1]Kundenübersicht!$E$3:$BA$3,FALSE),FALSE),"")</f>
        <v>187202793</v>
      </c>
      <c r="M261" s="13" t="str">
        <f>IFERROR(VLOOKUP(B261,[1]Kundenübersicht!$E$4:$AC$1003,MATCH(M$3,[1]Kundenübersicht!$E$3:$BA$3,FALSE),FALSE),"")</f>
        <v>X365499146</v>
      </c>
      <c r="N261" s="13" t="str">
        <f>IFERROR(VLOOKUP(B261,[1]Kundenübersicht!$E$4:$AC$1003,MATCH(N$3,[1]Kundenübersicht!$E$3:$BA$3,FALSE),FALSE),"")</f>
        <v>PG 1</v>
      </c>
      <c r="P261" s="9" t="s">
        <v>29</v>
      </c>
      <c r="R261" s="9" t="str">
        <f t="shared" si="51"/>
        <v>Unterschrieben</v>
      </c>
      <c r="S261" s="14" t="s">
        <v>31</v>
      </c>
      <c r="U261" s="15">
        <f>IF(YEAR(C261)&lt;=2025,IFERROR(IF(I261="Hauswirtschaft",VLOOKUP($B261,[1]Kundenübersicht!$E$4:$BA$1003,MATCH("Hauswirtschaft [€/Stunde]",[1]Kundenübersicht!$E$3:$BA$3,FALSE),FALSE),VLOOKUP($B261,[1]Kundenübersicht!$E$4:$BA$1003,MATCH("Alltagsbegleitung [€/Stunde]",[1]Kundenübersicht!$E$3:$BA$3,FALSE),FALSE)),0),IFERROR(IF(I261="Hauswirtschaft",VLOOKUP($B261,[1]Kundenübersicht!$E$4:$BA$1003,MATCH("HW ab 2026 [€/Stunde]",[1]Kundenübersicht!$E$3:$BA$3,FALSE),FALSE),VLOOKUP($B261,[1]Kundenübersicht!$E$4:$BA$1003,MATCH("Alltagsbegleitung [€/Stunde]",[1]Kundenübersicht!$E$3:$BA$3,FALSE),FALSE)),0))</f>
        <v>32.75</v>
      </c>
      <c r="V261" s="16">
        <f t="shared" si="58"/>
        <v>98.25</v>
      </c>
      <c r="W261" s="16">
        <f t="shared" si="60"/>
        <v>0</v>
      </c>
      <c r="X261" s="16" t="str">
        <f>VLOOKUP(B261,[1]Kundenübersicht!E:AG,MATCH($X$3,[1]Kundenübersicht!$E$3:$AY$3,0),FALSE)</f>
        <v>Alt</v>
      </c>
      <c r="Z261" s="20" t="str">
        <f t="shared" si="52"/>
        <v>Ja</v>
      </c>
      <c r="AA261" s="19">
        <v>46009</v>
      </c>
      <c r="AC261" s="19">
        <v>45669</v>
      </c>
      <c r="AE261" s="9">
        <f t="shared" si="46"/>
        <v>2025</v>
      </c>
      <c r="AF261" s="17" t="str">
        <f t="shared" si="47"/>
        <v>11.2025</v>
      </c>
      <c r="AG261" s="17" t="str">
        <f t="shared" si="48"/>
        <v>Christiane Fiebag</v>
      </c>
      <c r="AH261" s="17" t="str">
        <f>IFERROR(VLOOKUP(B261,[1]Kundenübersicht!$E$4:$F$85,2,FALSE),"")</f>
        <v>Ingrid Haufe</v>
      </c>
      <c r="AI261" s="17" t="str">
        <f t="shared" si="59"/>
        <v>Hauswirtschaft</v>
      </c>
      <c r="AJ261" s="17" t="str">
        <f t="shared" si="59"/>
        <v>Entlastungsleistung</v>
      </c>
      <c r="AL261" s="18">
        <f t="shared" si="53"/>
        <v>38</v>
      </c>
      <c r="AM261" s="18">
        <f t="shared" si="54"/>
        <v>114</v>
      </c>
      <c r="AN261" s="18">
        <f t="shared" si="55"/>
        <v>3.7449999999999997</v>
      </c>
    </row>
    <row r="262" spans="2:40" x14ac:dyDescent="0.25">
      <c r="B262" s="30" t="s">
        <v>82</v>
      </c>
      <c r="C262" s="31">
        <v>45972</v>
      </c>
      <c r="D262" s="32">
        <v>0.52083333333333337</v>
      </c>
      <c r="E262" s="32">
        <v>0.5625</v>
      </c>
      <c r="F262" s="12">
        <f t="shared" si="57"/>
        <v>0.99999999999999911</v>
      </c>
      <c r="G262" s="12">
        <v>17.5</v>
      </c>
      <c r="H262" s="30" t="s">
        <v>33</v>
      </c>
      <c r="I262" s="30" t="s">
        <v>41</v>
      </c>
      <c r="J262" s="30" t="s">
        <v>28</v>
      </c>
      <c r="K262" s="9" t="str">
        <f>IFERROR(VLOOKUP($B262,[1]Kundenübersicht!$E$4:$AC$1003,MATCH(K$3,[1]Kundenübersicht!$E$3:$BA$3,FALSE),FALSE),"")</f>
        <v>IKK Classic</v>
      </c>
      <c r="L262" s="13">
        <f>IFERROR(VLOOKUP(B262,[1]Kundenübersicht!$E$4:$AC$1003,MATCH(L$3,[1]Kundenübersicht!$E$3:$BA$3,FALSE),FALSE),"")</f>
        <v>187202793</v>
      </c>
      <c r="M262" s="13" t="str">
        <f>IFERROR(VLOOKUP(B262,[1]Kundenübersicht!$E$4:$AC$1003,MATCH(M$3,[1]Kundenübersicht!$E$3:$BA$3,FALSE),FALSE),"")</f>
        <v>D546661945</v>
      </c>
      <c r="N262" s="13" t="str">
        <f>IFERROR(VLOOKUP(B262,[1]Kundenübersicht!$E$4:$AC$1003,MATCH(N$3,[1]Kundenübersicht!$E$3:$BA$3,FALSE),FALSE),"")</f>
        <v>PG 1</v>
      </c>
      <c r="P262" s="9" t="s">
        <v>29</v>
      </c>
      <c r="R262" s="9" t="str">
        <f t="shared" si="51"/>
        <v>Unterschrieben</v>
      </c>
      <c r="S262" s="14" t="s">
        <v>31</v>
      </c>
      <c r="U262" s="15">
        <f>IF(YEAR(C262)&lt;=2025,IFERROR(IF(I262="Hauswirtschaft",VLOOKUP($B262,[1]Kundenübersicht!$E$4:$BA$1003,MATCH("Hauswirtschaft [€/Stunde]",[1]Kundenübersicht!$E$3:$BA$3,FALSE),FALSE),VLOOKUP($B262,[1]Kundenübersicht!$E$4:$BA$1003,MATCH("Alltagsbegleitung [€/Stunde]",[1]Kundenübersicht!$E$3:$BA$3,FALSE),FALSE)),0),IFERROR(IF(I262="Hauswirtschaft",VLOOKUP($B262,[1]Kundenübersicht!$E$4:$BA$1003,MATCH("HW ab 2026 [€/Stunde]",[1]Kundenübersicht!$E$3:$BA$3,FALSE),FALSE),VLOOKUP($B262,[1]Kundenübersicht!$E$4:$BA$1003,MATCH("Alltagsbegleitung [€/Stunde]",[1]Kundenübersicht!$E$3:$BA$3,FALSE),FALSE)),0))</f>
        <v>42</v>
      </c>
      <c r="V262" s="16">
        <f t="shared" si="58"/>
        <v>41.999999999999964</v>
      </c>
      <c r="W262" s="16">
        <f t="shared" si="60"/>
        <v>6.125</v>
      </c>
      <c r="X262" s="16" t="str">
        <f>VLOOKUP(B262,[1]Kundenübersicht!E:AG,MATCH($X$3,[1]Kundenübersicht!$E$3:$AY$3,0),FALSE)</f>
        <v>Neu</v>
      </c>
      <c r="Z262" s="20" t="str">
        <f t="shared" si="52"/>
        <v>Ja</v>
      </c>
      <c r="AA262" s="19">
        <v>46009</v>
      </c>
      <c r="AC262" s="19">
        <v>45669</v>
      </c>
      <c r="AE262" s="9">
        <f t="shared" ref="AE262:AE325" si="61">YEAR(C262)</f>
        <v>2025</v>
      </c>
      <c r="AF262" s="17" t="str">
        <f t="shared" ref="AF262:AF325" si="62">IF(MONTH(C262)&lt;=9,"0"&amp;MONTH(C262)&amp;"."&amp;YEAR(C262),MONTH(C262)&amp;"."&amp;YEAR(C262))</f>
        <v>11.2025</v>
      </c>
      <c r="AG262" s="17" t="str">
        <f t="shared" ref="AG262:AG325" si="63">IF(H262="","",H262)</f>
        <v>Christiane Fiebag</v>
      </c>
      <c r="AH262" s="17" t="str">
        <f>IFERROR(VLOOKUP(B262,[1]Kundenübersicht!$E$4:$F$85,2,FALSE),"")</f>
        <v>Renate Pittag</v>
      </c>
      <c r="AI262" s="17" t="str">
        <f t="shared" si="59"/>
        <v>Alltagsbegleitung</v>
      </c>
      <c r="AJ262" s="17" t="str">
        <f t="shared" si="59"/>
        <v>Entlastungsleistung</v>
      </c>
      <c r="AL262" s="18">
        <f t="shared" si="53"/>
        <v>42</v>
      </c>
      <c r="AM262" s="18">
        <f t="shared" si="54"/>
        <v>41.999999999999964</v>
      </c>
      <c r="AN262" s="18">
        <f t="shared" si="55"/>
        <v>6.125</v>
      </c>
    </row>
    <row r="263" spans="2:40" x14ac:dyDescent="0.25">
      <c r="B263" s="30" t="s">
        <v>82</v>
      </c>
      <c r="C263" s="31">
        <v>45972</v>
      </c>
      <c r="D263" s="32">
        <v>0.60416666666666663</v>
      </c>
      <c r="E263" s="32">
        <v>0.625</v>
      </c>
      <c r="F263" s="12">
        <f t="shared" si="57"/>
        <v>0.50000000000000089</v>
      </c>
      <c r="G263" s="12">
        <v>18.600000000000001</v>
      </c>
      <c r="H263" s="30" t="s">
        <v>33</v>
      </c>
      <c r="I263" s="30" t="s">
        <v>41</v>
      </c>
      <c r="J263" s="30" t="s">
        <v>28</v>
      </c>
      <c r="K263" s="9" t="str">
        <f>IFERROR(VLOOKUP($B263,[1]Kundenübersicht!$E$4:$AC$1003,MATCH(K$3,[1]Kundenübersicht!$E$3:$BA$3,FALSE),FALSE),"")</f>
        <v>IKK Classic</v>
      </c>
      <c r="L263" s="13">
        <f>IFERROR(VLOOKUP(B263,[1]Kundenübersicht!$E$4:$AC$1003,MATCH(L$3,[1]Kundenübersicht!$E$3:$BA$3,FALSE),FALSE),"")</f>
        <v>187202793</v>
      </c>
      <c r="M263" s="13" t="str">
        <f>IFERROR(VLOOKUP(B263,[1]Kundenübersicht!$E$4:$AC$1003,MATCH(M$3,[1]Kundenübersicht!$E$3:$BA$3,FALSE),FALSE),"")</f>
        <v>D546661945</v>
      </c>
      <c r="N263" s="13" t="str">
        <f>IFERROR(VLOOKUP(B263,[1]Kundenübersicht!$E$4:$AC$1003,MATCH(N$3,[1]Kundenübersicht!$E$3:$BA$3,FALSE),FALSE),"")</f>
        <v>PG 1</v>
      </c>
      <c r="P263" s="9" t="s">
        <v>29</v>
      </c>
      <c r="R263" s="9" t="str">
        <f t="shared" si="51"/>
        <v>Unterschrieben</v>
      </c>
      <c r="S263" s="14" t="s">
        <v>31</v>
      </c>
      <c r="U263" s="15">
        <f>IF(YEAR(C263)&lt;=2025,IFERROR(IF(I263="Hauswirtschaft",VLOOKUP($B263,[1]Kundenübersicht!$E$4:$BA$1003,MATCH("Hauswirtschaft [€/Stunde]",[1]Kundenübersicht!$E$3:$BA$3,FALSE),FALSE),VLOOKUP($B263,[1]Kundenübersicht!$E$4:$BA$1003,MATCH("Alltagsbegleitung [€/Stunde]",[1]Kundenübersicht!$E$3:$BA$3,FALSE),FALSE)),0),IFERROR(IF(I263="Hauswirtschaft",VLOOKUP($B263,[1]Kundenübersicht!$E$4:$BA$1003,MATCH("HW ab 2026 [€/Stunde]",[1]Kundenübersicht!$E$3:$BA$3,FALSE),FALSE),VLOOKUP($B263,[1]Kundenübersicht!$E$4:$BA$1003,MATCH("Alltagsbegleitung [€/Stunde]",[1]Kundenübersicht!$E$3:$BA$3,FALSE),FALSE)),0))</f>
        <v>42</v>
      </c>
      <c r="V263" s="16">
        <f t="shared" si="58"/>
        <v>21.000000000000036</v>
      </c>
      <c r="W263" s="16">
        <f t="shared" si="60"/>
        <v>6.51</v>
      </c>
      <c r="X263" s="16" t="str">
        <f>VLOOKUP(B263,[1]Kundenübersicht!E:AG,MATCH($X$3,[1]Kundenübersicht!$E$3:$AY$3,0),FALSE)</f>
        <v>Neu</v>
      </c>
      <c r="Z263" s="20" t="str">
        <f t="shared" si="52"/>
        <v>Ja</v>
      </c>
      <c r="AA263" s="19">
        <v>46009</v>
      </c>
      <c r="AC263" s="19">
        <v>45669</v>
      </c>
      <c r="AE263" s="9">
        <f t="shared" si="61"/>
        <v>2025</v>
      </c>
      <c r="AF263" s="17" t="str">
        <f t="shared" si="62"/>
        <v>11.2025</v>
      </c>
      <c r="AG263" s="17" t="str">
        <f t="shared" si="63"/>
        <v>Christiane Fiebag</v>
      </c>
      <c r="AH263" s="17" t="str">
        <f>IFERROR(VLOOKUP(B263,[1]Kundenübersicht!$E$4:$F$85,2,FALSE),"")</f>
        <v>Renate Pittag</v>
      </c>
      <c r="AI263" s="17" t="str">
        <f t="shared" si="59"/>
        <v>Alltagsbegleitung</v>
      </c>
      <c r="AJ263" s="17" t="str">
        <f t="shared" si="59"/>
        <v>Entlastungsleistung</v>
      </c>
      <c r="AL263" s="18">
        <f t="shared" si="53"/>
        <v>42</v>
      </c>
      <c r="AM263" s="18">
        <f t="shared" si="54"/>
        <v>21.000000000000036</v>
      </c>
      <c r="AN263" s="18">
        <f t="shared" si="55"/>
        <v>6.51</v>
      </c>
    </row>
    <row r="264" spans="2:40" x14ac:dyDescent="0.25">
      <c r="B264" s="30" t="s">
        <v>69</v>
      </c>
      <c r="C264" s="31">
        <v>45974</v>
      </c>
      <c r="D264" s="32">
        <v>0.42708333333333331</v>
      </c>
      <c r="E264" s="32">
        <v>0.51041666666666663</v>
      </c>
      <c r="F264" s="12">
        <f t="shared" si="57"/>
        <v>1.9999999999999996</v>
      </c>
      <c r="G264" s="12">
        <v>13.1</v>
      </c>
      <c r="H264" s="30" t="s">
        <v>33</v>
      </c>
      <c r="I264" s="30" t="s">
        <v>27</v>
      </c>
      <c r="J264" s="30" t="s">
        <v>28</v>
      </c>
      <c r="K264" s="9" t="str">
        <f>IFERROR(VLOOKUP($B264,[1]Kundenübersicht!$E$4:$AC$1003,MATCH(K$3,[1]Kundenübersicht!$E$3:$BA$3,FALSE),FALSE),"")</f>
        <v>Barmer Pflegekasse</v>
      </c>
      <c r="L264" s="13">
        <f>IFERROR(VLOOKUP(B264,[1]Kundenübersicht!$E$4:$AC$1003,MATCH(L$3,[1]Kundenübersicht!$E$3:$BA$3,FALSE),FALSE),"")</f>
        <v>184940005</v>
      </c>
      <c r="M264" s="13" t="str">
        <f>IFERROR(VLOOKUP(B264,[1]Kundenübersicht!$E$4:$AC$1003,MATCH(M$3,[1]Kundenübersicht!$E$3:$BA$3,FALSE),FALSE),"")</f>
        <v>G192083809</v>
      </c>
      <c r="N264" s="13" t="str">
        <f>IFERROR(VLOOKUP(B264,[1]Kundenübersicht!$E$4:$AC$1003,MATCH(N$3,[1]Kundenübersicht!$E$3:$BA$3,FALSE),FALSE),"")</f>
        <v>PG 2</v>
      </c>
      <c r="P264" s="9" t="s">
        <v>29</v>
      </c>
      <c r="R264" s="9" t="str">
        <f t="shared" si="51"/>
        <v>Unterschrieben</v>
      </c>
      <c r="S264" s="14" t="s">
        <v>31</v>
      </c>
      <c r="U264" s="15">
        <f>IF(YEAR(C264)&lt;=2025,IFERROR(IF(I264="Hauswirtschaft",VLOOKUP($B264,[1]Kundenübersicht!$E$4:$BA$1003,MATCH("Hauswirtschaft [€/Stunde]",[1]Kundenübersicht!$E$3:$BA$3,FALSE),FALSE),VLOOKUP($B264,[1]Kundenübersicht!$E$4:$BA$1003,MATCH("Alltagsbegleitung [€/Stunde]",[1]Kundenübersicht!$E$3:$BA$3,FALSE),FALSE)),0),IFERROR(IF(I264="Hauswirtschaft",VLOOKUP($B264,[1]Kundenübersicht!$E$4:$BA$1003,MATCH("HW ab 2026 [€/Stunde]",[1]Kundenübersicht!$E$3:$BA$3,FALSE),FALSE),VLOOKUP($B264,[1]Kundenübersicht!$E$4:$BA$1003,MATCH("Alltagsbegleitung [€/Stunde]",[1]Kundenübersicht!$E$3:$BA$3,FALSE),FALSE)),0))</f>
        <v>32.75</v>
      </c>
      <c r="V264" s="16">
        <f t="shared" si="58"/>
        <v>65.499999999999986</v>
      </c>
      <c r="W264" s="16">
        <f t="shared" si="60"/>
        <v>0</v>
      </c>
      <c r="X264" s="16" t="str">
        <f>VLOOKUP(B264,[1]Kundenübersicht!E:AG,MATCH($X$3,[1]Kundenübersicht!$E$3:$AY$3,0),FALSE)</f>
        <v>Alt</v>
      </c>
      <c r="Z264" s="20" t="str">
        <f t="shared" si="52"/>
        <v>Ja</v>
      </c>
      <c r="AA264" s="19">
        <v>46009</v>
      </c>
      <c r="AC264" s="19">
        <v>46031</v>
      </c>
      <c r="AE264" s="9">
        <f t="shared" si="61"/>
        <v>2025</v>
      </c>
      <c r="AF264" s="17" t="str">
        <f t="shared" si="62"/>
        <v>11.2025</v>
      </c>
      <c r="AG264" s="17" t="str">
        <f t="shared" si="63"/>
        <v>Christiane Fiebag</v>
      </c>
      <c r="AH264" s="17" t="str">
        <f>IFERROR(VLOOKUP(B264,[1]Kundenübersicht!$E$4:$F$85,2,FALSE),"")</f>
        <v>Bettina Jungnickel</v>
      </c>
      <c r="AI264" s="17" t="str">
        <f t="shared" si="59"/>
        <v>Hauswirtschaft</v>
      </c>
      <c r="AJ264" s="17" t="str">
        <f t="shared" si="59"/>
        <v>Entlastungsleistung</v>
      </c>
      <c r="AL264" s="18">
        <f t="shared" si="53"/>
        <v>38</v>
      </c>
      <c r="AM264" s="18">
        <f t="shared" si="54"/>
        <v>75.999999999999986</v>
      </c>
      <c r="AN264" s="18">
        <f t="shared" si="55"/>
        <v>4.585</v>
      </c>
    </row>
    <row r="265" spans="2:40" x14ac:dyDescent="0.25">
      <c r="B265" s="30" t="s">
        <v>69</v>
      </c>
      <c r="C265" s="31">
        <v>45986</v>
      </c>
      <c r="D265" s="32">
        <v>0.45833333333333331</v>
      </c>
      <c r="E265" s="32">
        <v>0.54166666666666663</v>
      </c>
      <c r="F265" s="12">
        <f t="shared" si="57"/>
        <v>1.9999999999999996</v>
      </c>
      <c r="G265" s="12">
        <v>25.7</v>
      </c>
      <c r="H265" s="30" t="s">
        <v>33</v>
      </c>
      <c r="I265" s="30" t="s">
        <v>27</v>
      </c>
      <c r="J265" s="30" t="s">
        <v>28</v>
      </c>
      <c r="K265" s="9" t="str">
        <f>IFERROR(VLOOKUP($B265,[1]Kundenübersicht!$E$4:$AC$1003,MATCH(K$3,[1]Kundenübersicht!$E$3:$BA$3,FALSE),FALSE),"")</f>
        <v>Barmer Pflegekasse</v>
      </c>
      <c r="L265" s="13">
        <f>IFERROR(VLOOKUP(B265,[1]Kundenübersicht!$E$4:$AC$1003,MATCH(L$3,[1]Kundenübersicht!$E$3:$BA$3,FALSE),FALSE),"")</f>
        <v>184940005</v>
      </c>
      <c r="M265" s="13" t="str">
        <f>IFERROR(VLOOKUP(B265,[1]Kundenübersicht!$E$4:$AC$1003,MATCH(M$3,[1]Kundenübersicht!$E$3:$BA$3,FALSE),FALSE),"")</f>
        <v>G192083809</v>
      </c>
      <c r="N265" s="13" t="str">
        <f>IFERROR(VLOOKUP(B265,[1]Kundenübersicht!$E$4:$AC$1003,MATCH(N$3,[1]Kundenübersicht!$E$3:$BA$3,FALSE),FALSE),"")</f>
        <v>PG 2</v>
      </c>
      <c r="P265" s="9" t="s">
        <v>29</v>
      </c>
      <c r="R265" s="9" t="str">
        <f t="shared" si="51"/>
        <v>Unterschrieben</v>
      </c>
      <c r="S265" s="14" t="s">
        <v>31</v>
      </c>
      <c r="U265" s="15">
        <f>IF(YEAR(C265)&lt;=2025,IFERROR(IF(I265="Hauswirtschaft",VLOOKUP($B265,[1]Kundenübersicht!$E$4:$BA$1003,MATCH("Hauswirtschaft [€/Stunde]",[1]Kundenübersicht!$E$3:$BA$3,FALSE),FALSE),VLOOKUP($B265,[1]Kundenübersicht!$E$4:$BA$1003,MATCH("Alltagsbegleitung [€/Stunde]",[1]Kundenübersicht!$E$3:$BA$3,FALSE),FALSE)),0),IFERROR(IF(I265="Hauswirtschaft",VLOOKUP($B265,[1]Kundenübersicht!$E$4:$BA$1003,MATCH("HW ab 2026 [€/Stunde]",[1]Kundenübersicht!$E$3:$BA$3,FALSE),FALSE),VLOOKUP($B265,[1]Kundenübersicht!$E$4:$BA$1003,MATCH("Alltagsbegleitung [€/Stunde]",[1]Kundenübersicht!$E$3:$BA$3,FALSE),FALSE)),0))</f>
        <v>32.75</v>
      </c>
      <c r="V265" s="16">
        <f t="shared" si="58"/>
        <v>65.499999999999986</v>
      </c>
      <c r="W265" s="16">
        <f t="shared" si="60"/>
        <v>0</v>
      </c>
      <c r="X265" s="16" t="str">
        <f>VLOOKUP(B265,[1]Kundenübersicht!E:AG,MATCH($X$3,[1]Kundenübersicht!$E$3:$AY$3,0),FALSE)</f>
        <v>Alt</v>
      </c>
      <c r="Z265" s="20" t="str">
        <f t="shared" si="52"/>
        <v>Ja</v>
      </c>
      <c r="AA265" s="19">
        <v>46009</v>
      </c>
      <c r="AC265" s="19">
        <v>46031</v>
      </c>
      <c r="AE265" s="9">
        <f t="shared" si="61"/>
        <v>2025</v>
      </c>
      <c r="AF265" s="17" t="str">
        <f t="shared" si="62"/>
        <v>11.2025</v>
      </c>
      <c r="AG265" s="17" t="str">
        <f t="shared" si="63"/>
        <v>Christiane Fiebag</v>
      </c>
      <c r="AH265" s="17" t="str">
        <f>IFERROR(VLOOKUP(B265,[1]Kundenübersicht!$E$4:$F$85,2,FALSE),"")</f>
        <v>Bettina Jungnickel</v>
      </c>
      <c r="AI265" s="17" t="str">
        <f t="shared" si="59"/>
        <v>Hauswirtschaft</v>
      </c>
      <c r="AJ265" s="17" t="str">
        <f t="shared" si="59"/>
        <v>Entlastungsleistung</v>
      </c>
      <c r="AL265" s="18">
        <f t="shared" si="53"/>
        <v>38</v>
      </c>
      <c r="AM265" s="18">
        <f t="shared" si="54"/>
        <v>75.999999999999986</v>
      </c>
      <c r="AN265" s="18">
        <f t="shared" si="55"/>
        <v>8.9949999999999992</v>
      </c>
    </row>
    <row r="266" spans="2:40" x14ac:dyDescent="0.25">
      <c r="B266" s="30" t="s">
        <v>52</v>
      </c>
      <c r="C266" s="31">
        <v>45968</v>
      </c>
      <c r="D266" s="32">
        <v>0.33333333333333331</v>
      </c>
      <c r="E266" s="32">
        <v>0.41666666666666669</v>
      </c>
      <c r="F266" s="12">
        <f t="shared" si="57"/>
        <v>2.0000000000000009</v>
      </c>
      <c r="G266" s="12">
        <v>5.3</v>
      </c>
      <c r="H266" s="30" t="s">
        <v>33</v>
      </c>
      <c r="I266" s="30" t="s">
        <v>27</v>
      </c>
      <c r="J266" s="30" t="s">
        <v>28</v>
      </c>
      <c r="K266" s="9" t="str">
        <f>IFERROR(VLOOKUP($B266,[1]Kundenübersicht!$E$4:$AC$1003,MATCH(K$3,[1]Kundenübersicht!$E$3:$BA$3,FALSE),FALSE),"")</f>
        <v>AOK PLUS</v>
      </c>
      <c r="L266" s="13">
        <f>IFERROR(VLOOKUP(B266,[1]Kundenübersicht!$E$4:$AC$1003,MATCH(L$3,[1]Kundenübersicht!$E$3:$BA$3,FALSE),FALSE),"")</f>
        <v>107299005</v>
      </c>
      <c r="M266" s="13" t="str">
        <f>IFERROR(VLOOKUP(B266,[1]Kundenübersicht!$E$4:$AC$1003,MATCH(M$3,[1]Kundenübersicht!$E$3:$BA$3,FALSE),FALSE),"")</f>
        <v>G562042888</v>
      </c>
      <c r="N266" s="13" t="str">
        <f>IFERROR(VLOOKUP(B266,[1]Kundenübersicht!$E$4:$AC$1003,MATCH(N$3,[1]Kundenübersicht!$E$3:$BA$3,FALSE),FALSE),"")</f>
        <v>PG 2</v>
      </c>
      <c r="P266" s="9" t="s">
        <v>29</v>
      </c>
      <c r="R266" s="9" t="str">
        <f t="shared" si="51"/>
        <v>Unterschrieben</v>
      </c>
      <c r="S266" s="14" t="s">
        <v>31</v>
      </c>
      <c r="U266" s="15">
        <f>IF(YEAR(C266)&lt;=2025,IFERROR(IF(I266="Hauswirtschaft",VLOOKUP($B266,[1]Kundenübersicht!$E$4:$BA$1003,MATCH("Hauswirtschaft [€/Stunde]",[1]Kundenübersicht!$E$3:$BA$3,FALSE),FALSE),VLOOKUP($B266,[1]Kundenübersicht!$E$4:$BA$1003,MATCH("Alltagsbegleitung [€/Stunde]",[1]Kundenübersicht!$E$3:$BA$3,FALSE),FALSE)),0),IFERROR(IF(I266="Hauswirtschaft",VLOOKUP($B266,[1]Kundenübersicht!$E$4:$BA$1003,MATCH("HW ab 2026 [€/Stunde]",[1]Kundenübersicht!$E$3:$BA$3,FALSE),FALSE),VLOOKUP($B266,[1]Kundenübersicht!$E$4:$BA$1003,MATCH("Alltagsbegleitung [€/Stunde]",[1]Kundenübersicht!$E$3:$BA$3,FALSE),FALSE)),0))</f>
        <v>32.75</v>
      </c>
      <c r="V266" s="16">
        <f t="shared" si="58"/>
        <v>65.500000000000028</v>
      </c>
      <c r="W266" s="16">
        <f t="shared" si="60"/>
        <v>0</v>
      </c>
      <c r="X266" s="16" t="str">
        <f>VLOOKUP(B266,[1]Kundenübersicht!E:AG,MATCH($X$3,[1]Kundenübersicht!$E$3:$AY$3,0),FALSE)</f>
        <v>Alt</v>
      </c>
      <c r="Z266" s="20" t="str">
        <f t="shared" si="52"/>
        <v>Ja</v>
      </c>
      <c r="AA266" s="19">
        <v>46009</v>
      </c>
      <c r="AC266" s="19">
        <v>46045</v>
      </c>
      <c r="AE266" s="9">
        <f t="shared" si="61"/>
        <v>2025</v>
      </c>
      <c r="AF266" s="17" t="str">
        <f t="shared" si="62"/>
        <v>11.2025</v>
      </c>
      <c r="AG266" s="17" t="str">
        <f t="shared" si="63"/>
        <v>Christiane Fiebag</v>
      </c>
      <c r="AH266" s="17" t="str">
        <f>IFERROR(VLOOKUP(B266,[1]Kundenübersicht!$E$4:$F$85,2,FALSE),"")</f>
        <v>Matthias Roß</v>
      </c>
      <c r="AI266" s="17" t="str">
        <f t="shared" si="59"/>
        <v>Hauswirtschaft</v>
      </c>
      <c r="AJ266" s="17" t="str">
        <f t="shared" si="59"/>
        <v>Entlastungsleistung</v>
      </c>
      <c r="AL266" s="18">
        <f t="shared" si="53"/>
        <v>38</v>
      </c>
      <c r="AM266" s="18">
        <f t="shared" si="54"/>
        <v>76.000000000000028</v>
      </c>
      <c r="AN266" s="18">
        <f t="shared" si="55"/>
        <v>1.8549999999999998</v>
      </c>
    </row>
    <row r="267" spans="2:40" x14ac:dyDescent="0.25">
      <c r="B267" s="30" t="s">
        <v>52</v>
      </c>
      <c r="C267" s="31">
        <v>45974</v>
      </c>
      <c r="D267" s="32">
        <v>0.3125</v>
      </c>
      <c r="E267" s="32">
        <v>0.39583333333333331</v>
      </c>
      <c r="F267" s="12">
        <f t="shared" si="57"/>
        <v>1.9999999999999996</v>
      </c>
      <c r="G267" s="12">
        <v>2.7</v>
      </c>
      <c r="H267" s="30" t="s">
        <v>33</v>
      </c>
      <c r="I267" s="30" t="s">
        <v>27</v>
      </c>
      <c r="J267" s="30" t="s">
        <v>28</v>
      </c>
      <c r="K267" s="9" t="str">
        <f>IFERROR(VLOOKUP($B267,[1]Kundenübersicht!$E$4:$AC$1003,MATCH(K$3,[1]Kundenübersicht!$E$3:$BA$3,FALSE),FALSE),"")</f>
        <v>AOK PLUS</v>
      </c>
      <c r="L267" s="13">
        <f>IFERROR(VLOOKUP(B267,[1]Kundenübersicht!$E$4:$AC$1003,MATCH(L$3,[1]Kundenübersicht!$E$3:$BA$3,FALSE),FALSE),"")</f>
        <v>107299005</v>
      </c>
      <c r="M267" s="13" t="str">
        <f>IFERROR(VLOOKUP(B267,[1]Kundenübersicht!$E$4:$AC$1003,MATCH(M$3,[1]Kundenübersicht!$E$3:$BA$3,FALSE),FALSE),"")</f>
        <v>G562042888</v>
      </c>
      <c r="N267" s="13" t="str">
        <f>IFERROR(VLOOKUP(B267,[1]Kundenübersicht!$E$4:$AC$1003,MATCH(N$3,[1]Kundenübersicht!$E$3:$BA$3,FALSE),FALSE),"")</f>
        <v>PG 2</v>
      </c>
      <c r="P267" s="9" t="s">
        <v>29</v>
      </c>
      <c r="R267" s="9" t="str">
        <f t="shared" si="51"/>
        <v>Unterschrieben</v>
      </c>
      <c r="S267" s="14" t="s">
        <v>31</v>
      </c>
      <c r="U267" s="15">
        <f>IF(YEAR(C267)&lt;=2025,IFERROR(IF(I267="Hauswirtschaft",VLOOKUP($B267,[1]Kundenübersicht!$E$4:$BA$1003,MATCH("Hauswirtschaft [€/Stunde]",[1]Kundenübersicht!$E$3:$BA$3,FALSE),FALSE),VLOOKUP($B267,[1]Kundenübersicht!$E$4:$BA$1003,MATCH("Alltagsbegleitung [€/Stunde]",[1]Kundenübersicht!$E$3:$BA$3,FALSE),FALSE)),0),IFERROR(IF(I267="Hauswirtschaft",VLOOKUP($B267,[1]Kundenübersicht!$E$4:$BA$1003,MATCH("HW ab 2026 [€/Stunde]",[1]Kundenübersicht!$E$3:$BA$3,FALSE),FALSE),VLOOKUP($B267,[1]Kundenübersicht!$E$4:$BA$1003,MATCH("Alltagsbegleitung [€/Stunde]",[1]Kundenübersicht!$E$3:$BA$3,FALSE),FALSE)),0))</f>
        <v>32.75</v>
      </c>
      <c r="V267" s="16">
        <f t="shared" si="58"/>
        <v>65.499999999999986</v>
      </c>
      <c r="W267" s="16">
        <f t="shared" si="60"/>
        <v>0</v>
      </c>
      <c r="X267" s="16" t="str">
        <f>VLOOKUP(B267,[1]Kundenübersicht!E:AG,MATCH($X$3,[1]Kundenübersicht!$E$3:$AY$3,0),FALSE)</f>
        <v>Alt</v>
      </c>
      <c r="Z267" s="20" t="str">
        <f t="shared" si="52"/>
        <v>Ja</v>
      </c>
      <c r="AA267" s="19">
        <v>46009</v>
      </c>
      <c r="AC267" s="19">
        <v>46045</v>
      </c>
      <c r="AE267" s="9">
        <f t="shared" si="61"/>
        <v>2025</v>
      </c>
      <c r="AF267" s="17" t="str">
        <f t="shared" si="62"/>
        <v>11.2025</v>
      </c>
      <c r="AG267" s="17" t="str">
        <f t="shared" si="63"/>
        <v>Christiane Fiebag</v>
      </c>
      <c r="AH267" s="17" t="str">
        <f>IFERROR(VLOOKUP(B267,[1]Kundenübersicht!$E$4:$F$85,2,FALSE),"")</f>
        <v>Matthias Roß</v>
      </c>
      <c r="AI267" s="17" t="str">
        <f t="shared" si="59"/>
        <v>Hauswirtschaft</v>
      </c>
      <c r="AJ267" s="17" t="str">
        <f t="shared" si="59"/>
        <v>Entlastungsleistung</v>
      </c>
      <c r="AL267" s="18">
        <f t="shared" si="53"/>
        <v>38</v>
      </c>
      <c r="AM267" s="18">
        <f t="shared" si="54"/>
        <v>75.999999999999986</v>
      </c>
      <c r="AN267" s="18">
        <f t="shared" si="55"/>
        <v>0.94499999999999995</v>
      </c>
    </row>
    <row r="268" spans="2:40" x14ac:dyDescent="0.25">
      <c r="B268" s="30" t="s">
        <v>52</v>
      </c>
      <c r="C268" s="31">
        <v>45981</v>
      </c>
      <c r="D268" s="32">
        <v>0.41666666666666669</v>
      </c>
      <c r="E268" s="32">
        <v>0.47916666666666669</v>
      </c>
      <c r="F268" s="12">
        <f t="shared" si="57"/>
        <v>1.5</v>
      </c>
      <c r="G268" s="12">
        <v>1.9</v>
      </c>
      <c r="H268" s="30" t="s">
        <v>33</v>
      </c>
      <c r="I268" s="30" t="s">
        <v>27</v>
      </c>
      <c r="J268" s="30" t="s">
        <v>28</v>
      </c>
      <c r="K268" s="9" t="str">
        <f>IFERROR(VLOOKUP($B268,[1]Kundenübersicht!$E$4:$AC$1003,MATCH(K$3,[1]Kundenübersicht!$E$3:$BA$3,FALSE),FALSE),"")</f>
        <v>AOK PLUS</v>
      </c>
      <c r="L268" s="13">
        <f>IFERROR(VLOOKUP(B268,[1]Kundenübersicht!$E$4:$AC$1003,MATCH(L$3,[1]Kundenübersicht!$E$3:$BA$3,FALSE),FALSE),"")</f>
        <v>107299005</v>
      </c>
      <c r="M268" s="13" t="str">
        <f>IFERROR(VLOOKUP(B268,[1]Kundenübersicht!$E$4:$AC$1003,MATCH(M$3,[1]Kundenübersicht!$E$3:$BA$3,FALSE),FALSE),"")</f>
        <v>G562042888</v>
      </c>
      <c r="N268" s="13" t="str">
        <f>IFERROR(VLOOKUP(B268,[1]Kundenübersicht!$E$4:$AC$1003,MATCH(N$3,[1]Kundenübersicht!$E$3:$BA$3,FALSE),FALSE),"")</f>
        <v>PG 2</v>
      </c>
      <c r="P268" s="9" t="s">
        <v>29</v>
      </c>
      <c r="R268" s="9" t="str">
        <f t="shared" si="51"/>
        <v>Unterschrieben</v>
      </c>
      <c r="S268" s="14" t="s">
        <v>31</v>
      </c>
      <c r="U268" s="15">
        <f>IF(YEAR(C268)&lt;=2025,IFERROR(IF(I268="Hauswirtschaft",VLOOKUP($B268,[1]Kundenübersicht!$E$4:$BA$1003,MATCH("Hauswirtschaft [€/Stunde]",[1]Kundenübersicht!$E$3:$BA$3,FALSE),FALSE),VLOOKUP($B268,[1]Kundenübersicht!$E$4:$BA$1003,MATCH("Alltagsbegleitung [€/Stunde]",[1]Kundenübersicht!$E$3:$BA$3,FALSE),FALSE)),0),IFERROR(IF(I268="Hauswirtschaft",VLOOKUP($B268,[1]Kundenübersicht!$E$4:$BA$1003,MATCH("HW ab 2026 [€/Stunde]",[1]Kundenübersicht!$E$3:$BA$3,FALSE),FALSE),VLOOKUP($B268,[1]Kundenübersicht!$E$4:$BA$1003,MATCH("Alltagsbegleitung [€/Stunde]",[1]Kundenübersicht!$E$3:$BA$3,FALSE),FALSE)),0))</f>
        <v>32.75</v>
      </c>
      <c r="V268" s="16">
        <f t="shared" si="58"/>
        <v>49.125</v>
      </c>
      <c r="W268" s="16">
        <f t="shared" si="60"/>
        <v>0</v>
      </c>
      <c r="X268" s="16" t="str">
        <f>VLOOKUP(B268,[1]Kundenübersicht!E:AG,MATCH($X$3,[1]Kundenübersicht!$E$3:$AY$3,0),FALSE)</f>
        <v>Alt</v>
      </c>
      <c r="Z268" s="20" t="str">
        <f t="shared" si="52"/>
        <v>Ja</v>
      </c>
      <c r="AA268" s="19">
        <v>46009</v>
      </c>
      <c r="AC268" s="19">
        <v>46045</v>
      </c>
      <c r="AE268" s="9">
        <f t="shared" si="61"/>
        <v>2025</v>
      </c>
      <c r="AF268" s="17" t="str">
        <f t="shared" si="62"/>
        <v>11.2025</v>
      </c>
      <c r="AG268" s="17" t="str">
        <f t="shared" si="63"/>
        <v>Christiane Fiebag</v>
      </c>
      <c r="AH268" s="17" t="str">
        <f>IFERROR(VLOOKUP(B268,[1]Kundenübersicht!$E$4:$F$85,2,FALSE),"")</f>
        <v>Matthias Roß</v>
      </c>
      <c r="AI268" s="17" t="str">
        <f t="shared" si="59"/>
        <v>Hauswirtschaft</v>
      </c>
      <c r="AJ268" s="17" t="str">
        <f t="shared" si="59"/>
        <v>Entlastungsleistung</v>
      </c>
      <c r="AL268" s="18">
        <f t="shared" si="53"/>
        <v>38</v>
      </c>
      <c r="AM268" s="18">
        <f t="shared" si="54"/>
        <v>57</v>
      </c>
      <c r="AN268" s="18">
        <f t="shared" si="55"/>
        <v>0.66499999999999992</v>
      </c>
    </row>
    <row r="269" spans="2:40" x14ac:dyDescent="0.25">
      <c r="B269" s="30" t="s">
        <v>52</v>
      </c>
      <c r="C269" s="31">
        <v>45986</v>
      </c>
      <c r="D269" s="32">
        <v>0.35416666666666669</v>
      </c>
      <c r="E269" s="32">
        <v>0.4375</v>
      </c>
      <c r="F269" s="12">
        <f t="shared" si="57"/>
        <v>1.9999999999999996</v>
      </c>
      <c r="G269" s="12">
        <v>2.2999999999999998</v>
      </c>
      <c r="H269" s="30" t="s">
        <v>33</v>
      </c>
      <c r="I269" s="30" t="s">
        <v>27</v>
      </c>
      <c r="J269" s="30" t="s">
        <v>28</v>
      </c>
      <c r="K269" s="9" t="str">
        <f>IFERROR(VLOOKUP($B269,[1]Kundenübersicht!$E$4:$AC$1003,MATCH(K$3,[1]Kundenübersicht!$E$3:$BA$3,FALSE),FALSE),"")</f>
        <v>AOK PLUS</v>
      </c>
      <c r="L269" s="13">
        <f>IFERROR(VLOOKUP(B269,[1]Kundenübersicht!$E$4:$AC$1003,MATCH(L$3,[1]Kundenübersicht!$E$3:$BA$3,FALSE),FALSE),"")</f>
        <v>107299005</v>
      </c>
      <c r="M269" s="13" t="str">
        <f>IFERROR(VLOOKUP(B269,[1]Kundenübersicht!$E$4:$AC$1003,MATCH(M$3,[1]Kundenübersicht!$E$3:$BA$3,FALSE),FALSE),"")</f>
        <v>G562042888</v>
      </c>
      <c r="N269" s="13" t="str">
        <f>IFERROR(VLOOKUP(B269,[1]Kundenübersicht!$E$4:$AC$1003,MATCH(N$3,[1]Kundenübersicht!$E$3:$BA$3,FALSE),FALSE),"")</f>
        <v>PG 2</v>
      </c>
      <c r="P269" s="9" t="s">
        <v>29</v>
      </c>
      <c r="R269" s="9" t="str">
        <f t="shared" si="51"/>
        <v>Unterschrieben</v>
      </c>
      <c r="S269" s="14" t="s">
        <v>31</v>
      </c>
      <c r="U269" s="15">
        <f>IF(YEAR(C269)&lt;=2025,IFERROR(IF(I269="Hauswirtschaft",VLOOKUP($B269,[1]Kundenübersicht!$E$4:$BA$1003,MATCH("Hauswirtschaft [€/Stunde]",[1]Kundenübersicht!$E$3:$BA$3,FALSE),FALSE),VLOOKUP($B269,[1]Kundenübersicht!$E$4:$BA$1003,MATCH("Alltagsbegleitung [€/Stunde]",[1]Kundenübersicht!$E$3:$BA$3,FALSE),FALSE)),0),IFERROR(IF(I269="Hauswirtschaft",VLOOKUP($B269,[1]Kundenübersicht!$E$4:$BA$1003,MATCH("HW ab 2026 [€/Stunde]",[1]Kundenübersicht!$E$3:$BA$3,FALSE),FALSE),VLOOKUP($B269,[1]Kundenübersicht!$E$4:$BA$1003,MATCH("Alltagsbegleitung [€/Stunde]",[1]Kundenübersicht!$E$3:$BA$3,FALSE),FALSE)),0))</f>
        <v>32.75</v>
      </c>
      <c r="V269" s="16">
        <f t="shared" si="58"/>
        <v>65.499999999999986</v>
      </c>
      <c r="W269" s="16">
        <f t="shared" si="60"/>
        <v>0</v>
      </c>
      <c r="X269" s="16" t="str">
        <f>VLOOKUP(B269,[1]Kundenübersicht!E:AG,MATCH($X$3,[1]Kundenübersicht!$E$3:$AY$3,0),FALSE)</f>
        <v>Alt</v>
      </c>
      <c r="Z269" s="20" t="str">
        <f t="shared" si="52"/>
        <v>Ja</v>
      </c>
      <c r="AA269" s="19">
        <v>46009</v>
      </c>
      <c r="AC269" s="19">
        <v>46045</v>
      </c>
      <c r="AE269" s="9">
        <f t="shared" si="61"/>
        <v>2025</v>
      </c>
      <c r="AF269" s="17" t="str">
        <f t="shared" si="62"/>
        <v>11.2025</v>
      </c>
      <c r="AG269" s="17" t="str">
        <f t="shared" si="63"/>
        <v>Christiane Fiebag</v>
      </c>
      <c r="AH269" s="17" t="str">
        <f>IFERROR(VLOOKUP(B269,[1]Kundenübersicht!$E$4:$F$85,2,FALSE),"")</f>
        <v>Matthias Roß</v>
      </c>
      <c r="AI269" s="17" t="str">
        <f t="shared" si="59"/>
        <v>Hauswirtschaft</v>
      </c>
      <c r="AJ269" s="17" t="str">
        <f t="shared" si="59"/>
        <v>Entlastungsleistung</v>
      </c>
      <c r="AL269" s="18">
        <f t="shared" si="53"/>
        <v>38</v>
      </c>
      <c r="AM269" s="18">
        <f t="shared" si="54"/>
        <v>75.999999999999986</v>
      </c>
      <c r="AN269" s="18">
        <f t="shared" si="55"/>
        <v>0.80499999999999994</v>
      </c>
    </row>
    <row r="270" spans="2:40" x14ac:dyDescent="0.25">
      <c r="B270" s="30" t="s">
        <v>74</v>
      </c>
      <c r="C270" s="31">
        <v>45971</v>
      </c>
      <c r="D270" s="32">
        <v>0.33333333333333331</v>
      </c>
      <c r="E270" s="32">
        <v>0.39583333333333331</v>
      </c>
      <c r="F270" s="12">
        <f t="shared" si="57"/>
        <v>1.5</v>
      </c>
      <c r="G270" s="12">
        <v>9</v>
      </c>
      <c r="H270" s="30" t="s">
        <v>33</v>
      </c>
      <c r="I270" s="30" t="s">
        <v>27</v>
      </c>
      <c r="J270" s="30" t="s">
        <v>28</v>
      </c>
      <c r="K270" s="9" t="str">
        <f>IFERROR(VLOOKUP($B270,[1]Kundenübersicht!$E$4:$AC$1003,MATCH(K$3,[1]Kundenübersicht!$E$3:$BA$3,FALSE),FALSE),"")</f>
        <v>AOK PLUS</v>
      </c>
      <c r="L270" s="13">
        <f>IFERROR(VLOOKUP(B270,[1]Kundenübersicht!$E$4:$AC$1003,MATCH(L$3,[1]Kundenübersicht!$E$3:$BA$3,FALSE),FALSE),"")</f>
        <v>107299005</v>
      </c>
      <c r="M270" s="13" t="str">
        <f>IFERROR(VLOOKUP(B270,[1]Kundenübersicht!$E$4:$AC$1003,MATCH(M$3,[1]Kundenübersicht!$E$3:$BA$3,FALSE),FALSE),"")</f>
        <v>V160231492</v>
      </c>
      <c r="N270" s="13" t="str">
        <f>IFERROR(VLOOKUP(B270,[1]Kundenübersicht!$E$4:$AC$1003,MATCH(N$3,[1]Kundenübersicht!$E$3:$BA$3,FALSE),FALSE),"")</f>
        <v>PG 2</v>
      </c>
      <c r="P270" s="9" t="s">
        <v>29</v>
      </c>
      <c r="R270" s="9" t="str">
        <f t="shared" si="51"/>
        <v>Unterschrieben</v>
      </c>
      <c r="S270" s="14" t="s">
        <v>31</v>
      </c>
      <c r="U270" s="15">
        <f>IF(YEAR(C270)&lt;=2025,IFERROR(IF(I270="Hauswirtschaft",VLOOKUP($B270,[1]Kundenübersicht!$E$4:$BA$1003,MATCH("Hauswirtschaft [€/Stunde]",[1]Kundenübersicht!$E$3:$BA$3,FALSE),FALSE),VLOOKUP($B270,[1]Kundenübersicht!$E$4:$BA$1003,MATCH("Alltagsbegleitung [€/Stunde]",[1]Kundenübersicht!$E$3:$BA$3,FALSE),FALSE)),0),IFERROR(IF(I270="Hauswirtschaft",VLOOKUP($B270,[1]Kundenübersicht!$E$4:$BA$1003,MATCH("HW ab 2026 [€/Stunde]",[1]Kundenübersicht!$E$3:$BA$3,FALSE),FALSE),VLOOKUP($B270,[1]Kundenübersicht!$E$4:$BA$1003,MATCH("Alltagsbegleitung [€/Stunde]",[1]Kundenübersicht!$E$3:$BA$3,FALSE),FALSE)),0))</f>
        <v>38</v>
      </c>
      <c r="V270" s="16">
        <f t="shared" si="58"/>
        <v>57</v>
      </c>
      <c r="W270" s="16">
        <f t="shared" si="60"/>
        <v>3.15</v>
      </c>
      <c r="X270" s="16" t="str">
        <f>VLOOKUP(B270,[1]Kundenübersicht!E:AG,MATCH($X$3,[1]Kundenübersicht!$E$3:$AY$3,0),FALSE)</f>
        <v>Neu</v>
      </c>
      <c r="Z270" s="20" t="str">
        <f t="shared" si="52"/>
        <v>Ja</v>
      </c>
      <c r="AA270" s="19">
        <v>46009</v>
      </c>
      <c r="AC270" s="19">
        <v>46045</v>
      </c>
      <c r="AE270" s="9">
        <f t="shared" si="61"/>
        <v>2025</v>
      </c>
      <c r="AF270" s="17" t="str">
        <f t="shared" si="62"/>
        <v>11.2025</v>
      </c>
      <c r="AG270" s="17" t="str">
        <f t="shared" si="63"/>
        <v>Christiane Fiebag</v>
      </c>
      <c r="AH270" s="17" t="str">
        <f>IFERROR(VLOOKUP(B270,[1]Kundenübersicht!$E$4:$F$85,2,FALSE),"")</f>
        <v>Gertraude Falk</v>
      </c>
      <c r="AI270" s="17" t="str">
        <f t="shared" si="59"/>
        <v>Hauswirtschaft</v>
      </c>
      <c r="AJ270" s="17" t="str">
        <f t="shared" si="59"/>
        <v>Entlastungsleistung</v>
      </c>
      <c r="AL270" s="18">
        <f t="shared" si="53"/>
        <v>38</v>
      </c>
      <c r="AM270" s="18">
        <f t="shared" si="54"/>
        <v>57</v>
      </c>
      <c r="AN270" s="18">
        <f t="shared" si="55"/>
        <v>3.15</v>
      </c>
    </row>
    <row r="271" spans="2:40" x14ac:dyDescent="0.25">
      <c r="B271" s="30" t="s">
        <v>74</v>
      </c>
      <c r="C271" s="31">
        <v>45985</v>
      </c>
      <c r="D271" s="32">
        <v>0.58333333333333337</v>
      </c>
      <c r="E271" s="32">
        <v>0.64583333333333337</v>
      </c>
      <c r="F271" s="12">
        <f t="shared" si="57"/>
        <v>1.5</v>
      </c>
      <c r="G271" s="12">
        <v>10.1</v>
      </c>
      <c r="H271" s="30" t="s">
        <v>33</v>
      </c>
      <c r="I271" s="30" t="s">
        <v>27</v>
      </c>
      <c r="J271" s="30" t="s">
        <v>28</v>
      </c>
      <c r="K271" s="9" t="str">
        <f>IFERROR(VLOOKUP($B271,[1]Kundenübersicht!$E$4:$AC$1003,MATCH(K$3,[1]Kundenübersicht!$E$3:$BA$3,FALSE),FALSE),"")</f>
        <v>AOK PLUS</v>
      </c>
      <c r="L271" s="13">
        <f>IFERROR(VLOOKUP(B271,[1]Kundenübersicht!$E$4:$AC$1003,MATCH(L$3,[1]Kundenübersicht!$E$3:$BA$3,FALSE),FALSE),"")</f>
        <v>107299005</v>
      </c>
      <c r="M271" s="13" t="str">
        <f>IFERROR(VLOOKUP(B271,[1]Kundenübersicht!$E$4:$AC$1003,MATCH(M$3,[1]Kundenübersicht!$E$3:$BA$3,FALSE),FALSE),"")</f>
        <v>V160231492</v>
      </c>
      <c r="N271" s="13" t="str">
        <f>IFERROR(VLOOKUP(B271,[1]Kundenübersicht!$E$4:$AC$1003,MATCH(N$3,[1]Kundenübersicht!$E$3:$BA$3,FALSE),FALSE),"")</f>
        <v>PG 2</v>
      </c>
      <c r="P271" s="9" t="s">
        <v>29</v>
      </c>
      <c r="R271" s="9" t="str">
        <f t="shared" si="51"/>
        <v>Unterschrieben</v>
      </c>
      <c r="S271" s="14" t="s">
        <v>31</v>
      </c>
      <c r="U271" s="15">
        <f>IF(YEAR(C271)&lt;=2025,IFERROR(IF(I271="Hauswirtschaft",VLOOKUP($B271,[1]Kundenübersicht!$E$4:$BA$1003,MATCH("Hauswirtschaft [€/Stunde]",[1]Kundenübersicht!$E$3:$BA$3,FALSE),FALSE),VLOOKUP($B271,[1]Kundenübersicht!$E$4:$BA$1003,MATCH("Alltagsbegleitung [€/Stunde]",[1]Kundenübersicht!$E$3:$BA$3,FALSE),FALSE)),0),IFERROR(IF(I271="Hauswirtschaft",VLOOKUP($B271,[1]Kundenübersicht!$E$4:$BA$1003,MATCH("HW ab 2026 [€/Stunde]",[1]Kundenübersicht!$E$3:$BA$3,FALSE),FALSE),VLOOKUP($B271,[1]Kundenübersicht!$E$4:$BA$1003,MATCH("Alltagsbegleitung [€/Stunde]",[1]Kundenübersicht!$E$3:$BA$3,FALSE),FALSE)),0))</f>
        <v>38</v>
      </c>
      <c r="V271" s="16">
        <f t="shared" si="58"/>
        <v>57</v>
      </c>
      <c r="W271" s="16">
        <f t="shared" si="60"/>
        <v>3.5349999999999997</v>
      </c>
      <c r="X271" s="16" t="str">
        <f>VLOOKUP(B271,[1]Kundenübersicht!E:AG,MATCH($X$3,[1]Kundenübersicht!$E$3:$AY$3,0),FALSE)</f>
        <v>Neu</v>
      </c>
      <c r="Z271" s="20" t="str">
        <f t="shared" si="52"/>
        <v>Ja</v>
      </c>
      <c r="AA271" s="19">
        <v>46009</v>
      </c>
      <c r="AC271" s="19">
        <v>46045</v>
      </c>
      <c r="AE271" s="9">
        <f t="shared" si="61"/>
        <v>2025</v>
      </c>
      <c r="AF271" s="17" t="str">
        <f t="shared" si="62"/>
        <v>11.2025</v>
      </c>
      <c r="AG271" s="17" t="str">
        <f t="shared" si="63"/>
        <v>Christiane Fiebag</v>
      </c>
      <c r="AH271" s="17" t="str">
        <f>IFERROR(VLOOKUP(B271,[1]Kundenübersicht!$E$4:$F$85,2,FALSE),"")</f>
        <v>Gertraude Falk</v>
      </c>
      <c r="AI271" s="17" t="str">
        <f t="shared" si="59"/>
        <v>Hauswirtschaft</v>
      </c>
      <c r="AJ271" s="17" t="str">
        <f t="shared" si="59"/>
        <v>Entlastungsleistung</v>
      </c>
      <c r="AL271" s="18">
        <f t="shared" si="53"/>
        <v>38</v>
      </c>
      <c r="AM271" s="18">
        <f t="shared" si="54"/>
        <v>57</v>
      </c>
      <c r="AN271" s="18">
        <f t="shared" si="55"/>
        <v>3.5349999999999997</v>
      </c>
    </row>
    <row r="272" spans="2:40" x14ac:dyDescent="0.25">
      <c r="B272" s="30" t="s">
        <v>34</v>
      </c>
      <c r="C272" s="31">
        <v>45965</v>
      </c>
      <c r="D272" s="32">
        <v>0.35416666666666669</v>
      </c>
      <c r="E272" s="32">
        <v>0.40625</v>
      </c>
      <c r="F272" s="12">
        <f t="shared" si="57"/>
        <v>1.2499999999999996</v>
      </c>
      <c r="G272" s="12">
        <v>7</v>
      </c>
      <c r="H272" s="30" t="s">
        <v>33</v>
      </c>
      <c r="I272" s="30" t="s">
        <v>41</v>
      </c>
      <c r="J272" s="30" t="s">
        <v>28</v>
      </c>
      <c r="K272" s="9" t="str">
        <f>IFERROR(VLOOKUP($B272,[1]Kundenübersicht!$E$4:$AC$1003,MATCH(K$3,[1]Kundenübersicht!$E$3:$BA$3,FALSE),FALSE),"")</f>
        <v>AOK PLUS</v>
      </c>
      <c r="L272" s="13">
        <f>IFERROR(VLOOKUP(B272,[1]Kundenübersicht!$E$4:$AC$1003,MATCH(L$3,[1]Kundenübersicht!$E$3:$BA$3,FALSE),FALSE),"")</f>
        <v>107299005</v>
      </c>
      <c r="M272" s="13" t="str">
        <f>IFERROR(VLOOKUP(B272,[1]Kundenübersicht!$E$4:$AC$1003,MATCH(M$3,[1]Kundenübersicht!$E$3:$BA$3,FALSE),FALSE),"")</f>
        <v>R234942678</v>
      </c>
      <c r="N272" s="13" t="str">
        <f>IFERROR(VLOOKUP(B272,[1]Kundenübersicht!$E$4:$AC$1003,MATCH(N$3,[1]Kundenübersicht!$E$3:$BA$3,FALSE),FALSE),"")</f>
        <v>PG 2</v>
      </c>
      <c r="P272" s="9" t="s">
        <v>29</v>
      </c>
      <c r="R272" s="9" t="str">
        <f t="shared" si="51"/>
        <v>Unterschrieben</v>
      </c>
      <c r="S272" s="14" t="s">
        <v>31</v>
      </c>
      <c r="U272" s="15">
        <f>IF(YEAR(C272)&lt;=2025,IFERROR(IF(I272="Hauswirtschaft",VLOOKUP($B272,[1]Kundenübersicht!$E$4:$BA$1003,MATCH("Hauswirtschaft [€/Stunde]",[1]Kundenübersicht!$E$3:$BA$3,FALSE),FALSE),VLOOKUP($B272,[1]Kundenübersicht!$E$4:$BA$1003,MATCH("Alltagsbegleitung [€/Stunde]",[1]Kundenübersicht!$E$3:$BA$3,FALSE),FALSE)),0),IFERROR(IF(I272="Hauswirtschaft",VLOOKUP($B272,[1]Kundenübersicht!$E$4:$BA$1003,MATCH("HW ab 2026 [€/Stunde]",[1]Kundenübersicht!$E$3:$BA$3,FALSE),FALSE),VLOOKUP($B272,[1]Kundenübersicht!$E$4:$BA$1003,MATCH("Alltagsbegleitung [€/Stunde]",[1]Kundenübersicht!$E$3:$BA$3,FALSE),FALSE)),0))</f>
        <v>42</v>
      </c>
      <c r="V272" s="16">
        <f t="shared" si="58"/>
        <v>52.499999999999979</v>
      </c>
      <c r="W272" s="16">
        <f t="shared" si="60"/>
        <v>0</v>
      </c>
      <c r="X272" s="16" t="str">
        <f>VLOOKUP(B272,[1]Kundenübersicht!E:AG,MATCH($X$3,[1]Kundenübersicht!$E$3:$AY$3,0),FALSE)</f>
        <v>Alt</v>
      </c>
      <c r="Z272" s="20" t="str">
        <f t="shared" si="52"/>
        <v>Ja</v>
      </c>
      <c r="AA272" s="19">
        <v>46009</v>
      </c>
      <c r="AC272" s="19">
        <v>46045</v>
      </c>
      <c r="AE272" s="9">
        <f t="shared" si="61"/>
        <v>2025</v>
      </c>
      <c r="AF272" s="17" t="str">
        <f t="shared" si="62"/>
        <v>11.2025</v>
      </c>
      <c r="AG272" s="17" t="str">
        <f t="shared" si="63"/>
        <v>Christiane Fiebag</v>
      </c>
      <c r="AH272" s="17" t="str">
        <f>IFERROR(VLOOKUP(B272,[1]Kundenübersicht!$E$4:$F$85,2,FALSE),"")</f>
        <v>Dieter Berghold</v>
      </c>
      <c r="AI272" s="17" t="str">
        <f t="shared" si="59"/>
        <v>Alltagsbegleitung</v>
      </c>
      <c r="AJ272" s="17" t="str">
        <f t="shared" si="59"/>
        <v>Entlastungsleistung</v>
      </c>
      <c r="AL272" s="18">
        <f t="shared" si="53"/>
        <v>42</v>
      </c>
      <c r="AM272" s="18">
        <f t="shared" si="54"/>
        <v>52.499999999999979</v>
      </c>
      <c r="AN272" s="18">
        <f t="shared" si="55"/>
        <v>2.4499999999999997</v>
      </c>
    </row>
    <row r="273" spans="2:40" x14ac:dyDescent="0.25">
      <c r="B273" s="30" t="s">
        <v>34</v>
      </c>
      <c r="C273" s="31">
        <v>45965</v>
      </c>
      <c r="D273" s="32">
        <v>0.40625</v>
      </c>
      <c r="E273" s="32">
        <v>0.48958333333333331</v>
      </c>
      <c r="F273" s="12">
        <f t="shared" si="57"/>
        <v>1.9999999999999996</v>
      </c>
      <c r="G273" s="12">
        <v>6.9</v>
      </c>
      <c r="H273" s="30" t="s">
        <v>33</v>
      </c>
      <c r="I273" s="30" t="s">
        <v>27</v>
      </c>
      <c r="J273" s="30" t="s">
        <v>28</v>
      </c>
      <c r="K273" s="9" t="str">
        <f>IFERROR(VLOOKUP($B273,[1]Kundenübersicht!$E$4:$AC$1003,MATCH(K$3,[1]Kundenübersicht!$E$3:$BA$3,FALSE),FALSE),"")</f>
        <v>AOK PLUS</v>
      </c>
      <c r="L273" s="13">
        <f>IFERROR(VLOOKUP(B273,[1]Kundenübersicht!$E$4:$AC$1003,MATCH(L$3,[1]Kundenübersicht!$E$3:$BA$3,FALSE),FALSE),"")</f>
        <v>107299005</v>
      </c>
      <c r="M273" s="13" t="str">
        <f>IFERROR(VLOOKUP(B273,[1]Kundenübersicht!$E$4:$AC$1003,MATCH(M$3,[1]Kundenübersicht!$E$3:$BA$3,FALSE),FALSE),"")</f>
        <v>R234942678</v>
      </c>
      <c r="N273" s="13" t="str">
        <f>IFERROR(VLOOKUP(B273,[1]Kundenübersicht!$E$4:$AC$1003,MATCH(N$3,[1]Kundenübersicht!$E$3:$BA$3,FALSE),FALSE),"")</f>
        <v>PG 2</v>
      </c>
      <c r="P273" s="9" t="s">
        <v>29</v>
      </c>
      <c r="R273" s="9" t="str">
        <f t="shared" si="51"/>
        <v>Unterschrieben</v>
      </c>
      <c r="S273" s="14" t="s">
        <v>31</v>
      </c>
      <c r="U273" s="15">
        <f>IF(YEAR(C273)&lt;=2025,IFERROR(IF(I273="Hauswirtschaft",VLOOKUP($B273,[1]Kundenübersicht!$E$4:$BA$1003,MATCH("Hauswirtschaft [€/Stunde]",[1]Kundenübersicht!$E$3:$BA$3,FALSE),FALSE),VLOOKUP($B273,[1]Kundenübersicht!$E$4:$BA$1003,MATCH("Alltagsbegleitung [€/Stunde]",[1]Kundenübersicht!$E$3:$BA$3,FALSE),FALSE)),0),IFERROR(IF(I273="Hauswirtschaft",VLOOKUP($B273,[1]Kundenübersicht!$E$4:$BA$1003,MATCH("HW ab 2026 [€/Stunde]",[1]Kundenübersicht!$E$3:$BA$3,FALSE),FALSE),VLOOKUP($B273,[1]Kundenübersicht!$E$4:$BA$1003,MATCH("Alltagsbegleitung [€/Stunde]",[1]Kundenübersicht!$E$3:$BA$3,FALSE),FALSE)),0))</f>
        <v>32.75</v>
      </c>
      <c r="V273" s="16">
        <f t="shared" si="58"/>
        <v>65.499999999999986</v>
      </c>
      <c r="W273" s="16">
        <f t="shared" si="60"/>
        <v>0</v>
      </c>
      <c r="X273" s="16" t="str">
        <f>VLOOKUP(B273,[1]Kundenübersicht!E:AG,MATCH($X$3,[1]Kundenübersicht!$E$3:$AY$3,0),FALSE)</f>
        <v>Alt</v>
      </c>
      <c r="Z273" s="20" t="str">
        <f t="shared" si="52"/>
        <v>Ja</v>
      </c>
      <c r="AA273" s="19">
        <v>46009</v>
      </c>
      <c r="AC273" s="19">
        <v>46045</v>
      </c>
      <c r="AE273" s="9">
        <f t="shared" si="61"/>
        <v>2025</v>
      </c>
      <c r="AF273" s="17" t="str">
        <f t="shared" si="62"/>
        <v>11.2025</v>
      </c>
      <c r="AG273" s="17" t="str">
        <f t="shared" si="63"/>
        <v>Christiane Fiebag</v>
      </c>
      <c r="AH273" s="17" t="str">
        <f>IFERROR(VLOOKUP(B273,[1]Kundenübersicht!$E$4:$F$85,2,FALSE),"")</f>
        <v>Dieter Berghold</v>
      </c>
      <c r="AI273" s="17" t="str">
        <f t="shared" si="59"/>
        <v>Hauswirtschaft</v>
      </c>
      <c r="AJ273" s="17" t="str">
        <f t="shared" si="59"/>
        <v>Entlastungsleistung</v>
      </c>
      <c r="AL273" s="18">
        <f t="shared" si="53"/>
        <v>38</v>
      </c>
      <c r="AM273" s="18">
        <f t="shared" si="54"/>
        <v>75.999999999999986</v>
      </c>
      <c r="AN273" s="18">
        <f t="shared" si="55"/>
        <v>2.415</v>
      </c>
    </row>
    <row r="274" spans="2:40" x14ac:dyDescent="0.25">
      <c r="B274" s="30" t="s">
        <v>34</v>
      </c>
      <c r="C274" s="31">
        <v>45971</v>
      </c>
      <c r="D274" s="32">
        <v>0.45833333333333331</v>
      </c>
      <c r="E274" s="32">
        <v>0.54166666666666663</v>
      </c>
      <c r="F274" s="12">
        <f t="shared" si="57"/>
        <v>1.9999999999999996</v>
      </c>
      <c r="G274" s="12">
        <v>10.3</v>
      </c>
      <c r="H274" s="30" t="s">
        <v>33</v>
      </c>
      <c r="I274" s="30" t="s">
        <v>27</v>
      </c>
      <c r="J274" s="30" t="s">
        <v>28</v>
      </c>
      <c r="K274" s="9" t="str">
        <f>IFERROR(VLOOKUP($B274,[1]Kundenübersicht!$E$4:$AC$1003,MATCH(K$3,[1]Kundenübersicht!$E$3:$BA$3,FALSE),FALSE),"")</f>
        <v>AOK PLUS</v>
      </c>
      <c r="L274" s="13">
        <f>IFERROR(VLOOKUP(B274,[1]Kundenübersicht!$E$4:$AC$1003,MATCH(L$3,[1]Kundenübersicht!$E$3:$BA$3,FALSE),FALSE),"")</f>
        <v>107299005</v>
      </c>
      <c r="M274" s="13" t="str">
        <f>IFERROR(VLOOKUP(B274,[1]Kundenübersicht!$E$4:$AC$1003,MATCH(M$3,[1]Kundenübersicht!$E$3:$BA$3,FALSE),FALSE),"")</f>
        <v>R234942678</v>
      </c>
      <c r="N274" s="13" t="str">
        <f>IFERROR(VLOOKUP(B274,[1]Kundenübersicht!$E$4:$AC$1003,MATCH(N$3,[1]Kundenübersicht!$E$3:$BA$3,FALSE),FALSE),"")</f>
        <v>PG 2</v>
      </c>
      <c r="P274" s="9" t="s">
        <v>29</v>
      </c>
      <c r="R274" s="9" t="str">
        <f t="shared" si="51"/>
        <v>Unterschrieben</v>
      </c>
      <c r="S274" s="14" t="s">
        <v>31</v>
      </c>
      <c r="U274" s="15">
        <f>IF(YEAR(C274)&lt;=2025,IFERROR(IF(I274="Hauswirtschaft",VLOOKUP($B274,[1]Kundenübersicht!$E$4:$BA$1003,MATCH("Hauswirtschaft [€/Stunde]",[1]Kundenübersicht!$E$3:$BA$3,FALSE),FALSE),VLOOKUP($B274,[1]Kundenübersicht!$E$4:$BA$1003,MATCH("Alltagsbegleitung [€/Stunde]",[1]Kundenübersicht!$E$3:$BA$3,FALSE),FALSE)),0),IFERROR(IF(I274="Hauswirtschaft",VLOOKUP($B274,[1]Kundenübersicht!$E$4:$BA$1003,MATCH("HW ab 2026 [€/Stunde]",[1]Kundenübersicht!$E$3:$BA$3,FALSE),FALSE),VLOOKUP($B274,[1]Kundenübersicht!$E$4:$BA$1003,MATCH("Alltagsbegleitung [€/Stunde]",[1]Kundenübersicht!$E$3:$BA$3,FALSE),FALSE)),0))</f>
        <v>32.75</v>
      </c>
      <c r="V274" s="16">
        <f t="shared" si="58"/>
        <v>65.499999999999986</v>
      </c>
      <c r="W274" s="16">
        <f t="shared" si="60"/>
        <v>0</v>
      </c>
      <c r="X274" s="16" t="str">
        <f>VLOOKUP(B274,[1]Kundenübersicht!E:AG,MATCH($X$3,[1]Kundenübersicht!$E$3:$AY$3,0),FALSE)</f>
        <v>Alt</v>
      </c>
      <c r="Z274" s="20" t="str">
        <f t="shared" si="52"/>
        <v>Ja</v>
      </c>
      <c r="AA274" s="19">
        <v>46009</v>
      </c>
      <c r="AC274" s="19">
        <v>46045</v>
      </c>
      <c r="AE274" s="9">
        <f t="shared" si="61"/>
        <v>2025</v>
      </c>
      <c r="AF274" s="17" t="str">
        <f t="shared" si="62"/>
        <v>11.2025</v>
      </c>
      <c r="AG274" s="17" t="str">
        <f t="shared" si="63"/>
        <v>Christiane Fiebag</v>
      </c>
      <c r="AH274" s="17" t="str">
        <f>IFERROR(VLOOKUP(B274,[1]Kundenübersicht!$E$4:$F$85,2,FALSE),"")</f>
        <v>Dieter Berghold</v>
      </c>
      <c r="AI274" s="17" t="str">
        <f t="shared" si="59"/>
        <v>Hauswirtschaft</v>
      </c>
      <c r="AJ274" s="17" t="str">
        <f t="shared" si="59"/>
        <v>Entlastungsleistung</v>
      </c>
      <c r="AL274" s="18">
        <f t="shared" si="53"/>
        <v>38</v>
      </c>
      <c r="AM274" s="18">
        <f t="shared" si="54"/>
        <v>75.999999999999986</v>
      </c>
      <c r="AN274" s="18">
        <f t="shared" si="55"/>
        <v>3.605</v>
      </c>
    </row>
    <row r="275" spans="2:40" x14ac:dyDescent="0.25">
      <c r="B275" s="30" t="s">
        <v>34</v>
      </c>
      <c r="C275" s="31">
        <v>45978</v>
      </c>
      <c r="D275" s="32">
        <v>0.45833333333333331</v>
      </c>
      <c r="E275" s="32">
        <v>0.54166666666666663</v>
      </c>
      <c r="F275" s="12">
        <f t="shared" si="57"/>
        <v>1.9999999999999996</v>
      </c>
      <c r="G275" s="12">
        <v>7.3</v>
      </c>
      <c r="H275" s="30" t="s">
        <v>33</v>
      </c>
      <c r="I275" s="30" t="s">
        <v>27</v>
      </c>
      <c r="J275" s="30" t="s">
        <v>28</v>
      </c>
      <c r="K275" s="9" t="str">
        <f>IFERROR(VLOOKUP($B275,[1]Kundenübersicht!$E$4:$AC$1003,MATCH(K$3,[1]Kundenübersicht!$E$3:$BA$3,FALSE),FALSE),"")</f>
        <v>AOK PLUS</v>
      </c>
      <c r="L275" s="13">
        <f>IFERROR(VLOOKUP(B275,[1]Kundenübersicht!$E$4:$AC$1003,MATCH(L$3,[1]Kundenübersicht!$E$3:$BA$3,FALSE),FALSE),"")</f>
        <v>107299005</v>
      </c>
      <c r="M275" s="13" t="str">
        <f>IFERROR(VLOOKUP(B275,[1]Kundenübersicht!$E$4:$AC$1003,MATCH(M$3,[1]Kundenübersicht!$E$3:$BA$3,FALSE),FALSE),"")</f>
        <v>R234942678</v>
      </c>
      <c r="N275" s="13" t="str">
        <f>IFERROR(VLOOKUP(B275,[1]Kundenübersicht!$E$4:$AC$1003,MATCH(N$3,[1]Kundenübersicht!$E$3:$BA$3,FALSE),FALSE),"")</f>
        <v>PG 2</v>
      </c>
      <c r="P275" s="9" t="s">
        <v>29</v>
      </c>
      <c r="R275" s="9" t="str">
        <f t="shared" si="51"/>
        <v>Unterschrieben</v>
      </c>
      <c r="S275" s="14" t="s">
        <v>31</v>
      </c>
      <c r="U275" s="15">
        <f>IF(YEAR(C275)&lt;=2025,IFERROR(IF(I275="Hauswirtschaft",VLOOKUP($B275,[1]Kundenübersicht!$E$4:$BA$1003,MATCH("Hauswirtschaft [€/Stunde]",[1]Kundenübersicht!$E$3:$BA$3,FALSE),FALSE),VLOOKUP($B275,[1]Kundenübersicht!$E$4:$BA$1003,MATCH("Alltagsbegleitung [€/Stunde]",[1]Kundenübersicht!$E$3:$BA$3,FALSE),FALSE)),0),IFERROR(IF(I275="Hauswirtschaft",VLOOKUP($B275,[1]Kundenübersicht!$E$4:$BA$1003,MATCH("HW ab 2026 [€/Stunde]",[1]Kundenübersicht!$E$3:$BA$3,FALSE),FALSE),VLOOKUP($B275,[1]Kundenübersicht!$E$4:$BA$1003,MATCH("Alltagsbegleitung [€/Stunde]",[1]Kundenübersicht!$E$3:$BA$3,FALSE),FALSE)),0))</f>
        <v>32.75</v>
      </c>
      <c r="V275" s="16">
        <f t="shared" si="58"/>
        <v>65.499999999999986</v>
      </c>
      <c r="W275" s="16">
        <f t="shared" si="60"/>
        <v>0</v>
      </c>
      <c r="X275" s="16" t="str">
        <f>VLOOKUP(B275,[1]Kundenübersicht!E:AG,MATCH($X$3,[1]Kundenübersicht!$E$3:$AY$3,0),FALSE)</f>
        <v>Alt</v>
      </c>
      <c r="Z275" s="20" t="str">
        <f t="shared" si="52"/>
        <v>Ja</v>
      </c>
      <c r="AA275" s="19">
        <v>46009</v>
      </c>
      <c r="AC275" s="19">
        <v>46045</v>
      </c>
      <c r="AE275" s="9">
        <f t="shared" si="61"/>
        <v>2025</v>
      </c>
      <c r="AF275" s="17" t="str">
        <f t="shared" si="62"/>
        <v>11.2025</v>
      </c>
      <c r="AG275" s="17" t="str">
        <f t="shared" si="63"/>
        <v>Christiane Fiebag</v>
      </c>
      <c r="AH275" s="17" t="str">
        <f>IFERROR(VLOOKUP(B275,[1]Kundenübersicht!$E$4:$F$85,2,FALSE),"")</f>
        <v>Dieter Berghold</v>
      </c>
      <c r="AI275" s="17" t="str">
        <f t="shared" si="59"/>
        <v>Hauswirtschaft</v>
      </c>
      <c r="AJ275" s="17" t="str">
        <f t="shared" si="59"/>
        <v>Entlastungsleistung</v>
      </c>
      <c r="AL275" s="18">
        <f t="shared" si="53"/>
        <v>38</v>
      </c>
      <c r="AM275" s="18">
        <f t="shared" si="54"/>
        <v>75.999999999999986</v>
      </c>
      <c r="AN275" s="18">
        <f t="shared" si="55"/>
        <v>2.5549999999999997</v>
      </c>
    </row>
    <row r="276" spans="2:40" x14ac:dyDescent="0.25">
      <c r="B276" s="30" t="s">
        <v>34</v>
      </c>
      <c r="C276" s="31">
        <v>45985</v>
      </c>
      <c r="D276" s="32">
        <v>0.48958333333333331</v>
      </c>
      <c r="E276" s="32">
        <v>0.57291666666666663</v>
      </c>
      <c r="F276" s="12">
        <f t="shared" si="57"/>
        <v>1.9999999999999996</v>
      </c>
      <c r="G276" s="12">
        <v>10.9</v>
      </c>
      <c r="H276" s="30" t="s">
        <v>33</v>
      </c>
      <c r="I276" s="30" t="s">
        <v>27</v>
      </c>
      <c r="J276" s="30" t="s">
        <v>28</v>
      </c>
      <c r="K276" s="9" t="str">
        <f>IFERROR(VLOOKUP($B276,[1]Kundenübersicht!$E$4:$AC$1003,MATCH(K$3,[1]Kundenübersicht!$E$3:$BA$3,FALSE),FALSE),"")</f>
        <v>AOK PLUS</v>
      </c>
      <c r="L276" s="13">
        <f>IFERROR(VLOOKUP(B276,[1]Kundenübersicht!$E$4:$AC$1003,MATCH(L$3,[1]Kundenübersicht!$E$3:$BA$3,FALSE),FALSE),"")</f>
        <v>107299005</v>
      </c>
      <c r="M276" s="13" t="str">
        <f>IFERROR(VLOOKUP(B276,[1]Kundenübersicht!$E$4:$AC$1003,MATCH(M$3,[1]Kundenübersicht!$E$3:$BA$3,FALSE),FALSE),"")</f>
        <v>R234942678</v>
      </c>
      <c r="N276" s="13" t="str">
        <f>IFERROR(VLOOKUP(B276,[1]Kundenübersicht!$E$4:$AC$1003,MATCH(N$3,[1]Kundenübersicht!$E$3:$BA$3,FALSE),FALSE),"")</f>
        <v>PG 2</v>
      </c>
      <c r="P276" s="9" t="s">
        <v>29</v>
      </c>
      <c r="R276" s="9" t="str">
        <f t="shared" si="51"/>
        <v>Unterschrieben</v>
      </c>
      <c r="S276" s="14" t="s">
        <v>31</v>
      </c>
      <c r="U276" s="15">
        <f>IF(YEAR(C276)&lt;=2025,IFERROR(IF(I276="Hauswirtschaft",VLOOKUP($B276,[1]Kundenübersicht!$E$4:$BA$1003,MATCH("Hauswirtschaft [€/Stunde]",[1]Kundenübersicht!$E$3:$BA$3,FALSE),FALSE),VLOOKUP($B276,[1]Kundenübersicht!$E$4:$BA$1003,MATCH("Alltagsbegleitung [€/Stunde]",[1]Kundenübersicht!$E$3:$BA$3,FALSE),FALSE)),0),IFERROR(IF(I276="Hauswirtschaft",VLOOKUP($B276,[1]Kundenübersicht!$E$4:$BA$1003,MATCH("HW ab 2026 [€/Stunde]",[1]Kundenübersicht!$E$3:$BA$3,FALSE),FALSE),VLOOKUP($B276,[1]Kundenübersicht!$E$4:$BA$1003,MATCH("Alltagsbegleitung [€/Stunde]",[1]Kundenübersicht!$E$3:$BA$3,FALSE),FALSE)),0))</f>
        <v>32.75</v>
      </c>
      <c r="V276" s="16">
        <f t="shared" si="58"/>
        <v>65.499999999999986</v>
      </c>
      <c r="W276" s="16">
        <f t="shared" si="60"/>
        <v>0</v>
      </c>
      <c r="X276" s="16" t="str">
        <f>VLOOKUP(B276,[1]Kundenübersicht!E:AG,MATCH($X$3,[1]Kundenübersicht!$E$3:$AY$3,0),FALSE)</f>
        <v>Alt</v>
      </c>
      <c r="Z276" s="20" t="str">
        <f t="shared" si="52"/>
        <v>Ja</v>
      </c>
      <c r="AA276" s="19">
        <v>46009</v>
      </c>
      <c r="AC276" s="19">
        <v>46045</v>
      </c>
      <c r="AE276" s="9">
        <f t="shared" si="61"/>
        <v>2025</v>
      </c>
      <c r="AF276" s="17" t="str">
        <f t="shared" si="62"/>
        <v>11.2025</v>
      </c>
      <c r="AG276" s="17" t="str">
        <f t="shared" si="63"/>
        <v>Christiane Fiebag</v>
      </c>
      <c r="AH276" s="17" t="str">
        <f>IFERROR(VLOOKUP(B276,[1]Kundenübersicht!$E$4:$F$85,2,FALSE),"")</f>
        <v>Dieter Berghold</v>
      </c>
      <c r="AI276" s="17" t="str">
        <f t="shared" si="59"/>
        <v>Hauswirtschaft</v>
      </c>
      <c r="AJ276" s="17" t="str">
        <f t="shared" si="59"/>
        <v>Entlastungsleistung</v>
      </c>
      <c r="AL276" s="18">
        <f t="shared" si="53"/>
        <v>38</v>
      </c>
      <c r="AM276" s="18">
        <f t="shared" si="54"/>
        <v>75.999999999999986</v>
      </c>
      <c r="AN276" s="18">
        <f t="shared" si="55"/>
        <v>3.8149999999999999</v>
      </c>
    </row>
    <row r="277" spans="2:40" x14ac:dyDescent="0.25">
      <c r="B277" s="30" t="s">
        <v>42</v>
      </c>
      <c r="C277" s="31">
        <v>45985</v>
      </c>
      <c r="D277" s="32">
        <v>0.39583333333333331</v>
      </c>
      <c r="E277" s="32">
        <v>0.47916666666666669</v>
      </c>
      <c r="F277" s="12">
        <f t="shared" si="57"/>
        <v>2.0000000000000009</v>
      </c>
      <c r="G277" s="12">
        <v>1.4</v>
      </c>
      <c r="H277" s="30" t="s">
        <v>33</v>
      </c>
      <c r="I277" s="30" t="s">
        <v>27</v>
      </c>
      <c r="J277" s="30" t="s">
        <v>28</v>
      </c>
      <c r="K277" s="9" t="str">
        <f>IFERROR(VLOOKUP($B277,[1]Kundenübersicht!$E$4:$AC$1003,MATCH(K$3,[1]Kundenübersicht!$E$3:$BA$3,FALSE),FALSE),"")</f>
        <v>Techniker Krankenkasse</v>
      </c>
      <c r="L277" s="13">
        <f>IFERROR(VLOOKUP(B277,[1]Kundenübersicht!$E$4:$AC$1003,MATCH(L$3,[1]Kundenübersicht!$E$3:$BA$3,FALSE),FALSE),"")</f>
        <v>101575519</v>
      </c>
      <c r="M277" s="13" t="str">
        <f>IFERROR(VLOOKUP(B277,[1]Kundenübersicht!$E$4:$AC$1003,MATCH(M$3,[1]Kundenübersicht!$E$3:$BA$3,FALSE),FALSE),"")</f>
        <v>E759973784</v>
      </c>
      <c r="N277" s="13" t="str">
        <f>IFERROR(VLOOKUP(B277,[1]Kundenübersicht!$E$4:$AC$1003,MATCH(N$3,[1]Kundenübersicht!$E$3:$BA$3,FALSE),FALSE),"")</f>
        <v>PG 2</v>
      </c>
      <c r="P277" s="9" t="s">
        <v>29</v>
      </c>
      <c r="R277" s="9" t="str">
        <f t="shared" si="51"/>
        <v>Unterschrieben</v>
      </c>
      <c r="S277" s="14" t="s">
        <v>31</v>
      </c>
      <c r="U277" s="15">
        <f>IF(YEAR(C277)&lt;=2025,IFERROR(IF(I277="Hauswirtschaft",VLOOKUP($B277,[1]Kundenübersicht!$E$4:$BA$1003,MATCH("Hauswirtschaft [€/Stunde]",[1]Kundenübersicht!$E$3:$BA$3,FALSE),FALSE),VLOOKUP($B277,[1]Kundenübersicht!$E$4:$BA$1003,MATCH("Alltagsbegleitung [€/Stunde]",[1]Kundenübersicht!$E$3:$BA$3,FALSE),FALSE)),0),IFERROR(IF(I277="Hauswirtschaft",VLOOKUP($B277,[1]Kundenübersicht!$E$4:$BA$1003,MATCH("HW ab 2026 [€/Stunde]",[1]Kundenübersicht!$E$3:$BA$3,FALSE),FALSE),VLOOKUP($B277,[1]Kundenübersicht!$E$4:$BA$1003,MATCH("Alltagsbegleitung [€/Stunde]",[1]Kundenübersicht!$E$3:$BA$3,FALSE),FALSE)),0))</f>
        <v>32.75</v>
      </c>
      <c r="V277" s="16">
        <f t="shared" si="58"/>
        <v>65.500000000000028</v>
      </c>
      <c r="W277" s="16">
        <f t="shared" si="60"/>
        <v>0</v>
      </c>
      <c r="X277" s="16" t="str">
        <f>VLOOKUP(B277,[1]Kundenübersicht!E:AG,MATCH($X$3,[1]Kundenübersicht!$E$3:$AY$3,0),FALSE)</f>
        <v>Alt</v>
      </c>
      <c r="Z277" s="20" t="str">
        <f t="shared" si="52"/>
        <v>Ja</v>
      </c>
      <c r="AA277" s="19">
        <v>45644</v>
      </c>
      <c r="AC277" s="19">
        <v>46050</v>
      </c>
      <c r="AE277" s="9">
        <f t="shared" si="61"/>
        <v>2025</v>
      </c>
      <c r="AF277" s="17" t="str">
        <f t="shared" si="62"/>
        <v>11.2025</v>
      </c>
      <c r="AG277" s="17" t="str">
        <f t="shared" si="63"/>
        <v>Christiane Fiebag</v>
      </c>
      <c r="AH277" s="17" t="str">
        <f>IFERROR(VLOOKUP(B277,[1]Kundenübersicht!$E$4:$F$85,2,FALSE),"")</f>
        <v>Martin Schmidt</v>
      </c>
      <c r="AI277" s="17" t="str">
        <f t="shared" si="59"/>
        <v>Hauswirtschaft</v>
      </c>
      <c r="AJ277" s="17" t="str">
        <f t="shared" si="59"/>
        <v>Entlastungsleistung</v>
      </c>
      <c r="AL277" s="18">
        <f t="shared" si="53"/>
        <v>38</v>
      </c>
      <c r="AM277" s="18">
        <f t="shared" si="54"/>
        <v>76.000000000000028</v>
      </c>
      <c r="AN277" s="18">
        <f t="shared" si="55"/>
        <v>0.48999999999999994</v>
      </c>
    </row>
    <row r="278" spans="2:40" x14ac:dyDescent="0.25">
      <c r="B278" s="30" t="s">
        <v>32</v>
      </c>
      <c r="C278" s="31">
        <v>45981</v>
      </c>
      <c r="D278" s="32">
        <v>0.33333333333333331</v>
      </c>
      <c r="E278" s="32">
        <v>0.38541666666666669</v>
      </c>
      <c r="F278" s="12">
        <f t="shared" si="57"/>
        <v>1.2500000000000009</v>
      </c>
      <c r="G278" s="12">
        <v>7.5</v>
      </c>
      <c r="H278" s="30" t="s">
        <v>33</v>
      </c>
      <c r="I278" s="30" t="s">
        <v>27</v>
      </c>
      <c r="J278" s="30" t="s">
        <v>28</v>
      </c>
      <c r="K278" s="9" t="str">
        <f>IFERROR(VLOOKUP($B278,[1]Kundenübersicht!$E$4:$AC$1003,MATCH(K$3,[1]Kundenübersicht!$E$3:$BA$3,FALSE),FALSE),"")</f>
        <v>IKK Classic</v>
      </c>
      <c r="L278" s="13" t="str">
        <f>IFERROR(VLOOKUP(B278,[1]Kundenübersicht!$E$4:$AC$1003,MATCH(L$3,[1]Kundenübersicht!$E$3:$BA$3,FALSE),FALSE),"")</f>
        <v>187202793</v>
      </c>
      <c r="M278" s="13" t="str">
        <f>IFERROR(VLOOKUP(B278,[1]Kundenübersicht!$E$4:$AC$1003,MATCH(M$3,[1]Kundenübersicht!$E$3:$BA$3,FALSE),FALSE),"")</f>
        <v>A268233642</v>
      </c>
      <c r="N278" s="13" t="str">
        <f>IFERROR(VLOOKUP(B278,[1]Kundenübersicht!$E$4:$AC$1003,MATCH(N$3,[1]Kundenübersicht!$E$3:$BA$3,FALSE),FALSE),"")</f>
        <v>PG 2</v>
      </c>
      <c r="P278" s="9" t="s">
        <v>29</v>
      </c>
      <c r="R278" s="9" t="str">
        <f t="shared" si="51"/>
        <v>Unterschrieben</v>
      </c>
      <c r="S278" s="14" t="s">
        <v>31</v>
      </c>
      <c r="U278" s="15">
        <f>IF(YEAR(C278)&lt;=2025,IFERROR(IF(I278="Hauswirtschaft",VLOOKUP($B278,[1]Kundenübersicht!$E$4:$BA$1003,MATCH("Hauswirtschaft [€/Stunde]",[1]Kundenübersicht!$E$3:$BA$3,FALSE),FALSE),VLOOKUP($B278,[1]Kundenübersicht!$E$4:$BA$1003,MATCH("Alltagsbegleitung [€/Stunde]",[1]Kundenübersicht!$E$3:$BA$3,FALSE),FALSE)),0),IFERROR(IF(I278="Hauswirtschaft",VLOOKUP($B278,[1]Kundenübersicht!$E$4:$BA$1003,MATCH("HW ab 2026 [€/Stunde]",[1]Kundenübersicht!$E$3:$BA$3,FALSE),FALSE),VLOOKUP($B278,[1]Kundenübersicht!$E$4:$BA$1003,MATCH("Alltagsbegleitung [€/Stunde]",[1]Kundenübersicht!$E$3:$BA$3,FALSE),FALSE)),0))</f>
        <v>32.75</v>
      </c>
      <c r="V278" s="16">
        <f t="shared" si="58"/>
        <v>40.937500000000028</v>
      </c>
      <c r="W278" s="16">
        <f t="shared" si="60"/>
        <v>0</v>
      </c>
      <c r="X278" s="16" t="str">
        <f>VLOOKUP(B278,[1]Kundenübersicht!E:AG,MATCH($X$3,[1]Kundenübersicht!$E$3:$AY$3,0),FALSE)</f>
        <v>Alt</v>
      </c>
      <c r="Z278" s="20" t="str">
        <f t="shared" si="52"/>
        <v>Ja</v>
      </c>
      <c r="AA278" s="19">
        <v>46009</v>
      </c>
      <c r="AC278" s="19">
        <v>45669</v>
      </c>
      <c r="AE278" s="9">
        <f t="shared" si="61"/>
        <v>2025</v>
      </c>
      <c r="AF278" s="17" t="str">
        <f t="shared" si="62"/>
        <v>11.2025</v>
      </c>
      <c r="AG278" s="17" t="str">
        <f t="shared" si="63"/>
        <v>Christiane Fiebag</v>
      </c>
      <c r="AH278" s="17" t="str">
        <f>IFERROR(VLOOKUP(B278,[1]Kundenübersicht!$E$4:$F$85,2,FALSE),"")</f>
        <v>Wolfgang Nagler</v>
      </c>
      <c r="AI278" s="17" t="str">
        <f t="shared" si="59"/>
        <v>Hauswirtschaft</v>
      </c>
      <c r="AJ278" s="17" t="str">
        <f t="shared" si="59"/>
        <v>Entlastungsleistung</v>
      </c>
      <c r="AL278" s="18">
        <f t="shared" si="53"/>
        <v>38</v>
      </c>
      <c r="AM278" s="18">
        <f t="shared" si="54"/>
        <v>47.500000000000036</v>
      </c>
      <c r="AN278" s="18">
        <f t="shared" si="55"/>
        <v>2.625</v>
      </c>
    </row>
    <row r="279" spans="2:40" x14ac:dyDescent="0.25">
      <c r="B279" s="30" t="s">
        <v>32</v>
      </c>
      <c r="C279" s="31">
        <v>45985</v>
      </c>
      <c r="D279" s="32">
        <v>0.33333333333333331</v>
      </c>
      <c r="E279" s="32">
        <v>0.38541666666666669</v>
      </c>
      <c r="F279" s="12">
        <f t="shared" si="57"/>
        <v>1.2500000000000009</v>
      </c>
      <c r="G279" s="12">
        <v>6</v>
      </c>
      <c r="H279" s="30" t="s">
        <v>33</v>
      </c>
      <c r="I279" s="30" t="s">
        <v>27</v>
      </c>
      <c r="J279" s="30" t="s">
        <v>28</v>
      </c>
      <c r="K279" s="9" t="str">
        <f>IFERROR(VLOOKUP($B279,[1]Kundenübersicht!$E$4:$AC$1003,MATCH(K$3,[1]Kundenübersicht!$E$3:$BA$3,FALSE),FALSE),"")</f>
        <v>IKK Classic</v>
      </c>
      <c r="L279" s="13" t="str">
        <f>IFERROR(VLOOKUP(B279,[1]Kundenübersicht!$E$4:$AC$1003,MATCH(L$3,[1]Kundenübersicht!$E$3:$BA$3,FALSE),FALSE),"")</f>
        <v>187202793</v>
      </c>
      <c r="M279" s="13" t="str">
        <f>IFERROR(VLOOKUP(B279,[1]Kundenübersicht!$E$4:$AC$1003,MATCH(M$3,[1]Kundenübersicht!$E$3:$BA$3,FALSE),FALSE),"")</f>
        <v>A268233642</v>
      </c>
      <c r="N279" s="13" t="str">
        <f>IFERROR(VLOOKUP(B279,[1]Kundenübersicht!$E$4:$AC$1003,MATCH(N$3,[1]Kundenübersicht!$E$3:$BA$3,FALSE),FALSE),"")</f>
        <v>PG 2</v>
      </c>
      <c r="P279" s="9" t="s">
        <v>29</v>
      </c>
      <c r="R279" s="9" t="str">
        <f t="shared" si="51"/>
        <v>Unterschrieben</v>
      </c>
      <c r="S279" s="14" t="s">
        <v>31</v>
      </c>
      <c r="U279" s="15">
        <f>IF(YEAR(C279)&lt;=2025,IFERROR(IF(I279="Hauswirtschaft",VLOOKUP($B279,[1]Kundenübersicht!$E$4:$BA$1003,MATCH("Hauswirtschaft [€/Stunde]",[1]Kundenübersicht!$E$3:$BA$3,FALSE),FALSE),VLOOKUP($B279,[1]Kundenübersicht!$E$4:$BA$1003,MATCH("Alltagsbegleitung [€/Stunde]",[1]Kundenübersicht!$E$3:$BA$3,FALSE),FALSE)),0),IFERROR(IF(I279="Hauswirtschaft",VLOOKUP($B279,[1]Kundenübersicht!$E$4:$BA$1003,MATCH("HW ab 2026 [€/Stunde]",[1]Kundenübersicht!$E$3:$BA$3,FALSE),FALSE),VLOOKUP($B279,[1]Kundenübersicht!$E$4:$BA$1003,MATCH("Alltagsbegleitung [€/Stunde]",[1]Kundenübersicht!$E$3:$BA$3,FALSE),FALSE)),0))</f>
        <v>32.75</v>
      </c>
      <c r="V279" s="16">
        <f t="shared" si="58"/>
        <v>40.937500000000028</v>
      </c>
      <c r="W279" s="16">
        <f t="shared" si="60"/>
        <v>0</v>
      </c>
      <c r="X279" s="16" t="str">
        <f>VLOOKUP(B279,[1]Kundenübersicht!E:AG,MATCH($X$3,[1]Kundenübersicht!$E$3:$AY$3,0),FALSE)</f>
        <v>Alt</v>
      </c>
      <c r="Z279" s="20" t="str">
        <f t="shared" si="52"/>
        <v>Ja</v>
      </c>
      <c r="AA279" s="19">
        <v>46009</v>
      </c>
      <c r="AC279" s="19">
        <v>45669</v>
      </c>
      <c r="AE279" s="9">
        <f t="shared" si="61"/>
        <v>2025</v>
      </c>
      <c r="AF279" s="17" t="str">
        <f t="shared" si="62"/>
        <v>11.2025</v>
      </c>
      <c r="AG279" s="17" t="str">
        <f t="shared" si="63"/>
        <v>Christiane Fiebag</v>
      </c>
      <c r="AH279" s="17" t="str">
        <f>IFERROR(VLOOKUP(B279,[1]Kundenübersicht!$E$4:$F$85,2,FALSE),"")</f>
        <v>Wolfgang Nagler</v>
      </c>
      <c r="AI279" s="17" t="str">
        <f t="shared" si="59"/>
        <v>Hauswirtschaft</v>
      </c>
      <c r="AJ279" s="17" t="str">
        <f t="shared" si="59"/>
        <v>Entlastungsleistung</v>
      </c>
      <c r="AL279" s="18">
        <f t="shared" si="53"/>
        <v>38</v>
      </c>
      <c r="AM279" s="18">
        <f t="shared" si="54"/>
        <v>47.500000000000036</v>
      </c>
      <c r="AN279" s="18">
        <f t="shared" si="55"/>
        <v>2.0999999999999996</v>
      </c>
    </row>
    <row r="280" spans="2:40" x14ac:dyDescent="0.25">
      <c r="B280" s="30" t="s">
        <v>50</v>
      </c>
      <c r="C280" s="31">
        <v>45982</v>
      </c>
      <c r="D280" s="32">
        <v>0.58333333333333337</v>
      </c>
      <c r="E280" s="32">
        <v>0.65625</v>
      </c>
      <c r="F280" s="12">
        <f t="shared" si="57"/>
        <v>1.7499999999999991</v>
      </c>
      <c r="G280" s="12">
        <v>12.3</v>
      </c>
      <c r="H280" s="30" t="s">
        <v>33</v>
      </c>
      <c r="I280" s="30" t="s">
        <v>27</v>
      </c>
      <c r="J280" s="30" t="s">
        <v>28</v>
      </c>
      <c r="K280" s="9" t="str">
        <f>IFERROR(VLOOKUP($B280,[1]Kundenübersicht!$E$4:$AC$1003,MATCH(K$3,[1]Kundenübersicht!$E$3:$BA$3,FALSE),FALSE),"")</f>
        <v>AOK PLUS</v>
      </c>
      <c r="L280" s="13">
        <f>IFERROR(VLOOKUP(B280,[1]Kundenübersicht!$E$4:$AC$1003,MATCH(L$3,[1]Kundenübersicht!$E$3:$BA$3,FALSE),FALSE),"")</f>
        <v>107299005</v>
      </c>
      <c r="M280" s="13" t="str">
        <f>IFERROR(VLOOKUP(B280,[1]Kundenübersicht!$E$4:$AC$1003,MATCH(M$3,[1]Kundenübersicht!$E$3:$BA$3,FALSE),FALSE),"")</f>
        <v>L212281967</v>
      </c>
      <c r="N280" s="13" t="str">
        <f>IFERROR(VLOOKUP(B280,[1]Kundenübersicht!$E$4:$AC$1003,MATCH(N$3,[1]Kundenübersicht!$E$3:$BA$3,FALSE),FALSE),"")</f>
        <v>PG 1</v>
      </c>
      <c r="P280" s="9" t="s">
        <v>29</v>
      </c>
      <c r="R280" s="9" t="str">
        <f t="shared" si="51"/>
        <v>Unterschrieben</v>
      </c>
      <c r="S280" s="14" t="s">
        <v>31</v>
      </c>
      <c r="U280" s="15">
        <f>IF(YEAR(C280)&lt;=2025,IFERROR(IF(I280="Hauswirtschaft",VLOOKUP($B280,[1]Kundenübersicht!$E$4:$BA$1003,MATCH("Hauswirtschaft [€/Stunde]",[1]Kundenübersicht!$E$3:$BA$3,FALSE),FALSE),VLOOKUP($B280,[1]Kundenübersicht!$E$4:$BA$1003,MATCH("Alltagsbegleitung [€/Stunde]",[1]Kundenübersicht!$E$3:$BA$3,FALSE),FALSE)),0),IFERROR(IF(I280="Hauswirtschaft",VLOOKUP($B280,[1]Kundenübersicht!$E$4:$BA$1003,MATCH("HW ab 2026 [€/Stunde]",[1]Kundenübersicht!$E$3:$BA$3,FALSE),FALSE),VLOOKUP($B280,[1]Kundenübersicht!$E$4:$BA$1003,MATCH("Alltagsbegleitung [€/Stunde]",[1]Kundenübersicht!$E$3:$BA$3,FALSE),FALSE)),0))</f>
        <v>32.75</v>
      </c>
      <c r="V280" s="16">
        <f t="shared" si="58"/>
        <v>57.312499999999972</v>
      </c>
      <c r="W280" s="16">
        <f t="shared" si="60"/>
        <v>0</v>
      </c>
      <c r="X280" s="16" t="str">
        <f>VLOOKUP(B280,[1]Kundenübersicht!E:AG,MATCH($X$3,[1]Kundenübersicht!$E$3:$AY$3,0),FALSE)</f>
        <v>Alt</v>
      </c>
      <c r="Z280" s="20" t="str">
        <f t="shared" si="52"/>
        <v>Ja</v>
      </c>
      <c r="AA280" s="19">
        <v>46009</v>
      </c>
      <c r="AC280" s="19">
        <v>46045</v>
      </c>
      <c r="AE280" s="9">
        <f t="shared" si="61"/>
        <v>2025</v>
      </c>
      <c r="AF280" s="17" t="str">
        <f t="shared" si="62"/>
        <v>11.2025</v>
      </c>
      <c r="AG280" s="17" t="str">
        <f t="shared" si="63"/>
        <v>Christiane Fiebag</v>
      </c>
      <c r="AH280" s="17" t="str">
        <f>IFERROR(VLOOKUP(B280,[1]Kundenübersicht!$E$4:$F$85,2,FALSE),"")</f>
        <v>Lothar Krawalski</v>
      </c>
      <c r="AI280" s="17" t="str">
        <f t="shared" si="59"/>
        <v>Hauswirtschaft</v>
      </c>
      <c r="AJ280" s="17" t="str">
        <f t="shared" si="59"/>
        <v>Entlastungsleistung</v>
      </c>
      <c r="AL280" s="18">
        <f t="shared" si="53"/>
        <v>38</v>
      </c>
      <c r="AM280" s="18">
        <f t="shared" si="54"/>
        <v>66.499999999999972</v>
      </c>
      <c r="AN280" s="18">
        <f t="shared" si="55"/>
        <v>4.3049999999999997</v>
      </c>
    </row>
    <row r="281" spans="2:40" x14ac:dyDescent="0.25">
      <c r="B281" s="30" t="s">
        <v>38</v>
      </c>
      <c r="C281" s="31">
        <v>45974</v>
      </c>
      <c r="D281" s="32">
        <v>0.54166666666666663</v>
      </c>
      <c r="E281" s="32">
        <v>0.625</v>
      </c>
      <c r="F281" s="12">
        <f t="shared" si="57"/>
        <v>2.0000000000000009</v>
      </c>
      <c r="G281" s="12">
        <v>19.5</v>
      </c>
      <c r="H281" s="30" t="s">
        <v>33</v>
      </c>
      <c r="I281" s="30" t="s">
        <v>27</v>
      </c>
      <c r="J281" s="30" t="s">
        <v>28</v>
      </c>
      <c r="K281" s="9" t="str">
        <f>IFERROR(VLOOKUP($B281,[1]Kundenübersicht!$E$4:$AC$1003,MATCH(K$3,[1]Kundenübersicht!$E$3:$BA$3,FALSE),FALSE),"")</f>
        <v>AOK PLUS</v>
      </c>
      <c r="L281" s="13">
        <f>IFERROR(VLOOKUP(B281,[1]Kundenübersicht!$E$4:$AC$1003,MATCH(L$3,[1]Kundenübersicht!$E$3:$BA$3,FALSE),FALSE),"")</f>
        <v>107299005</v>
      </c>
      <c r="M281" s="13" t="str">
        <f>IFERROR(VLOOKUP(B281,[1]Kundenübersicht!$E$4:$AC$1003,MATCH(M$3,[1]Kundenübersicht!$E$3:$BA$3,FALSE),FALSE),"")</f>
        <v>R782602114</v>
      </c>
      <c r="N281" s="13" t="str">
        <f>IFERROR(VLOOKUP(B281,[1]Kundenübersicht!$E$4:$AC$1003,MATCH(N$3,[1]Kundenübersicht!$E$3:$BA$3,FALSE),FALSE),"")</f>
        <v>PG 1</v>
      </c>
      <c r="P281" s="9" t="s">
        <v>29</v>
      </c>
      <c r="R281" s="9" t="str">
        <f t="shared" si="51"/>
        <v>Unterschrieben</v>
      </c>
      <c r="S281" s="14" t="s">
        <v>31</v>
      </c>
      <c r="U281" s="15">
        <f>IF(YEAR(C281)&lt;=2025,IFERROR(IF(I281="Hauswirtschaft",VLOOKUP($B281,[1]Kundenübersicht!$E$4:$BA$1003,MATCH("Hauswirtschaft [€/Stunde]",[1]Kundenübersicht!$E$3:$BA$3,FALSE),FALSE),VLOOKUP($B281,[1]Kundenübersicht!$E$4:$BA$1003,MATCH("Alltagsbegleitung [€/Stunde]",[1]Kundenübersicht!$E$3:$BA$3,FALSE),FALSE)),0),IFERROR(IF(I281="Hauswirtschaft",VLOOKUP($B281,[1]Kundenübersicht!$E$4:$BA$1003,MATCH("HW ab 2026 [€/Stunde]",[1]Kundenübersicht!$E$3:$BA$3,FALSE),FALSE),VLOOKUP($B281,[1]Kundenübersicht!$E$4:$BA$1003,MATCH("Alltagsbegleitung [€/Stunde]",[1]Kundenübersicht!$E$3:$BA$3,FALSE),FALSE)),0))</f>
        <v>32.75</v>
      </c>
      <c r="V281" s="16">
        <f t="shared" si="58"/>
        <v>65.500000000000028</v>
      </c>
      <c r="W281" s="16">
        <f t="shared" si="60"/>
        <v>0</v>
      </c>
      <c r="X281" s="16" t="str">
        <f>VLOOKUP(B281,[1]Kundenübersicht!E:AG,MATCH($X$3,[1]Kundenübersicht!$E$3:$AY$3,0),FALSE)</f>
        <v>Alt</v>
      </c>
      <c r="Z281" s="20" t="str">
        <f t="shared" si="52"/>
        <v>Ja</v>
      </c>
      <c r="AA281" s="19">
        <v>46009</v>
      </c>
      <c r="AC281" s="19">
        <v>46045</v>
      </c>
      <c r="AE281" s="9">
        <f t="shared" si="61"/>
        <v>2025</v>
      </c>
      <c r="AF281" s="17" t="str">
        <f t="shared" si="62"/>
        <v>11.2025</v>
      </c>
      <c r="AG281" s="17" t="str">
        <f t="shared" si="63"/>
        <v>Christiane Fiebag</v>
      </c>
      <c r="AH281" s="17" t="str">
        <f>IFERROR(VLOOKUP(B281,[1]Kundenübersicht!$E$4:$F$85,2,FALSE),"")</f>
        <v>Christian Jungnickel</v>
      </c>
      <c r="AI281" s="17" t="str">
        <f t="shared" si="59"/>
        <v>Hauswirtschaft</v>
      </c>
      <c r="AJ281" s="17" t="str">
        <f t="shared" si="59"/>
        <v>Entlastungsleistung</v>
      </c>
      <c r="AL281" s="18">
        <f t="shared" si="53"/>
        <v>38</v>
      </c>
      <c r="AM281" s="18">
        <f t="shared" si="54"/>
        <v>76.000000000000028</v>
      </c>
      <c r="AN281" s="18">
        <f t="shared" si="55"/>
        <v>6.8249999999999993</v>
      </c>
    </row>
    <row r="282" spans="2:40" x14ac:dyDescent="0.25">
      <c r="B282" s="30" t="s">
        <v>61</v>
      </c>
      <c r="C282" s="31">
        <v>45966</v>
      </c>
      <c r="D282" s="32">
        <v>0.39583333333333331</v>
      </c>
      <c r="E282" s="32">
        <v>0.4375</v>
      </c>
      <c r="F282" s="12">
        <f t="shared" si="57"/>
        <v>1.0000000000000004</v>
      </c>
      <c r="G282" s="12">
        <v>18</v>
      </c>
      <c r="H282" s="30" t="s">
        <v>33</v>
      </c>
      <c r="I282" s="30" t="s">
        <v>27</v>
      </c>
      <c r="J282" s="30" t="s">
        <v>28</v>
      </c>
      <c r="K282" s="9" t="str">
        <f>IFERROR(VLOOKUP($B282,[1]Kundenübersicht!$E$4:$AC$1003,MATCH(K$3,[1]Kundenübersicht!$E$3:$BA$3,FALSE),FALSE),"")</f>
        <v>AOK PLUS</v>
      </c>
      <c r="L282" s="13">
        <f>IFERROR(VLOOKUP(B282,[1]Kundenübersicht!$E$4:$AC$1003,MATCH(L$3,[1]Kundenübersicht!$E$3:$BA$3,FALSE),FALSE),"")</f>
        <v>107299005</v>
      </c>
      <c r="M282" s="13" t="str">
        <f>IFERROR(VLOOKUP(B282,[1]Kundenübersicht!$E$4:$AC$1003,MATCH(M$3,[1]Kundenübersicht!$E$3:$BA$3,FALSE),FALSE),"")</f>
        <v>F038854351</v>
      </c>
      <c r="N282" s="13" t="str">
        <f>IFERROR(VLOOKUP(B282,[1]Kundenübersicht!$E$4:$AC$1003,MATCH(N$3,[1]Kundenübersicht!$E$3:$BA$3,FALSE),FALSE),"")</f>
        <v>PG 3</v>
      </c>
      <c r="P282" s="9" t="s">
        <v>29</v>
      </c>
      <c r="R282" s="9" t="str">
        <f t="shared" si="51"/>
        <v>Unterschrieben</v>
      </c>
      <c r="S282" s="14" t="s">
        <v>31</v>
      </c>
      <c r="U282" s="15">
        <f>IF(YEAR(C282)&lt;=2025,IFERROR(IF(I282="Hauswirtschaft",VLOOKUP($B282,[1]Kundenübersicht!$E$4:$BA$1003,MATCH("Hauswirtschaft [€/Stunde]",[1]Kundenübersicht!$E$3:$BA$3,FALSE),FALSE),VLOOKUP($B282,[1]Kundenübersicht!$E$4:$BA$1003,MATCH("Alltagsbegleitung [€/Stunde]",[1]Kundenübersicht!$E$3:$BA$3,FALSE),FALSE)),0),IFERROR(IF(I282="Hauswirtschaft",VLOOKUP($B282,[1]Kundenübersicht!$E$4:$BA$1003,MATCH("HW ab 2026 [€/Stunde]",[1]Kundenübersicht!$E$3:$BA$3,FALSE),FALSE),VLOOKUP($B282,[1]Kundenübersicht!$E$4:$BA$1003,MATCH("Alltagsbegleitung [€/Stunde]",[1]Kundenübersicht!$E$3:$BA$3,FALSE),FALSE)),0))</f>
        <v>32.75</v>
      </c>
      <c r="V282" s="16">
        <f t="shared" si="58"/>
        <v>32.750000000000014</v>
      </c>
      <c r="W282" s="16">
        <f t="shared" si="60"/>
        <v>0</v>
      </c>
      <c r="X282" s="16" t="str">
        <f>VLOOKUP(B282,[1]Kundenübersicht!E:AG,MATCH($X$3,[1]Kundenübersicht!$E$3:$AY$3,0),FALSE)</f>
        <v>Alt</v>
      </c>
      <c r="Z282" s="20" t="str">
        <f t="shared" si="52"/>
        <v>Ja</v>
      </c>
      <c r="AA282" s="19">
        <v>46009</v>
      </c>
      <c r="AC282" s="19">
        <v>46045</v>
      </c>
      <c r="AE282" s="9">
        <f t="shared" si="61"/>
        <v>2025</v>
      </c>
      <c r="AF282" s="17" t="str">
        <f t="shared" si="62"/>
        <v>11.2025</v>
      </c>
      <c r="AG282" s="17" t="str">
        <f t="shared" si="63"/>
        <v>Christiane Fiebag</v>
      </c>
      <c r="AH282" s="17" t="str">
        <f>IFERROR(VLOOKUP(B282,[1]Kundenübersicht!$E$4:$F$85,2,FALSE),"")</f>
        <v>Elke Mühle</v>
      </c>
      <c r="AI282" s="17" t="str">
        <f t="shared" si="59"/>
        <v>Hauswirtschaft</v>
      </c>
      <c r="AJ282" s="17" t="str">
        <f t="shared" si="59"/>
        <v>Entlastungsleistung</v>
      </c>
      <c r="AL282" s="18">
        <f t="shared" si="53"/>
        <v>38</v>
      </c>
      <c r="AM282" s="18">
        <f t="shared" si="54"/>
        <v>38.000000000000014</v>
      </c>
      <c r="AN282" s="18">
        <f t="shared" si="55"/>
        <v>6.3</v>
      </c>
    </row>
    <row r="283" spans="2:40" x14ac:dyDescent="0.25">
      <c r="B283" s="30" t="s">
        <v>61</v>
      </c>
      <c r="C283" s="31">
        <v>45979</v>
      </c>
      <c r="D283" s="32">
        <v>0.35416666666666669</v>
      </c>
      <c r="E283" s="32">
        <v>0.39583333333333331</v>
      </c>
      <c r="F283" s="12">
        <f t="shared" si="57"/>
        <v>0.99999999999999911</v>
      </c>
      <c r="G283" s="12">
        <v>26.1</v>
      </c>
      <c r="H283" s="30" t="s">
        <v>33</v>
      </c>
      <c r="I283" s="30" t="s">
        <v>27</v>
      </c>
      <c r="J283" s="30" t="s">
        <v>28</v>
      </c>
      <c r="K283" s="9" t="str">
        <f>IFERROR(VLOOKUP($B283,[1]Kundenübersicht!$E$4:$AC$1003,MATCH(K$3,[1]Kundenübersicht!$E$3:$BA$3,FALSE),FALSE),"")</f>
        <v>AOK PLUS</v>
      </c>
      <c r="L283" s="13">
        <f>IFERROR(VLOOKUP(B283,[1]Kundenübersicht!$E$4:$AC$1003,MATCH(L$3,[1]Kundenübersicht!$E$3:$BA$3,FALSE),FALSE),"")</f>
        <v>107299005</v>
      </c>
      <c r="M283" s="13" t="str">
        <f>IFERROR(VLOOKUP(B283,[1]Kundenübersicht!$E$4:$AC$1003,MATCH(M$3,[1]Kundenübersicht!$E$3:$BA$3,FALSE),FALSE),"")</f>
        <v>F038854351</v>
      </c>
      <c r="N283" s="13" t="str">
        <f>IFERROR(VLOOKUP(B283,[1]Kundenübersicht!$E$4:$AC$1003,MATCH(N$3,[1]Kundenübersicht!$E$3:$BA$3,FALSE),FALSE),"")</f>
        <v>PG 3</v>
      </c>
      <c r="P283" s="9" t="s">
        <v>29</v>
      </c>
      <c r="R283" s="9" t="str">
        <f t="shared" si="51"/>
        <v>Unterschrieben</v>
      </c>
      <c r="S283" s="14" t="s">
        <v>31</v>
      </c>
      <c r="U283" s="15">
        <f>IF(YEAR(C283)&lt;=2025,IFERROR(IF(I283="Hauswirtschaft",VLOOKUP($B283,[1]Kundenübersicht!$E$4:$BA$1003,MATCH("Hauswirtschaft [€/Stunde]",[1]Kundenübersicht!$E$3:$BA$3,FALSE),FALSE),VLOOKUP($B283,[1]Kundenübersicht!$E$4:$BA$1003,MATCH("Alltagsbegleitung [€/Stunde]",[1]Kundenübersicht!$E$3:$BA$3,FALSE),FALSE)),0),IFERROR(IF(I283="Hauswirtschaft",VLOOKUP($B283,[1]Kundenübersicht!$E$4:$BA$1003,MATCH("HW ab 2026 [€/Stunde]",[1]Kundenübersicht!$E$3:$BA$3,FALSE),FALSE),VLOOKUP($B283,[1]Kundenübersicht!$E$4:$BA$1003,MATCH("Alltagsbegleitung [€/Stunde]",[1]Kundenübersicht!$E$3:$BA$3,FALSE),FALSE)),0))</f>
        <v>32.75</v>
      </c>
      <c r="V283" s="16">
        <f t="shared" si="58"/>
        <v>32.749999999999972</v>
      </c>
      <c r="W283" s="16">
        <f t="shared" si="60"/>
        <v>0</v>
      </c>
      <c r="X283" s="16" t="str">
        <f>VLOOKUP(B283,[1]Kundenübersicht!E:AG,MATCH($X$3,[1]Kundenübersicht!$E$3:$AY$3,0),FALSE)</f>
        <v>Alt</v>
      </c>
      <c r="Z283" s="20" t="str">
        <f t="shared" si="52"/>
        <v>Ja</v>
      </c>
      <c r="AA283" s="19">
        <v>46009</v>
      </c>
      <c r="AC283" s="19">
        <v>46045</v>
      </c>
      <c r="AE283" s="9">
        <f t="shared" si="61"/>
        <v>2025</v>
      </c>
      <c r="AF283" s="17" t="str">
        <f t="shared" si="62"/>
        <v>11.2025</v>
      </c>
      <c r="AG283" s="17" t="str">
        <f t="shared" si="63"/>
        <v>Christiane Fiebag</v>
      </c>
      <c r="AH283" s="17" t="str">
        <f>IFERROR(VLOOKUP(B283,[1]Kundenübersicht!$E$4:$F$85,2,FALSE),"")</f>
        <v>Elke Mühle</v>
      </c>
      <c r="AI283" s="17" t="str">
        <f t="shared" si="59"/>
        <v>Hauswirtschaft</v>
      </c>
      <c r="AJ283" s="17" t="str">
        <f t="shared" si="59"/>
        <v>Entlastungsleistung</v>
      </c>
      <c r="AL283" s="18">
        <f t="shared" si="53"/>
        <v>38</v>
      </c>
      <c r="AM283" s="18">
        <f t="shared" si="54"/>
        <v>37.999999999999964</v>
      </c>
      <c r="AN283" s="18">
        <f t="shared" si="55"/>
        <v>9.1349999999999998</v>
      </c>
    </row>
    <row r="284" spans="2:40" x14ac:dyDescent="0.25">
      <c r="B284" s="30" t="s">
        <v>70</v>
      </c>
      <c r="C284" s="31">
        <v>45965</v>
      </c>
      <c r="D284" s="32">
        <v>0.49305555555555558</v>
      </c>
      <c r="E284" s="32">
        <v>0.55555555555555558</v>
      </c>
      <c r="F284" s="12">
        <f t="shared" si="57"/>
        <v>1.5</v>
      </c>
      <c r="G284" s="12">
        <v>7</v>
      </c>
      <c r="H284" s="30" t="s">
        <v>33</v>
      </c>
      <c r="I284" s="30" t="s">
        <v>27</v>
      </c>
      <c r="J284" s="30" t="s">
        <v>28</v>
      </c>
      <c r="K284" s="9" t="str">
        <f>IFERROR(VLOOKUP($B284,[1]Kundenübersicht!$E$4:$AC$1003,MATCH(K$3,[1]Kundenübersicht!$E$3:$BA$3,FALSE),FALSE),"")</f>
        <v>Barmer Pflegekasse</v>
      </c>
      <c r="L284" s="13">
        <f>IFERROR(VLOOKUP(B284,[1]Kundenübersicht!$E$4:$AC$1003,MATCH(L$3,[1]Kundenübersicht!$E$3:$BA$3,FALSE),FALSE),"")</f>
        <v>184940005</v>
      </c>
      <c r="M284" s="13" t="str">
        <f>IFERROR(VLOOKUP(B284,[1]Kundenübersicht!$E$4:$AC$1003,MATCH(M$3,[1]Kundenübersicht!$E$3:$BA$3,FALSE),FALSE),"")</f>
        <v>W255296774</v>
      </c>
      <c r="N284" s="13" t="str">
        <f>IFERROR(VLOOKUP(B284,[1]Kundenübersicht!$E$4:$AC$1003,MATCH(N$3,[1]Kundenübersicht!$E$3:$BA$3,FALSE),FALSE),"")</f>
        <v>PG 1</v>
      </c>
      <c r="P284" s="9" t="s">
        <v>29</v>
      </c>
      <c r="R284" s="9" t="str">
        <f t="shared" si="51"/>
        <v>Unterschrieben</v>
      </c>
      <c r="S284" s="14" t="s">
        <v>31</v>
      </c>
      <c r="U284" s="15">
        <f>IF(YEAR(C284)&lt;=2025,IFERROR(IF(I284="Hauswirtschaft",VLOOKUP($B284,[1]Kundenübersicht!$E$4:$BA$1003,MATCH("Hauswirtschaft [€/Stunde]",[1]Kundenübersicht!$E$3:$BA$3,FALSE),FALSE),VLOOKUP($B284,[1]Kundenübersicht!$E$4:$BA$1003,MATCH("Alltagsbegleitung [€/Stunde]",[1]Kundenübersicht!$E$3:$BA$3,FALSE),FALSE)),0),IFERROR(IF(I284="Hauswirtschaft",VLOOKUP($B284,[1]Kundenübersicht!$E$4:$BA$1003,MATCH("HW ab 2026 [€/Stunde]",[1]Kundenübersicht!$E$3:$BA$3,FALSE),FALSE),VLOOKUP($B284,[1]Kundenübersicht!$E$4:$BA$1003,MATCH("Alltagsbegleitung [€/Stunde]",[1]Kundenübersicht!$E$3:$BA$3,FALSE),FALSE)),0))</f>
        <v>38</v>
      </c>
      <c r="V284" s="16">
        <f t="shared" si="58"/>
        <v>57</v>
      </c>
      <c r="W284" s="16">
        <f t="shared" si="60"/>
        <v>2.4499999999999997</v>
      </c>
      <c r="X284" s="16" t="str">
        <f>VLOOKUP(B284,[1]Kundenübersicht!E:AG,MATCH($X$3,[1]Kundenübersicht!$E$3:$AY$3,0),FALSE)</f>
        <v>Neu</v>
      </c>
      <c r="Z284" s="20" t="str">
        <f t="shared" si="52"/>
        <v>Ja</v>
      </c>
      <c r="AA284" s="19">
        <v>46009</v>
      </c>
      <c r="AC284" s="19">
        <v>46031</v>
      </c>
      <c r="AE284" s="9">
        <f t="shared" si="61"/>
        <v>2025</v>
      </c>
      <c r="AF284" s="17" t="str">
        <f t="shared" si="62"/>
        <v>11.2025</v>
      </c>
      <c r="AG284" s="17" t="str">
        <f t="shared" si="63"/>
        <v>Christiane Fiebag</v>
      </c>
      <c r="AH284" s="17" t="str">
        <f>IFERROR(VLOOKUP(B284,[1]Kundenübersicht!$E$4:$F$85,2,FALSE),"")</f>
        <v>Renate Schade</v>
      </c>
      <c r="AI284" s="17" t="str">
        <f t="shared" si="59"/>
        <v>Hauswirtschaft</v>
      </c>
      <c r="AJ284" s="17" t="str">
        <f t="shared" si="59"/>
        <v>Entlastungsleistung</v>
      </c>
      <c r="AL284" s="18">
        <f t="shared" si="53"/>
        <v>38</v>
      </c>
      <c r="AM284" s="18">
        <f t="shared" si="54"/>
        <v>57</v>
      </c>
      <c r="AN284" s="18">
        <f t="shared" si="55"/>
        <v>2.4499999999999997</v>
      </c>
    </row>
    <row r="285" spans="2:40" x14ac:dyDescent="0.25">
      <c r="B285" s="30" t="s">
        <v>70</v>
      </c>
      <c r="C285" s="31">
        <v>45978</v>
      </c>
      <c r="D285" s="32">
        <v>0.54513888888888884</v>
      </c>
      <c r="E285" s="32">
        <v>0.60763888888888884</v>
      </c>
      <c r="F285" s="12">
        <f t="shared" si="57"/>
        <v>1.5</v>
      </c>
      <c r="G285" s="12">
        <v>7.6</v>
      </c>
      <c r="H285" s="30" t="s">
        <v>33</v>
      </c>
      <c r="I285" s="30" t="s">
        <v>27</v>
      </c>
      <c r="J285" s="30" t="s">
        <v>28</v>
      </c>
      <c r="K285" s="9" t="str">
        <f>IFERROR(VLOOKUP($B285,[1]Kundenübersicht!$E$4:$AC$1003,MATCH(K$3,[1]Kundenübersicht!$E$3:$BA$3,FALSE),FALSE),"")</f>
        <v>Barmer Pflegekasse</v>
      </c>
      <c r="L285" s="13">
        <f>IFERROR(VLOOKUP(B285,[1]Kundenübersicht!$E$4:$AC$1003,MATCH(L$3,[1]Kundenübersicht!$E$3:$BA$3,FALSE),FALSE),"")</f>
        <v>184940005</v>
      </c>
      <c r="M285" s="13" t="str">
        <f>IFERROR(VLOOKUP(B285,[1]Kundenübersicht!$E$4:$AC$1003,MATCH(M$3,[1]Kundenübersicht!$E$3:$BA$3,FALSE),FALSE),"")</f>
        <v>W255296774</v>
      </c>
      <c r="N285" s="13" t="str">
        <f>IFERROR(VLOOKUP(B285,[1]Kundenübersicht!$E$4:$AC$1003,MATCH(N$3,[1]Kundenübersicht!$E$3:$BA$3,FALSE),FALSE),"")</f>
        <v>PG 1</v>
      </c>
      <c r="P285" s="9" t="s">
        <v>29</v>
      </c>
      <c r="R285" s="9" t="str">
        <f t="shared" si="51"/>
        <v>Unterschrieben</v>
      </c>
      <c r="S285" s="14" t="s">
        <v>31</v>
      </c>
      <c r="U285" s="15">
        <f>IF(YEAR(C285)&lt;=2025,IFERROR(IF(I285="Hauswirtschaft",VLOOKUP($B285,[1]Kundenübersicht!$E$4:$BA$1003,MATCH("Hauswirtschaft [€/Stunde]",[1]Kundenübersicht!$E$3:$BA$3,FALSE),FALSE),VLOOKUP($B285,[1]Kundenübersicht!$E$4:$BA$1003,MATCH("Alltagsbegleitung [€/Stunde]",[1]Kundenübersicht!$E$3:$BA$3,FALSE),FALSE)),0),IFERROR(IF(I285="Hauswirtschaft",VLOOKUP($B285,[1]Kundenübersicht!$E$4:$BA$1003,MATCH("HW ab 2026 [€/Stunde]",[1]Kundenübersicht!$E$3:$BA$3,FALSE),FALSE),VLOOKUP($B285,[1]Kundenübersicht!$E$4:$BA$1003,MATCH("Alltagsbegleitung [€/Stunde]",[1]Kundenübersicht!$E$3:$BA$3,FALSE),FALSE)),0))</f>
        <v>38</v>
      </c>
      <c r="V285" s="16">
        <f t="shared" si="58"/>
        <v>57</v>
      </c>
      <c r="W285" s="16">
        <f t="shared" si="60"/>
        <v>2.6599999999999997</v>
      </c>
      <c r="X285" s="16" t="str">
        <f>VLOOKUP(B285,[1]Kundenübersicht!E:AG,MATCH($X$3,[1]Kundenübersicht!$E$3:$AY$3,0),FALSE)</f>
        <v>Neu</v>
      </c>
      <c r="Z285" s="20" t="str">
        <f t="shared" si="52"/>
        <v>Ja</v>
      </c>
      <c r="AA285" s="19">
        <v>46009</v>
      </c>
      <c r="AC285" s="19">
        <v>46031</v>
      </c>
      <c r="AE285" s="9">
        <f t="shared" si="61"/>
        <v>2025</v>
      </c>
      <c r="AF285" s="17" t="str">
        <f t="shared" si="62"/>
        <v>11.2025</v>
      </c>
      <c r="AG285" s="17" t="str">
        <f t="shared" si="63"/>
        <v>Christiane Fiebag</v>
      </c>
      <c r="AH285" s="17" t="str">
        <f>IFERROR(VLOOKUP(B285,[1]Kundenübersicht!$E$4:$F$85,2,FALSE),"")</f>
        <v>Renate Schade</v>
      </c>
      <c r="AI285" s="17" t="str">
        <f t="shared" si="59"/>
        <v>Hauswirtschaft</v>
      </c>
      <c r="AJ285" s="17" t="str">
        <f t="shared" si="59"/>
        <v>Entlastungsleistung</v>
      </c>
      <c r="AL285" s="18">
        <f t="shared" si="53"/>
        <v>38</v>
      </c>
      <c r="AM285" s="18">
        <f t="shared" si="54"/>
        <v>57</v>
      </c>
      <c r="AN285" s="18">
        <f t="shared" si="55"/>
        <v>2.6599999999999997</v>
      </c>
    </row>
    <row r="286" spans="2:40" x14ac:dyDescent="0.25">
      <c r="B286" s="30" t="s">
        <v>39</v>
      </c>
      <c r="C286" s="31">
        <v>45966</v>
      </c>
      <c r="D286" s="32">
        <v>0.64583333333333337</v>
      </c>
      <c r="E286" s="32">
        <v>0.6875</v>
      </c>
      <c r="F286" s="12">
        <f>(E286-D286)*24</f>
        <v>0.99999999999999911</v>
      </c>
      <c r="G286" s="12">
        <v>9.3000000000000007</v>
      </c>
      <c r="H286" s="30" t="s">
        <v>40</v>
      </c>
      <c r="I286" s="30" t="s">
        <v>41</v>
      </c>
      <c r="J286" s="30" t="s">
        <v>28</v>
      </c>
      <c r="K286" s="9" t="str">
        <f>IFERROR(VLOOKUP($B286,[1]Kundenübersicht!$E$4:$AC$1003,MATCH(K$3,[1]Kundenübersicht!$E$3:$BA$3,FALSE),FALSE),"")</f>
        <v>AOK PLUS</v>
      </c>
      <c r="L286" s="13">
        <f>IFERROR(VLOOKUP(B286,[1]Kundenübersicht!$E$4:$AC$1003,MATCH(L$3,[1]Kundenübersicht!$E$3:$BA$3,FALSE),FALSE),"")</f>
        <v>107299005</v>
      </c>
      <c r="M286" s="13" t="str">
        <f>IFERROR(VLOOKUP(B286,[1]Kundenübersicht!$E$4:$AC$1003,MATCH(M$3,[1]Kundenübersicht!$E$3:$BA$3,FALSE),FALSE),"")</f>
        <v>Q445657677</v>
      </c>
      <c r="N286" s="13" t="str">
        <f>IFERROR(VLOOKUP(B286,[1]Kundenübersicht!$E$4:$AC$1003,MATCH(N$3,[1]Kundenübersicht!$E$3:$BA$3,FALSE),FALSE),"")</f>
        <v>PG 2</v>
      </c>
      <c r="P286" s="9" t="s">
        <v>29</v>
      </c>
      <c r="R286" s="9" t="str">
        <f>IF(S286="Link","Unterschrieben","Fehlt")</f>
        <v>Unterschrieben</v>
      </c>
      <c r="S286" s="14" t="s">
        <v>31</v>
      </c>
      <c r="U286" s="15">
        <f>IF(YEAR(C286)&lt;=2025,IFERROR(IF(I286="Hauswirtschaft",VLOOKUP($B286,[1]Kundenübersicht!$E$4:$BA$1003,MATCH("Hauswirtschaft [€/Stunde]",[1]Kundenübersicht!$E$3:$BA$3,FALSE),FALSE),VLOOKUP($B286,[1]Kundenübersicht!$E$4:$BA$1003,MATCH("Alltagsbegleitung [€/Stunde]",[1]Kundenübersicht!$E$3:$BA$3,FALSE),FALSE)),0),IFERROR(IF(I286="Hauswirtschaft",VLOOKUP($B286,[1]Kundenübersicht!$E$4:$BA$1003,MATCH("HW ab 2026 [€/Stunde]",[1]Kundenübersicht!$E$3:$BA$3,FALSE),FALSE),VLOOKUP($B286,[1]Kundenübersicht!$E$4:$BA$1003,MATCH("Alltagsbegleitung [€/Stunde]",[1]Kundenübersicht!$E$3:$BA$3,FALSE),FALSE)),0))</f>
        <v>42</v>
      </c>
      <c r="V286" s="16">
        <f>U286*F286</f>
        <v>41.999999999999964</v>
      </c>
      <c r="W286" s="16">
        <f>IF(AND(YEAR(C286)&lt;=2025,X286="Alt"),0,G286*0.35)</f>
        <v>0</v>
      </c>
      <c r="X286" s="16" t="str">
        <f>VLOOKUP(B286,[1]Kundenübersicht!E:AG,MATCH($X$3,[1]Kundenübersicht!$E$3:$AY$3,0),FALSE)</f>
        <v>Alt</v>
      </c>
      <c r="Z286" s="20" t="str">
        <f>IF(AA286&lt;&gt;"","Ja","Nein")</f>
        <v>Ja</v>
      </c>
      <c r="AA286" s="19">
        <v>46009</v>
      </c>
      <c r="AC286" s="19">
        <v>46045</v>
      </c>
      <c r="AE286" s="9">
        <f>YEAR(C286)</f>
        <v>2025</v>
      </c>
      <c r="AF286" s="17" t="str">
        <f>IF(MONTH(C286)&lt;=9,"0"&amp;MONTH(C286)&amp;"."&amp;YEAR(C286),MONTH(C286)&amp;"."&amp;YEAR(C286))</f>
        <v>11.2025</v>
      </c>
      <c r="AG286" s="17" t="str">
        <f>IF(H286="","",H286)</f>
        <v>Franziska Wächtler</v>
      </c>
      <c r="AH286" s="17" t="str">
        <f>IFERROR(VLOOKUP(B286,[1]Kundenübersicht!$E$4:$F$85,2,FALSE),"")</f>
        <v>Helga Dienelt</v>
      </c>
      <c r="AI286" s="17" t="str">
        <f t="shared" si="59"/>
        <v>Alltagsbegleitung</v>
      </c>
      <c r="AJ286" s="17" t="str">
        <f t="shared" si="59"/>
        <v>Entlastungsleistung</v>
      </c>
      <c r="AL286" s="18">
        <f>IF(I286="Hauswirtschaft",38,42)</f>
        <v>42</v>
      </c>
      <c r="AM286" s="18">
        <f>AL286*F286</f>
        <v>41.999999999999964</v>
      </c>
      <c r="AN286" s="18">
        <f>G286*0.35</f>
        <v>3.2549999999999999</v>
      </c>
    </row>
    <row r="287" spans="2:40" x14ac:dyDescent="0.25">
      <c r="B287" s="30" t="s">
        <v>39</v>
      </c>
      <c r="C287" s="31">
        <v>45972</v>
      </c>
      <c r="D287" s="32">
        <v>0.64583333333333337</v>
      </c>
      <c r="E287" s="32">
        <v>0.6875</v>
      </c>
      <c r="F287" s="12">
        <f>(E287-D287)*24</f>
        <v>0.99999999999999911</v>
      </c>
      <c r="G287" s="12">
        <v>9.3000000000000007</v>
      </c>
      <c r="H287" s="30" t="s">
        <v>40</v>
      </c>
      <c r="I287" s="30" t="s">
        <v>27</v>
      </c>
      <c r="J287" s="30" t="s">
        <v>28</v>
      </c>
      <c r="K287" s="9" t="str">
        <f>IFERROR(VLOOKUP($B287,[1]Kundenübersicht!$E$4:$AC$1003,MATCH(K$3,[1]Kundenübersicht!$E$3:$BA$3,FALSE),FALSE),"")</f>
        <v>AOK PLUS</v>
      </c>
      <c r="L287" s="13">
        <f>IFERROR(VLOOKUP(B287,[1]Kundenübersicht!$E$4:$AC$1003,MATCH(L$3,[1]Kundenübersicht!$E$3:$BA$3,FALSE),FALSE),"")</f>
        <v>107299005</v>
      </c>
      <c r="M287" s="13" t="str">
        <f>IFERROR(VLOOKUP(B287,[1]Kundenübersicht!$E$4:$AC$1003,MATCH(M$3,[1]Kundenübersicht!$E$3:$BA$3,FALSE),FALSE),"")</f>
        <v>Q445657677</v>
      </c>
      <c r="N287" s="13" t="str">
        <f>IFERROR(VLOOKUP(B287,[1]Kundenübersicht!$E$4:$AC$1003,MATCH(N$3,[1]Kundenübersicht!$E$3:$BA$3,FALSE),FALSE),"")</f>
        <v>PG 2</v>
      </c>
      <c r="P287" s="9" t="s">
        <v>29</v>
      </c>
      <c r="R287" s="9" t="str">
        <f>IF(S287="Link","Unterschrieben","Fehlt")</f>
        <v>Unterschrieben</v>
      </c>
      <c r="S287" s="14" t="s">
        <v>31</v>
      </c>
      <c r="U287" s="15">
        <f>IF(YEAR(C287)&lt;=2025,IFERROR(IF(I287="Hauswirtschaft",VLOOKUP($B287,[1]Kundenübersicht!$E$4:$BA$1003,MATCH("Hauswirtschaft [€/Stunde]",[1]Kundenübersicht!$E$3:$BA$3,FALSE),FALSE),VLOOKUP($B287,[1]Kundenübersicht!$E$4:$BA$1003,MATCH("Alltagsbegleitung [€/Stunde]",[1]Kundenübersicht!$E$3:$BA$3,FALSE),FALSE)),0),IFERROR(IF(I287="Hauswirtschaft",VLOOKUP($B287,[1]Kundenübersicht!$E$4:$BA$1003,MATCH("HW ab 2026 [€/Stunde]",[1]Kundenübersicht!$E$3:$BA$3,FALSE),FALSE),VLOOKUP($B287,[1]Kundenübersicht!$E$4:$BA$1003,MATCH("Alltagsbegleitung [€/Stunde]",[1]Kundenübersicht!$E$3:$BA$3,FALSE),FALSE)),0))</f>
        <v>32.75</v>
      </c>
      <c r="V287" s="16">
        <f>U287*F287</f>
        <v>32.749999999999972</v>
      </c>
      <c r="W287" s="16">
        <f>IF(AND(YEAR(C287)&lt;=2025,X287="Alt"),0,G287*0.35)</f>
        <v>0</v>
      </c>
      <c r="X287" s="16" t="str">
        <f>VLOOKUP(B287,[1]Kundenübersicht!E:AG,MATCH($X$3,[1]Kundenübersicht!$E$3:$AY$3,0),FALSE)</f>
        <v>Alt</v>
      </c>
      <c r="Z287" s="20" t="str">
        <f>IF(AA287&lt;&gt;"","Ja","Nein")</f>
        <v>Ja</v>
      </c>
      <c r="AA287" s="19">
        <v>46009</v>
      </c>
      <c r="AC287" s="19">
        <v>46045</v>
      </c>
      <c r="AE287" s="9">
        <f>YEAR(C287)</f>
        <v>2025</v>
      </c>
      <c r="AF287" s="17" t="str">
        <f>IF(MONTH(C287)&lt;=9,"0"&amp;MONTH(C287)&amp;"."&amp;YEAR(C287),MONTH(C287)&amp;"."&amp;YEAR(C287))</f>
        <v>11.2025</v>
      </c>
      <c r="AG287" s="17" t="str">
        <f>IF(H287="","",H287)</f>
        <v>Franziska Wächtler</v>
      </c>
      <c r="AH287" s="17" t="str">
        <f>IFERROR(VLOOKUP(B287,[1]Kundenübersicht!$E$4:$F$85,2,FALSE),"")</f>
        <v>Helga Dienelt</v>
      </c>
      <c r="AI287" s="17" t="str">
        <f t="shared" si="59"/>
        <v>Hauswirtschaft</v>
      </c>
      <c r="AJ287" s="17" t="str">
        <f t="shared" si="59"/>
        <v>Entlastungsleistung</v>
      </c>
      <c r="AL287" s="18">
        <f>IF(I287="Hauswirtschaft",38,42)</f>
        <v>38</v>
      </c>
      <c r="AM287" s="18">
        <f>AL287*F287</f>
        <v>37.999999999999964</v>
      </c>
      <c r="AN287" s="18">
        <f>G287*0.35</f>
        <v>3.2549999999999999</v>
      </c>
    </row>
    <row r="288" spans="2:40" x14ac:dyDescent="0.25">
      <c r="B288" s="30" t="s">
        <v>39</v>
      </c>
      <c r="C288" s="31">
        <v>45979</v>
      </c>
      <c r="D288" s="32">
        <v>0.64583333333333337</v>
      </c>
      <c r="E288" s="32">
        <v>0.6875</v>
      </c>
      <c r="F288" s="12">
        <f>(E288-D288)*24</f>
        <v>0.99999999999999911</v>
      </c>
      <c r="G288" s="12">
        <v>9.3000000000000007</v>
      </c>
      <c r="H288" s="30" t="s">
        <v>40</v>
      </c>
      <c r="I288" s="30" t="s">
        <v>41</v>
      </c>
      <c r="J288" s="30" t="s">
        <v>28</v>
      </c>
      <c r="K288" s="9" t="str">
        <f>IFERROR(VLOOKUP($B288,[1]Kundenübersicht!$E$4:$AC$1003,MATCH(K$3,[1]Kundenübersicht!$E$3:$BA$3,FALSE),FALSE),"")</f>
        <v>AOK PLUS</v>
      </c>
      <c r="L288" s="13">
        <f>IFERROR(VLOOKUP(B288,[1]Kundenübersicht!$E$4:$AC$1003,MATCH(L$3,[1]Kundenübersicht!$E$3:$BA$3,FALSE),FALSE),"")</f>
        <v>107299005</v>
      </c>
      <c r="M288" s="13" t="str">
        <f>IFERROR(VLOOKUP(B288,[1]Kundenübersicht!$E$4:$AC$1003,MATCH(M$3,[1]Kundenübersicht!$E$3:$BA$3,FALSE),FALSE),"")</f>
        <v>Q445657677</v>
      </c>
      <c r="N288" s="13" t="str">
        <f>IFERROR(VLOOKUP(B288,[1]Kundenübersicht!$E$4:$AC$1003,MATCH(N$3,[1]Kundenübersicht!$E$3:$BA$3,FALSE),FALSE),"")</f>
        <v>PG 2</v>
      </c>
      <c r="P288" s="9" t="s">
        <v>29</v>
      </c>
      <c r="R288" s="9" t="str">
        <f>IF(S288="Link","Unterschrieben","Fehlt")</f>
        <v>Unterschrieben</v>
      </c>
      <c r="S288" s="14" t="s">
        <v>31</v>
      </c>
      <c r="U288" s="15">
        <f>IF(YEAR(C288)&lt;=2025,IFERROR(IF(I288="Hauswirtschaft",VLOOKUP($B288,[1]Kundenübersicht!$E$4:$BA$1003,MATCH("Hauswirtschaft [€/Stunde]",[1]Kundenübersicht!$E$3:$BA$3,FALSE),FALSE),VLOOKUP($B288,[1]Kundenübersicht!$E$4:$BA$1003,MATCH("Alltagsbegleitung [€/Stunde]",[1]Kundenübersicht!$E$3:$BA$3,FALSE),FALSE)),0),IFERROR(IF(I288="Hauswirtschaft",VLOOKUP($B288,[1]Kundenübersicht!$E$4:$BA$1003,MATCH("HW ab 2026 [€/Stunde]",[1]Kundenübersicht!$E$3:$BA$3,FALSE),FALSE),VLOOKUP($B288,[1]Kundenübersicht!$E$4:$BA$1003,MATCH("Alltagsbegleitung [€/Stunde]",[1]Kundenübersicht!$E$3:$BA$3,FALSE),FALSE)),0))</f>
        <v>42</v>
      </c>
      <c r="V288" s="16">
        <f>U288*F288</f>
        <v>41.999999999999964</v>
      </c>
      <c r="W288" s="16">
        <f>IF(AND(YEAR(C288)&lt;=2025,X288="Alt"),0,G288*0.35)</f>
        <v>0</v>
      </c>
      <c r="X288" s="16" t="str">
        <f>VLOOKUP(B288,[1]Kundenübersicht!E:AG,MATCH($X$3,[1]Kundenübersicht!$E$3:$AY$3,0),FALSE)</f>
        <v>Alt</v>
      </c>
      <c r="Z288" s="20" t="str">
        <f>IF(AA288&lt;&gt;"","Ja","Nein")</f>
        <v>Ja</v>
      </c>
      <c r="AA288" s="19">
        <v>46009</v>
      </c>
      <c r="AC288" s="19">
        <v>46045</v>
      </c>
      <c r="AE288" s="9">
        <f>YEAR(C288)</f>
        <v>2025</v>
      </c>
      <c r="AF288" s="17" t="str">
        <f>IF(MONTH(C288)&lt;=9,"0"&amp;MONTH(C288)&amp;"."&amp;YEAR(C288),MONTH(C288)&amp;"."&amp;YEAR(C288))</f>
        <v>11.2025</v>
      </c>
      <c r="AG288" s="17" t="str">
        <f>IF(H288="","",H288)</f>
        <v>Franziska Wächtler</v>
      </c>
      <c r="AH288" s="17" t="str">
        <f>IFERROR(VLOOKUP(B288,[1]Kundenübersicht!$E$4:$F$85,2,FALSE),"")</f>
        <v>Helga Dienelt</v>
      </c>
      <c r="AI288" s="17" t="str">
        <f t="shared" si="59"/>
        <v>Alltagsbegleitung</v>
      </c>
      <c r="AJ288" s="17" t="str">
        <f t="shared" si="59"/>
        <v>Entlastungsleistung</v>
      </c>
      <c r="AL288" s="18">
        <f>IF(I288="Hauswirtschaft",38,42)</f>
        <v>42</v>
      </c>
      <c r="AM288" s="18">
        <f>AL288*F288</f>
        <v>41.999999999999964</v>
      </c>
      <c r="AN288" s="18">
        <f>G288*0.35</f>
        <v>3.2549999999999999</v>
      </c>
    </row>
    <row r="289" spans="2:40" x14ac:dyDescent="0.25">
      <c r="B289" s="30" t="s">
        <v>39</v>
      </c>
      <c r="C289" s="31">
        <v>45986</v>
      </c>
      <c r="D289" s="32">
        <v>0.64583333333333337</v>
      </c>
      <c r="E289" s="32">
        <v>0.6875</v>
      </c>
      <c r="F289" s="12">
        <f>(E289-D289)*24</f>
        <v>0.99999999999999911</v>
      </c>
      <c r="G289" s="12">
        <v>9.3000000000000007</v>
      </c>
      <c r="H289" s="30" t="s">
        <v>40</v>
      </c>
      <c r="I289" s="30" t="s">
        <v>27</v>
      </c>
      <c r="J289" s="30" t="s">
        <v>28</v>
      </c>
      <c r="K289" s="9" t="str">
        <f>IFERROR(VLOOKUP($B289,[1]Kundenübersicht!$E$4:$AC$1003,MATCH(K$3,[1]Kundenübersicht!$E$3:$BA$3,FALSE),FALSE),"")</f>
        <v>AOK PLUS</v>
      </c>
      <c r="L289" s="13">
        <f>IFERROR(VLOOKUP(B289,[1]Kundenübersicht!$E$4:$AC$1003,MATCH(L$3,[1]Kundenübersicht!$E$3:$BA$3,FALSE),FALSE),"")</f>
        <v>107299005</v>
      </c>
      <c r="M289" s="13" t="str">
        <f>IFERROR(VLOOKUP(B289,[1]Kundenübersicht!$E$4:$AC$1003,MATCH(M$3,[1]Kundenübersicht!$E$3:$BA$3,FALSE),FALSE),"")</f>
        <v>Q445657677</v>
      </c>
      <c r="N289" s="13" t="str">
        <f>IFERROR(VLOOKUP(B289,[1]Kundenübersicht!$E$4:$AC$1003,MATCH(N$3,[1]Kundenübersicht!$E$3:$BA$3,FALSE),FALSE),"")</f>
        <v>PG 2</v>
      </c>
      <c r="P289" s="9" t="s">
        <v>29</v>
      </c>
      <c r="R289" s="9" t="str">
        <f>IF(S289="Link","Unterschrieben","Fehlt")</f>
        <v>Unterschrieben</v>
      </c>
      <c r="S289" s="14" t="s">
        <v>31</v>
      </c>
      <c r="U289" s="15">
        <f>IF(YEAR(C289)&lt;=2025,IFERROR(IF(I289="Hauswirtschaft",VLOOKUP($B289,[1]Kundenübersicht!$E$4:$BA$1003,MATCH("Hauswirtschaft [€/Stunde]",[1]Kundenübersicht!$E$3:$BA$3,FALSE),FALSE),VLOOKUP($B289,[1]Kundenübersicht!$E$4:$BA$1003,MATCH("Alltagsbegleitung [€/Stunde]",[1]Kundenübersicht!$E$3:$BA$3,FALSE),FALSE)),0),IFERROR(IF(I289="Hauswirtschaft",VLOOKUP($B289,[1]Kundenübersicht!$E$4:$BA$1003,MATCH("HW ab 2026 [€/Stunde]",[1]Kundenübersicht!$E$3:$BA$3,FALSE),FALSE),VLOOKUP($B289,[1]Kundenübersicht!$E$4:$BA$1003,MATCH("Alltagsbegleitung [€/Stunde]",[1]Kundenübersicht!$E$3:$BA$3,FALSE),FALSE)),0))</f>
        <v>32.75</v>
      </c>
      <c r="V289" s="16">
        <f>U289*F289</f>
        <v>32.749999999999972</v>
      </c>
      <c r="W289" s="16">
        <f>IF(AND(YEAR(C289)&lt;=2025,X289="Alt"),0,G289*0.35)</f>
        <v>0</v>
      </c>
      <c r="X289" s="16" t="str">
        <f>VLOOKUP(B289,[1]Kundenübersicht!E:AG,MATCH($X$3,[1]Kundenübersicht!$E$3:$AY$3,0),FALSE)</f>
        <v>Alt</v>
      </c>
      <c r="Z289" s="20" t="str">
        <f>IF(AA289&lt;&gt;"","Ja","Nein")</f>
        <v>Ja</v>
      </c>
      <c r="AA289" s="19">
        <v>46009</v>
      </c>
      <c r="AC289" s="19">
        <v>46045</v>
      </c>
      <c r="AE289" s="9">
        <f>YEAR(C289)</f>
        <v>2025</v>
      </c>
      <c r="AF289" s="17" t="str">
        <f>IF(MONTH(C289)&lt;=9,"0"&amp;MONTH(C289)&amp;"."&amp;YEAR(C289),MONTH(C289)&amp;"."&amp;YEAR(C289))</f>
        <v>11.2025</v>
      </c>
      <c r="AG289" s="17" t="str">
        <f>IF(H289="","",H289)</f>
        <v>Franziska Wächtler</v>
      </c>
      <c r="AH289" s="17" t="str">
        <f>IFERROR(VLOOKUP(B289,[1]Kundenübersicht!$E$4:$F$85,2,FALSE),"")</f>
        <v>Helga Dienelt</v>
      </c>
      <c r="AI289" s="17" t="str">
        <f t="shared" si="59"/>
        <v>Hauswirtschaft</v>
      </c>
      <c r="AJ289" s="17" t="str">
        <f t="shared" si="59"/>
        <v>Entlastungsleistung</v>
      </c>
      <c r="AL289" s="18">
        <f>IF(I289="Hauswirtschaft",38,42)</f>
        <v>38</v>
      </c>
      <c r="AM289" s="18">
        <f>AL289*F289</f>
        <v>37.999999999999964</v>
      </c>
      <c r="AN289" s="18">
        <f>G289*0.35</f>
        <v>3.2549999999999999</v>
      </c>
    </row>
    <row r="290" spans="2:40" x14ac:dyDescent="0.25">
      <c r="B290" s="30" t="s">
        <v>68</v>
      </c>
      <c r="C290" s="31">
        <v>45971</v>
      </c>
      <c r="D290" s="32">
        <v>0.375</v>
      </c>
      <c r="E290" s="32">
        <v>0.4375</v>
      </c>
      <c r="F290" s="12">
        <f t="shared" si="57"/>
        <v>1.5</v>
      </c>
      <c r="G290" s="12">
        <v>4</v>
      </c>
      <c r="H290" s="30" t="s">
        <v>64</v>
      </c>
      <c r="I290" s="30" t="s">
        <v>27</v>
      </c>
      <c r="J290" s="30" t="s">
        <v>28</v>
      </c>
      <c r="K290" s="9" t="str">
        <f>IFERROR(VLOOKUP($B290,[1]Kundenübersicht!$E$4:$AC$1003,MATCH(K$3,[1]Kundenübersicht!$E$3:$BA$3,FALSE),FALSE),"")</f>
        <v>AOK PLUS</v>
      </c>
      <c r="L290" s="13">
        <f>IFERROR(VLOOKUP(B290,[1]Kundenübersicht!$E$4:$AC$1003,MATCH(L$3,[1]Kundenübersicht!$E$3:$BA$3,FALSE),FALSE),"")</f>
        <v>107299005</v>
      </c>
      <c r="M290" s="13" t="str">
        <f>IFERROR(VLOOKUP(B290,[1]Kundenübersicht!$E$4:$AC$1003,MATCH(M$3,[1]Kundenübersicht!$E$3:$BA$3,FALSE),FALSE),"")</f>
        <v>W183342294</v>
      </c>
      <c r="N290" s="13" t="str">
        <f>IFERROR(VLOOKUP(B290,[1]Kundenübersicht!$E$4:$AC$1003,MATCH(N$3,[1]Kundenübersicht!$E$3:$BA$3,FALSE),FALSE),"")</f>
        <v>PG 1</v>
      </c>
      <c r="P290" s="9" t="s">
        <v>29</v>
      </c>
      <c r="R290" s="9" t="str">
        <f t="shared" si="51"/>
        <v>Unterschrieben</v>
      </c>
      <c r="S290" s="14" t="s">
        <v>31</v>
      </c>
      <c r="U290" s="15">
        <f>IF(YEAR(C290)&lt;=2025,IFERROR(IF(I290="Hauswirtschaft",VLOOKUP($B290,[1]Kundenübersicht!$E$4:$BA$1003,MATCH("Hauswirtschaft [€/Stunde]",[1]Kundenübersicht!$E$3:$BA$3,FALSE),FALSE),VLOOKUP($B290,[1]Kundenübersicht!$E$4:$BA$1003,MATCH("Alltagsbegleitung [€/Stunde]",[1]Kundenübersicht!$E$3:$BA$3,FALSE),FALSE)),0),IFERROR(IF(I290="Hauswirtschaft",VLOOKUP($B290,[1]Kundenübersicht!$E$4:$BA$1003,MATCH("HW ab 2026 [€/Stunde]",[1]Kundenübersicht!$E$3:$BA$3,FALSE),FALSE),VLOOKUP($B290,[1]Kundenübersicht!$E$4:$BA$1003,MATCH("Alltagsbegleitung [€/Stunde]",[1]Kundenübersicht!$E$3:$BA$3,FALSE),FALSE)),0))</f>
        <v>38</v>
      </c>
      <c r="V290" s="16">
        <f t="shared" si="58"/>
        <v>57</v>
      </c>
      <c r="W290" s="16">
        <f t="shared" si="60"/>
        <v>1.4</v>
      </c>
      <c r="X290" s="16" t="str">
        <f>VLOOKUP(B290,[1]Kundenübersicht!E:AG,MATCH($X$3,[1]Kundenübersicht!$E$3:$AY$3,0),FALSE)</f>
        <v>Neu</v>
      </c>
      <c r="Z290" s="20" t="str">
        <f t="shared" si="52"/>
        <v>Ja</v>
      </c>
      <c r="AA290" s="19">
        <v>46009</v>
      </c>
      <c r="AC290" s="19">
        <v>46045</v>
      </c>
      <c r="AE290" s="9">
        <f t="shared" si="61"/>
        <v>2025</v>
      </c>
      <c r="AF290" s="17" t="str">
        <f t="shared" si="62"/>
        <v>11.2025</v>
      </c>
      <c r="AG290" s="17" t="str">
        <f t="shared" si="63"/>
        <v>Ursula Ullmann</v>
      </c>
      <c r="AH290" s="17" t="str">
        <f>IFERROR(VLOOKUP(B290,[1]Kundenübersicht!$E$4:$F$85,2,FALSE),"")</f>
        <v>Jutta Seidel</v>
      </c>
      <c r="AI290" s="17" t="str">
        <f t="shared" si="59"/>
        <v>Hauswirtschaft</v>
      </c>
      <c r="AJ290" s="17" t="str">
        <f t="shared" si="59"/>
        <v>Entlastungsleistung</v>
      </c>
      <c r="AL290" s="18">
        <f t="shared" si="53"/>
        <v>38</v>
      </c>
      <c r="AM290" s="18">
        <f t="shared" si="54"/>
        <v>57</v>
      </c>
      <c r="AN290" s="18">
        <f t="shared" si="55"/>
        <v>1.4</v>
      </c>
    </row>
    <row r="291" spans="2:40" x14ac:dyDescent="0.25">
      <c r="B291" s="30" t="s">
        <v>62</v>
      </c>
      <c r="C291" s="31">
        <v>45973</v>
      </c>
      <c r="D291" s="32">
        <v>0.375</v>
      </c>
      <c r="E291" s="32">
        <v>0.5</v>
      </c>
      <c r="F291" s="12">
        <f t="shared" si="57"/>
        <v>3</v>
      </c>
      <c r="G291" s="12">
        <v>3.5</v>
      </c>
      <c r="H291" s="30" t="s">
        <v>64</v>
      </c>
      <c r="I291" s="30" t="s">
        <v>27</v>
      </c>
      <c r="J291" s="30" t="s">
        <v>28</v>
      </c>
      <c r="K291" s="9" t="str">
        <f>IFERROR(VLOOKUP($B291,[1]Kundenübersicht!$E$4:$AC$1003,MATCH(K$3,[1]Kundenübersicht!$E$3:$BA$3,FALSE),FALSE),"")</f>
        <v>IKK Classic</v>
      </c>
      <c r="L291" s="13">
        <f>IFERROR(VLOOKUP(B291,[1]Kundenübersicht!$E$4:$AC$1003,MATCH(L$3,[1]Kundenübersicht!$E$3:$BA$3,FALSE),FALSE),"")</f>
        <v>187202793</v>
      </c>
      <c r="M291" s="13" t="str">
        <f>IFERROR(VLOOKUP(B291,[1]Kundenübersicht!$E$4:$AC$1003,MATCH(M$3,[1]Kundenübersicht!$E$3:$BA$3,FALSE),FALSE),"")</f>
        <v>D629015744</v>
      </c>
      <c r="N291" s="13" t="str">
        <f>IFERROR(VLOOKUP(B291,[1]Kundenübersicht!$E$4:$AC$1003,MATCH(N$3,[1]Kundenübersicht!$E$3:$BA$3,FALSE),FALSE),"")</f>
        <v>PG 2</v>
      </c>
      <c r="P291" s="9" t="s">
        <v>29</v>
      </c>
      <c r="R291" s="9" t="str">
        <f t="shared" si="51"/>
        <v>Unterschrieben</v>
      </c>
      <c r="S291" s="14" t="s">
        <v>31</v>
      </c>
      <c r="U291" s="15">
        <f>IF(YEAR(C291)&lt;=2025,IFERROR(IF(I291="Hauswirtschaft",VLOOKUP($B291,[1]Kundenübersicht!$E$4:$BA$1003,MATCH("Hauswirtschaft [€/Stunde]",[1]Kundenübersicht!$E$3:$BA$3,FALSE),FALSE),VLOOKUP($B291,[1]Kundenübersicht!$E$4:$BA$1003,MATCH("Alltagsbegleitung [€/Stunde]",[1]Kundenübersicht!$E$3:$BA$3,FALSE),FALSE)),0),IFERROR(IF(I291="Hauswirtschaft",VLOOKUP($B291,[1]Kundenübersicht!$E$4:$BA$1003,MATCH("HW ab 2026 [€/Stunde]",[1]Kundenübersicht!$E$3:$BA$3,FALSE),FALSE),VLOOKUP($B291,[1]Kundenübersicht!$E$4:$BA$1003,MATCH("Alltagsbegleitung [€/Stunde]",[1]Kundenübersicht!$E$3:$BA$3,FALSE),FALSE)),0))</f>
        <v>32.75</v>
      </c>
      <c r="V291" s="16">
        <f t="shared" si="58"/>
        <v>98.25</v>
      </c>
      <c r="W291" s="16">
        <f t="shared" si="60"/>
        <v>0</v>
      </c>
      <c r="X291" s="16" t="str">
        <f>VLOOKUP(B291,[1]Kundenübersicht!E:AG,MATCH($X$3,[1]Kundenübersicht!$E$3:$AY$3,0),FALSE)</f>
        <v>Alt</v>
      </c>
      <c r="Z291" s="20" t="str">
        <f t="shared" si="52"/>
        <v>Ja</v>
      </c>
      <c r="AA291" s="19">
        <v>46009</v>
      </c>
      <c r="AC291" s="19">
        <v>45669</v>
      </c>
      <c r="AE291" s="9">
        <f t="shared" si="61"/>
        <v>2025</v>
      </c>
      <c r="AF291" s="17" t="str">
        <f t="shared" si="62"/>
        <v>11.2025</v>
      </c>
      <c r="AG291" s="17" t="str">
        <f t="shared" si="63"/>
        <v>Ursula Ullmann</v>
      </c>
      <c r="AH291" s="17" t="str">
        <f>IFERROR(VLOOKUP(B291,[1]Kundenübersicht!$E$4:$F$85,2,FALSE),"")</f>
        <v>Hannelore Köhler</v>
      </c>
      <c r="AI291" s="17" t="str">
        <f t="shared" si="59"/>
        <v>Hauswirtschaft</v>
      </c>
      <c r="AJ291" s="17" t="str">
        <f t="shared" si="59"/>
        <v>Entlastungsleistung</v>
      </c>
      <c r="AL291" s="18">
        <f t="shared" si="53"/>
        <v>38</v>
      </c>
      <c r="AM291" s="18">
        <f t="shared" si="54"/>
        <v>114</v>
      </c>
      <c r="AN291" s="18">
        <f t="shared" si="55"/>
        <v>1.2249999999999999</v>
      </c>
    </row>
    <row r="292" spans="2:40" x14ac:dyDescent="0.25">
      <c r="B292" s="30" t="s">
        <v>58</v>
      </c>
      <c r="C292" s="31">
        <v>45978</v>
      </c>
      <c r="D292" s="32">
        <v>0.58333333333333337</v>
      </c>
      <c r="E292" s="32">
        <v>0.625</v>
      </c>
      <c r="F292" s="12">
        <f t="shared" si="57"/>
        <v>0.99999999999999911</v>
      </c>
      <c r="G292" s="12">
        <v>7</v>
      </c>
      <c r="H292" s="30" t="s">
        <v>64</v>
      </c>
      <c r="I292" s="30" t="s">
        <v>27</v>
      </c>
      <c r="J292" s="30" t="s">
        <v>28</v>
      </c>
      <c r="K292" s="9" t="str">
        <f>IFERROR(VLOOKUP($B292,[1]Kundenübersicht!$E$4:$AC$1003,MATCH(K$3,[1]Kundenübersicht!$E$3:$BA$3,FALSE),FALSE),"")</f>
        <v>IKK Classic</v>
      </c>
      <c r="L292" s="13">
        <f>IFERROR(VLOOKUP(B292,[1]Kundenübersicht!$E$4:$AC$1003,MATCH(L$3,[1]Kundenübersicht!$E$3:$BA$3,FALSE),FALSE),"")</f>
        <v>187202793</v>
      </c>
      <c r="M292" s="13" t="str">
        <f>IFERROR(VLOOKUP(B292,[1]Kundenübersicht!$E$4:$AC$1003,MATCH(M$3,[1]Kundenübersicht!$E$3:$BA$3,FALSE),FALSE),"")</f>
        <v>G520510754</v>
      </c>
      <c r="N292" s="13" t="str">
        <f>IFERROR(VLOOKUP(B292,[1]Kundenübersicht!$E$4:$AC$1003,MATCH(N$3,[1]Kundenübersicht!$E$3:$BA$3,FALSE),FALSE),"")</f>
        <v>PG 2</v>
      </c>
      <c r="P292" s="9" t="s">
        <v>29</v>
      </c>
      <c r="R292" s="9" t="str">
        <f t="shared" si="51"/>
        <v>Unterschrieben</v>
      </c>
      <c r="S292" s="14" t="s">
        <v>31</v>
      </c>
      <c r="U292" s="15">
        <f>IF(YEAR(C292)&lt;=2025,IFERROR(IF(I292="Hauswirtschaft",VLOOKUP($B292,[1]Kundenübersicht!$E$4:$BA$1003,MATCH("Hauswirtschaft [€/Stunde]",[1]Kundenübersicht!$E$3:$BA$3,FALSE),FALSE),VLOOKUP($B292,[1]Kundenübersicht!$E$4:$BA$1003,MATCH("Alltagsbegleitung [€/Stunde]",[1]Kundenübersicht!$E$3:$BA$3,FALSE),FALSE)),0),IFERROR(IF(I292="Hauswirtschaft",VLOOKUP($B292,[1]Kundenübersicht!$E$4:$BA$1003,MATCH("HW ab 2026 [€/Stunde]",[1]Kundenübersicht!$E$3:$BA$3,FALSE),FALSE),VLOOKUP($B292,[1]Kundenübersicht!$E$4:$BA$1003,MATCH("Alltagsbegleitung [€/Stunde]",[1]Kundenübersicht!$E$3:$BA$3,FALSE),FALSE)),0))</f>
        <v>32.75</v>
      </c>
      <c r="V292" s="16">
        <f t="shared" si="58"/>
        <v>32.749999999999972</v>
      </c>
      <c r="W292" s="16">
        <f t="shared" si="60"/>
        <v>0</v>
      </c>
      <c r="X292" s="16" t="str">
        <f>VLOOKUP(B292,[1]Kundenübersicht!E:AG,MATCH($X$3,[1]Kundenübersicht!$E$3:$AY$3,0),FALSE)</f>
        <v>Alt</v>
      </c>
      <c r="Z292" s="20" t="str">
        <f t="shared" si="52"/>
        <v>Ja</v>
      </c>
      <c r="AA292" s="19">
        <v>46009</v>
      </c>
      <c r="AC292" s="19">
        <v>45669</v>
      </c>
      <c r="AE292" s="9">
        <f t="shared" si="61"/>
        <v>2025</v>
      </c>
      <c r="AF292" s="17" t="str">
        <f t="shared" si="62"/>
        <v>11.2025</v>
      </c>
      <c r="AG292" s="17" t="str">
        <f t="shared" si="63"/>
        <v>Ursula Ullmann</v>
      </c>
      <c r="AH292" s="17" t="str">
        <f>IFERROR(VLOOKUP(B292,[1]Kundenübersicht!$E$4:$F$85,2,FALSE),"")</f>
        <v>Bernd Fischer</v>
      </c>
      <c r="AI292" s="17" t="str">
        <f t="shared" si="59"/>
        <v>Hauswirtschaft</v>
      </c>
      <c r="AJ292" s="17" t="str">
        <f t="shared" si="59"/>
        <v>Entlastungsleistung</v>
      </c>
      <c r="AL292" s="18">
        <f t="shared" si="53"/>
        <v>38</v>
      </c>
      <c r="AM292" s="18">
        <f t="shared" si="54"/>
        <v>37.999999999999964</v>
      </c>
      <c r="AN292" s="18">
        <f t="shared" si="55"/>
        <v>2.4499999999999997</v>
      </c>
    </row>
    <row r="293" spans="2:40" x14ac:dyDescent="0.25">
      <c r="B293" s="30" t="s">
        <v>65</v>
      </c>
      <c r="C293" s="31">
        <v>45979</v>
      </c>
      <c r="D293" s="32">
        <v>0.58333333333333337</v>
      </c>
      <c r="E293" s="32">
        <v>0.625</v>
      </c>
      <c r="F293" s="12">
        <f t="shared" si="57"/>
        <v>0.99999999999999911</v>
      </c>
      <c r="G293" s="12">
        <v>8</v>
      </c>
      <c r="H293" s="30" t="s">
        <v>64</v>
      </c>
      <c r="I293" s="30" t="s">
        <v>27</v>
      </c>
      <c r="J293" s="30" t="s">
        <v>28</v>
      </c>
      <c r="K293" s="9" t="str">
        <f>IFERROR(VLOOKUP($B293,[1]Kundenübersicht!$E$4:$AC$1003,MATCH(K$3,[1]Kundenübersicht!$E$3:$BA$3,FALSE),FALSE),"")</f>
        <v>IKK Südwest</v>
      </c>
      <c r="L293" s="13">
        <f>IFERROR(VLOOKUP(B293,[1]Kundenübersicht!$E$4:$AC$1003,MATCH(L$3,[1]Kundenübersicht!$E$3:$BA$3,FALSE),FALSE),"")</f>
        <v>109303301</v>
      </c>
      <c r="M293" s="13" t="str">
        <f>IFERROR(VLOOKUP(B293,[1]Kundenübersicht!$E$4:$AC$1003,MATCH(M$3,[1]Kundenübersicht!$E$3:$BA$3,FALSE),FALSE),"")</f>
        <v>Y341093341</v>
      </c>
      <c r="N293" s="13" t="str">
        <f>IFERROR(VLOOKUP(B293,[1]Kundenübersicht!$E$4:$AC$1003,MATCH(N$3,[1]Kundenübersicht!$E$3:$BA$3,FALSE),FALSE),"")</f>
        <v>PG 1</v>
      </c>
      <c r="P293" s="9" t="s">
        <v>29</v>
      </c>
      <c r="R293" s="9" t="str">
        <f t="shared" si="51"/>
        <v>Unterschrieben</v>
      </c>
      <c r="S293" s="14" t="s">
        <v>31</v>
      </c>
      <c r="U293" s="15">
        <f>IF(YEAR(C293)&lt;=2025,IFERROR(IF(I293="Hauswirtschaft",VLOOKUP($B293,[1]Kundenübersicht!$E$4:$BA$1003,MATCH("Hauswirtschaft [€/Stunde]",[1]Kundenübersicht!$E$3:$BA$3,FALSE),FALSE),VLOOKUP($B293,[1]Kundenübersicht!$E$4:$BA$1003,MATCH("Alltagsbegleitung [€/Stunde]",[1]Kundenübersicht!$E$3:$BA$3,FALSE),FALSE)),0),IFERROR(IF(I293="Hauswirtschaft",VLOOKUP($B293,[1]Kundenübersicht!$E$4:$BA$1003,MATCH("HW ab 2026 [€/Stunde]",[1]Kundenübersicht!$E$3:$BA$3,FALSE),FALSE),VLOOKUP($B293,[1]Kundenübersicht!$E$4:$BA$1003,MATCH("Alltagsbegleitung [€/Stunde]",[1]Kundenübersicht!$E$3:$BA$3,FALSE),FALSE)),0))</f>
        <v>38</v>
      </c>
      <c r="V293" s="16">
        <f t="shared" si="58"/>
        <v>37.999999999999964</v>
      </c>
      <c r="W293" s="16">
        <f t="shared" si="60"/>
        <v>2.8</v>
      </c>
      <c r="X293" s="16" t="str">
        <f>VLOOKUP(B293,[1]Kundenübersicht!E:AG,MATCH($X$3,[1]Kundenübersicht!$E$3:$AY$3,0),FALSE)</f>
        <v>Neu</v>
      </c>
      <c r="Z293" s="20" t="str">
        <f t="shared" si="52"/>
        <v>Ja</v>
      </c>
      <c r="AA293" s="19">
        <v>46009</v>
      </c>
      <c r="AC293" s="19"/>
      <c r="AE293" s="9">
        <f t="shared" si="61"/>
        <v>2025</v>
      </c>
      <c r="AF293" s="17" t="str">
        <f t="shared" si="62"/>
        <v>11.2025</v>
      </c>
      <c r="AG293" s="17" t="str">
        <f t="shared" si="63"/>
        <v>Ursula Ullmann</v>
      </c>
      <c r="AH293" s="17" t="str">
        <f>IFERROR(VLOOKUP(B293,[1]Kundenübersicht!$E$4:$F$85,2,FALSE),"")</f>
        <v>Beate Konradt</v>
      </c>
      <c r="AI293" s="17" t="str">
        <f t="shared" si="59"/>
        <v>Hauswirtschaft</v>
      </c>
      <c r="AJ293" s="17" t="str">
        <f t="shared" si="59"/>
        <v>Entlastungsleistung</v>
      </c>
      <c r="AL293" s="18">
        <f t="shared" si="53"/>
        <v>38</v>
      </c>
      <c r="AM293" s="18">
        <f t="shared" si="54"/>
        <v>37.999999999999964</v>
      </c>
      <c r="AN293" s="18">
        <f t="shared" si="55"/>
        <v>2.8</v>
      </c>
    </row>
    <row r="294" spans="2:40" x14ac:dyDescent="0.25">
      <c r="B294" s="30" t="s">
        <v>83</v>
      </c>
      <c r="C294" s="31">
        <v>45981</v>
      </c>
      <c r="D294" s="32">
        <v>0.35416666666666669</v>
      </c>
      <c r="E294" s="32">
        <v>0.39583333333333331</v>
      </c>
      <c r="F294" s="12">
        <f t="shared" si="57"/>
        <v>0.99999999999999911</v>
      </c>
      <c r="G294" s="12">
        <v>20</v>
      </c>
      <c r="H294" s="30" t="s">
        <v>64</v>
      </c>
      <c r="I294" s="30" t="s">
        <v>41</v>
      </c>
      <c r="J294" s="30" t="s">
        <v>28</v>
      </c>
      <c r="K294" s="9" t="str">
        <f>IFERROR(VLOOKUP($B294,[1]Kundenübersicht!$E$4:$AC$1003,MATCH(K$3,[1]Kundenübersicht!$E$3:$BA$3,FALSE),FALSE),"")</f>
        <v>AOK PLUS</v>
      </c>
      <c r="L294" s="13">
        <f>IFERROR(VLOOKUP(B294,[1]Kundenübersicht!$E$4:$AC$1003,MATCH(L$3,[1]Kundenübersicht!$E$3:$BA$3,FALSE),FALSE),"")</f>
        <v>107299005</v>
      </c>
      <c r="M294" s="13" t="str">
        <f>IFERROR(VLOOKUP(B294,[1]Kundenübersicht!$E$4:$AC$1003,MATCH(M$3,[1]Kundenübersicht!$E$3:$BA$3,FALSE),FALSE),"")</f>
        <v>E575057323</v>
      </c>
      <c r="N294" s="13" t="str">
        <f>IFERROR(VLOOKUP(B294,[1]Kundenübersicht!$E$4:$AC$1003,MATCH(N$3,[1]Kundenübersicht!$E$3:$BA$3,FALSE),FALSE),"")</f>
        <v>PG 1</v>
      </c>
      <c r="P294" s="9" t="s">
        <v>29</v>
      </c>
      <c r="R294" s="9" t="str">
        <f t="shared" si="51"/>
        <v>Unterschrieben</v>
      </c>
      <c r="S294" s="14" t="s">
        <v>31</v>
      </c>
      <c r="U294" s="15">
        <f>IF(YEAR(C294)&lt;=2025,IFERROR(IF(I294="Hauswirtschaft",VLOOKUP($B294,[1]Kundenübersicht!$E$4:$BA$1003,MATCH("Hauswirtschaft [€/Stunde]",[1]Kundenübersicht!$E$3:$BA$3,FALSE),FALSE),VLOOKUP($B294,[1]Kundenübersicht!$E$4:$BA$1003,MATCH("Alltagsbegleitung [€/Stunde]",[1]Kundenübersicht!$E$3:$BA$3,FALSE),FALSE)),0),IFERROR(IF(I294="Hauswirtschaft",VLOOKUP($B294,[1]Kundenübersicht!$E$4:$BA$1003,MATCH("HW ab 2026 [€/Stunde]",[1]Kundenübersicht!$E$3:$BA$3,FALSE),FALSE),VLOOKUP($B294,[1]Kundenübersicht!$E$4:$BA$1003,MATCH("Alltagsbegleitung [€/Stunde]",[1]Kundenübersicht!$E$3:$BA$3,FALSE),FALSE)),0))</f>
        <v>42</v>
      </c>
      <c r="V294" s="16">
        <f t="shared" si="58"/>
        <v>41.999999999999964</v>
      </c>
      <c r="W294" s="16">
        <f t="shared" si="60"/>
        <v>7</v>
      </c>
      <c r="X294" s="16" t="str">
        <f>VLOOKUP(B294,[1]Kundenübersicht!E:AG,MATCH($X$3,[1]Kundenübersicht!$E$3:$AY$3,0),FALSE)</f>
        <v>Neu</v>
      </c>
      <c r="Z294" s="20" t="str">
        <f t="shared" si="52"/>
        <v>Ja</v>
      </c>
      <c r="AA294" s="19">
        <v>46009</v>
      </c>
      <c r="AC294" s="19">
        <v>46045</v>
      </c>
      <c r="AE294" s="9">
        <f t="shared" si="61"/>
        <v>2025</v>
      </c>
      <c r="AF294" s="17" t="str">
        <f t="shared" si="62"/>
        <v>11.2025</v>
      </c>
      <c r="AG294" s="17" t="str">
        <f t="shared" si="63"/>
        <v>Ursula Ullmann</v>
      </c>
      <c r="AH294" s="17" t="str">
        <f>IFERROR(VLOOKUP(B294,[1]Kundenübersicht!$E$4:$F$85,2,FALSE),"")</f>
        <v>Reinhard Neiser</v>
      </c>
      <c r="AI294" s="17" t="str">
        <f t="shared" si="59"/>
        <v>Alltagsbegleitung</v>
      </c>
      <c r="AJ294" s="17" t="str">
        <f t="shared" si="59"/>
        <v>Entlastungsleistung</v>
      </c>
      <c r="AL294" s="18">
        <f t="shared" si="53"/>
        <v>42</v>
      </c>
      <c r="AM294" s="18">
        <f t="shared" si="54"/>
        <v>41.999999999999964</v>
      </c>
      <c r="AN294" s="18">
        <f t="shared" si="55"/>
        <v>7</v>
      </c>
    </row>
    <row r="295" spans="2:40" x14ac:dyDescent="0.25">
      <c r="B295" s="30" t="s">
        <v>66</v>
      </c>
      <c r="C295" s="31">
        <v>45966</v>
      </c>
      <c r="D295" s="32">
        <v>0.41666666666666669</v>
      </c>
      <c r="E295" s="32">
        <v>0.5</v>
      </c>
      <c r="F295" s="12">
        <f t="shared" si="57"/>
        <v>1.9999999999999996</v>
      </c>
      <c r="G295" s="12">
        <v>6</v>
      </c>
      <c r="H295" s="30" t="s">
        <v>64</v>
      </c>
      <c r="I295" s="30" t="s">
        <v>27</v>
      </c>
      <c r="J295" s="30" t="s">
        <v>28</v>
      </c>
      <c r="K295" s="9" t="str">
        <f>IFERROR(VLOOKUP($B295,[1]Kundenübersicht!$E$4:$AC$1003,MATCH(K$3,[1]Kundenübersicht!$E$3:$BA$3,FALSE),FALSE),"")</f>
        <v>KNAPPSCHAFT</v>
      </c>
      <c r="L295" s="13">
        <f>IFERROR(VLOOKUP(B295,[1]Kundenübersicht!$E$4:$AC$1003,MATCH(L$3,[1]Kundenübersicht!$E$3:$BA$3,FALSE),FALSE),"")</f>
        <v>109990508</v>
      </c>
      <c r="M295" s="13" t="str">
        <f>IFERROR(VLOOKUP(B295,[1]Kundenübersicht!$E$4:$AC$1003,MATCH(M$3,[1]Kundenübersicht!$E$3:$BA$3,FALSE),FALSE),"")</f>
        <v>F167156079</v>
      </c>
      <c r="N295" s="13" t="str">
        <f>IFERROR(VLOOKUP(B295,[1]Kundenübersicht!$E$4:$AC$1003,MATCH(N$3,[1]Kundenübersicht!$E$3:$BA$3,FALSE),FALSE),"")</f>
        <v>PG 2</v>
      </c>
      <c r="P295" s="9" t="s">
        <v>29</v>
      </c>
      <c r="R295" s="9" t="str">
        <f t="shared" si="51"/>
        <v>Unterschrieben</v>
      </c>
      <c r="S295" s="14" t="s">
        <v>31</v>
      </c>
      <c r="U295" s="15">
        <f>IF(YEAR(C295)&lt;=2025,IFERROR(IF(I295="Hauswirtschaft",VLOOKUP($B295,[1]Kundenübersicht!$E$4:$BA$1003,MATCH("Hauswirtschaft [€/Stunde]",[1]Kundenübersicht!$E$3:$BA$3,FALSE),FALSE),VLOOKUP($B295,[1]Kundenübersicht!$E$4:$BA$1003,MATCH("Alltagsbegleitung [€/Stunde]",[1]Kundenübersicht!$E$3:$BA$3,FALSE),FALSE)),0),IFERROR(IF(I295="Hauswirtschaft",VLOOKUP($B295,[1]Kundenübersicht!$E$4:$BA$1003,MATCH("HW ab 2026 [€/Stunde]",[1]Kundenübersicht!$E$3:$BA$3,FALSE),FALSE),VLOOKUP($B295,[1]Kundenübersicht!$E$4:$BA$1003,MATCH("Alltagsbegleitung [€/Stunde]",[1]Kundenübersicht!$E$3:$BA$3,FALSE),FALSE)),0))</f>
        <v>38</v>
      </c>
      <c r="V295" s="16">
        <f t="shared" si="58"/>
        <v>75.999999999999986</v>
      </c>
      <c r="W295" s="16">
        <f t="shared" si="60"/>
        <v>2.0999999999999996</v>
      </c>
      <c r="X295" s="16" t="str">
        <f>VLOOKUP(B295,[1]Kundenübersicht!E:AG,MATCH($X$3,[1]Kundenübersicht!$E$3:$AY$3,0),FALSE)</f>
        <v>Neu</v>
      </c>
      <c r="Z295" s="20" t="str">
        <f t="shared" si="52"/>
        <v>Ja</v>
      </c>
      <c r="AA295" s="19">
        <v>46009</v>
      </c>
      <c r="AC295" s="19">
        <v>45677</v>
      </c>
      <c r="AE295" s="9">
        <f t="shared" si="61"/>
        <v>2025</v>
      </c>
      <c r="AF295" s="17" t="str">
        <f t="shared" si="62"/>
        <v>11.2025</v>
      </c>
      <c r="AG295" s="17" t="str">
        <f t="shared" si="63"/>
        <v>Ursula Ullmann</v>
      </c>
      <c r="AH295" s="17" t="str">
        <f>IFERROR(VLOOKUP(B295,[1]Kundenübersicht!$E$4:$F$85,2,FALSE),"")</f>
        <v>Sigrid Müller</v>
      </c>
      <c r="AI295" s="17" t="str">
        <f t="shared" si="59"/>
        <v>Hauswirtschaft</v>
      </c>
      <c r="AJ295" s="17" t="str">
        <f t="shared" si="59"/>
        <v>Entlastungsleistung</v>
      </c>
      <c r="AL295" s="18">
        <f t="shared" si="53"/>
        <v>38</v>
      </c>
      <c r="AM295" s="18">
        <f t="shared" si="54"/>
        <v>75.999999999999986</v>
      </c>
      <c r="AN295" s="18">
        <f t="shared" si="55"/>
        <v>2.0999999999999996</v>
      </c>
    </row>
    <row r="296" spans="2:40" x14ac:dyDescent="0.25">
      <c r="B296" s="30" t="s">
        <v>66</v>
      </c>
      <c r="C296" s="31">
        <v>45986</v>
      </c>
      <c r="D296" s="32">
        <v>0.45833333333333331</v>
      </c>
      <c r="E296" s="32">
        <v>0.5</v>
      </c>
      <c r="F296" s="12">
        <f t="shared" si="57"/>
        <v>1.0000000000000004</v>
      </c>
      <c r="G296" s="12">
        <v>6</v>
      </c>
      <c r="H296" s="30" t="s">
        <v>64</v>
      </c>
      <c r="I296" s="30" t="s">
        <v>27</v>
      </c>
      <c r="J296" s="30" t="s">
        <v>28</v>
      </c>
      <c r="K296" s="9" t="str">
        <f>IFERROR(VLOOKUP($B296,[1]Kundenübersicht!$E$4:$AC$1003,MATCH(K$3,[1]Kundenübersicht!$E$3:$BA$3,FALSE),FALSE),"")</f>
        <v>KNAPPSCHAFT</v>
      </c>
      <c r="L296" s="13">
        <f>IFERROR(VLOOKUP(B296,[1]Kundenübersicht!$E$4:$AC$1003,MATCH(L$3,[1]Kundenübersicht!$E$3:$BA$3,FALSE),FALSE),"")</f>
        <v>109990508</v>
      </c>
      <c r="M296" s="13" t="str">
        <f>IFERROR(VLOOKUP(B296,[1]Kundenübersicht!$E$4:$AC$1003,MATCH(M$3,[1]Kundenübersicht!$E$3:$BA$3,FALSE),FALSE),"")</f>
        <v>F167156079</v>
      </c>
      <c r="N296" s="13" t="str">
        <f>IFERROR(VLOOKUP(B296,[1]Kundenübersicht!$E$4:$AC$1003,MATCH(N$3,[1]Kundenübersicht!$E$3:$BA$3,FALSE),FALSE),"")</f>
        <v>PG 2</v>
      </c>
      <c r="P296" s="9" t="s">
        <v>29</v>
      </c>
      <c r="R296" s="9" t="str">
        <f t="shared" si="51"/>
        <v>Unterschrieben</v>
      </c>
      <c r="S296" s="14" t="s">
        <v>31</v>
      </c>
      <c r="U296" s="15">
        <f>IF(YEAR(C296)&lt;=2025,IFERROR(IF(I296="Hauswirtschaft",VLOOKUP($B296,[1]Kundenübersicht!$E$4:$BA$1003,MATCH("Hauswirtschaft [€/Stunde]",[1]Kundenübersicht!$E$3:$BA$3,FALSE),FALSE),VLOOKUP($B296,[1]Kundenübersicht!$E$4:$BA$1003,MATCH("Alltagsbegleitung [€/Stunde]",[1]Kundenübersicht!$E$3:$BA$3,FALSE),FALSE)),0),IFERROR(IF(I296="Hauswirtschaft",VLOOKUP($B296,[1]Kundenübersicht!$E$4:$BA$1003,MATCH("HW ab 2026 [€/Stunde]",[1]Kundenübersicht!$E$3:$BA$3,FALSE),FALSE),VLOOKUP($B296,[1]Kundenübersicht!$E$4:$BA$1003,MATCH("Alltagsbegleitung [€/Stunde]",[1]Kundenübersicht!$E$3:$BA$3,FALSE),FALSE)),0))</f>
        <v>38</v>
      </c>
      <c r="V296" s="16">
        <f t="shared" si="58"/>
        <v>38.000000000000014</v>
      </c>
      <c r="W296" s="16">
        <f t="shared" si="60"/>
        <v>2.0999999999999996</v>
      </c>
      <c r="X296" s="16" t="str">
        <f>VLOOKUP(B296,[1]Kundenübersicht!E:AG,MATCH($X$3,[1]Kundenübersicht!$E$3:$AY$3,0),FALSE)</f>
        <v>Neu</v>
      </c>
      <c r="Z296" s="20" t="str">
        <f t="shared" si="52"/>
        <v>Ja</v>
      </c>
      <c r="AA296" s="19">
        <v>46009</v>
      </c>
      <c r="AC296" s="19">
        <v>45677</v>
      </c>
      <c r="AE296" s="9">
        <f t="shared" si="61"/>
        <v>2025</v>
      </c>
      <c r="AF296" s="17" t="str">
        <f t="shared" si="62"/>
        <v>11.2025</v>
      </c>
      <c r="AG296" s="17" t="str">
        <f t="shared" si="63"/>
        <v>Ursula Ullmann</v>
      </c>
      <c r="AH296" s="17" t="str">
        <f>IFERROR(VLOOKUP(B296,[1]Kundenübersicht!$E$4:$F$85,2,FALSE),"")</f>
        <v>Sigrid Müller</v>
      </c>
      <c r="AI296" s="17" t="str">
        <f t="shared" si="59"/>
        <v>Hauswirtschaft</v>
      </c>
      <c r="AJ296" s="17" t="str">
        <f t="shared" si="59"/>
        <v>Entlastungsleistung</v>
      </c>
      <c r="AL296" s="18">
        <f t="shared" si="53"/>
        <v>38</v>
      </c>
      <c r="AM296" s="18">
        <f t="shared" si="54"/>
        <v>38.000000000000014</v>
      </c>
      <c r="AN296" s="18">
        <f t="shared" si="55"/>
        <v>2.0999999999999996</v>
      </c>
    </row>
    <row r="297" spans="2:40" x14ac:dyDescent="0.25">
      <c r="B297" s="30" t="s">
        <v>59</v>
      </c>
      <c r="C297" s="31">
        <v>45971</v>
      </c>
      <c r="D297" s="32">
        <v>0.58333333333333337</v>
      </c>
      <c r="E297" s="32">
        <v>0.64583333333333337</v>
      </c>
      <c r="F297" s="12">
        <f t="shared" si="57"/>
        <v>1.5</v>
      </c>
      <c r="G297" s="12">
        <v>7</v>
      </c>
      <c r="H297" s="30" t="s">
        <v>64</v>
      </c>
      <c r="I297" s="30" t="s">
        <v>27</v>
      </c>
      <c r="J297" s="30" t="s">
        <v>28</v>
      </c>
      <c r="K297" s="9" t="str">
        <f>IFERROR(VLOOKUP($B297,[1]Kundenübersicht!$E$4:$AC$1003,MATCH(K$3,[1]Kundenübersicht!$E$3:$BA$3,FALSE),FALSE),"")</f>
        <v>IKK Classic</v>
      </c>
      <c r="L297" s="13">
        <f>IFERROR(VLOOKUP(B297,[1]Kundenübersicht!$E$4:$AC$1003,MATCH(L$3,[1]Kundenübersicht!$E$3:$BA$3,FALSE),FALSE),"")</f>
        <v>187202793</v>
      </c>
      <c r="M297" s="13" t="str">
        <f>IFERROR(VLOOKUP(B297,[1]Kundenübersicht!$E$4:$AC$1003,MATCH(M$3,[1]Kundenübersicht!$E$3:$BA$3,FALSE),FALSE),"")</f>
        <v>E747849508</v>
      </c>
      <c r="N297" s="13" t="str">
        <f>IFERROR(VLOOKUP(B297,[1]Kundenübersicht!$E$4:$AC$1003,MATCH(N$3,[1]Kundenübersicht!$E$3:$BA$3,FALSE),FALSE),"")</f>
        <v>PG 3</v>
      </c>
      <c r="P297" s="9" t="s">
        <v>29</v>
      </c>
      <c r="R297" s="9" t="str">
        <f t="shared" si="51"/>
        <v>Unterschrieben</v>
      </c>
      <c r="S297" s="14" t="s">
        <v>31</v>
      </c>
      <c r="U297" s="15">
        <f>IF(YEAR(C297)&lt;=2025,IFERROR(IF(I297="Hauswirtschaft",VLOOKUP($B297,[1]Kundenübersicht!$E$4:$BA$1003,MATCH("Hauswirtschaft [€/Stunde]",[1]Kundenübersicht!$E$3:$BA$3,FALSE),FALSE),VLOOKUP($B297,[1]Kundenübersicht!$E$4:$BA$1003,MATCH("Alltagsbegleitung [€/Stunde]",[1]Kundenübersicht!$E$3:$BA$3,FALSE),FALSE)),0),IFERROR(IF(I297="Hauswirtschaft",VLOOKUP($B297,[1]Kundenübersicht!$E$4:$BA$1003,MATCH("HW ab 2026 [€/Stunde]",[1]Kundenübersicht!$E$3:$BA$3,FALSE),FALSE),VLOOKUP($B297,[1]Kundenübersicht!$E$4:$BA$1003,MATCH("Alltagsbegleitung [€/Stunde]",[1]Kundenübersicht!$E$3:$BA$3,FALSE),FALSE)),0))</f>
        <v>32.75</v>
      </c>
      <c r="V297" s="16">
        <f t="shared" si="58"/>
        <v>49.125</v>
      </c>
      <c r="W297" s="16">
        <f t="shared" si="60"/>
        <v>0</v>
      </c>
      <c r="X297" s="16" t="str">
        <f>VLOOKUP(B297,[1]Kundenübersicht!E:AG,MATCH($X$3,[1]Kundenübersicht!$E$3:$AY$3,0),FALSE)</f>
        <v>Alt</v>
      </c>
      <c r="Z297" s="20" t="str">
        <f t="shared" si="52"/>
        <v>Ja</v>
      </c>
      <c r="AA297" s="19">
        <v>46009</v>
      </c>
      <c r="AC297" s="19">
        <v>45669</v>
      </c>
      <c r="AE297" s="9">
        <f t="shared" si="61"/>
        <v>2025</v>
      </c>
      <c r="AF297" s="17" t="str">
        <f t="shared" si="62"/>
        <v>11.2025</v>
      </c>
      <c r="AG297" s="17" t="str">
        <f t="shared" si="63"/>
        <v>Ursula Ullmann</v>
      </c>
      <c r="AH297" s="17" t="str">
        <f>IFERROR(VLOOKUP(B297,[1]Kundenübersicht!$E$4:$F$85,2,FALSE),"")</f>
        <v>Anita Fischer</v>
      </c>
      <c r="AI297" s="17" t="str">
        <f t="shared" si="59"/>
        <v>Hauswirtschaft</v>
      </c>
      <c r="AJ297" s="17" t="str">
        <f t="shared" si="59"/>
        <v>Entlastungsleistung</v>
      </c>
      <c r="AL297" s="18">
        <f t="shared" si="53"/>
        <v>38</v>
      </c>
      <c r="AM297" s="18">
        <f t="shared" si="54"/>
        <v>57</v>
      </c>
      <c r="AN297" s="18">
        <f t="shared" si="55"/>
        <v>2.4499999999999997</v>
      </c>
    </row>
    <row r="298" spans="2:40" x14ac:dyDescent="0.25">
      <c r="B298" s="30" t="s">
        <v>59</v>
      </c>
      <c r="C298" s="31">
        <v>45987</v>
      </c>
      <c r="D298" s="32">
        <v>0.58333333333333337</v>
      </c>
      <c r="E298" s="32">
        <v>0.66666666666666663</v>
      </c>
      <c r="F298" s="12">
        <f t="shared" si="57"/>
        <v>1.9999999999999982</v>
      </c>
      <c r="G298" s="12">
        <v>7</v>
      </c>
      <c r="H298" s="30" t="s">
        <v>64</v>
      </c>
      <c r="I298" s="30" t="s">
        <v>27</v>
      </c>
      <c r="J298" s="30" t="s">
        <v>28</v>
      </c>
      <c r="K298" s="9" t="str">
        <f>IFERROR(VLOOKUP($B298,[1]Kundenübersicht!$E$4:$AC$1003,MATCH(K$3,[1]Kundenübersicht!$E$3:$BA$3,FALSE),FALSE),"")</f>
        <v>IKK Classic</v>
      </c>
      <c r="L298" s="13">
        <f>IFERROR(VLOOKUP(B298,[1]Kundenübersicht!$E$4:$AC$1003,MATCH(L$3,[1]Kundenübersicht!$E$3:$BA$3,FALSE),FALSE),"")</f>
        <v>187202793</v>
      </c>
      <c r="M298" s="13" t="str">
        <f>IFERROR(VLOOKUP(B298,[1]Kundenübersicht!$E$4:$AC$1003,MATCH(M$3,[1]Kundenübersicht!$E$3:$BA$3,FALSE),FALSE),"")</f>
        <v>E747849508</v>
      </c>
      <c r="N298" s="13" t="str">
        <f>IFERROR(VLOOKUP(B298,[1]Kundenübersicht!$E$4:$AC$1003,MATCH(N$3,[1]Kundenübersicht!$E$3:$BA$3,FALSE),FALSE),"")</f>
        <v>PG 3</v>
      </c>
      <c r="P298" s="9" t="s">
        <v>29</v>
      </c>
      <c r="R298" s="9" t="str">
        <f t="shared" si="51"/>
        <v>Unterschrieben</v>
      </c>
      <c r="S298" s="14" t="s">
        <v>31</v>
      </c>
      <c r="U298" s="15">
        <f>IF(YEAR(C298)&lt;=2025,IFERROR(IF(I298="Hauswirtschaft",VLOOKUP($B298,[1]Kundenübersicht!$E$4:$BA$1003,MATCH("Hauswirtschaft [€/Stunde]",[1]Kundenübersicht!$E$3:$BA$3,FALSE),FALSE),VLOOKUP($B298,[1]Kundenübersicht!$E$4:$BA$1003,MATCH("Alltagsbegleitung [€/Stunde]",[1]Kundenübersicht!$E$3:$BA$3,FALSE),FALSE)),0),IFERROR(IF(I298="Hauswirtschaft",VLOOKUP($B298,[1]Kundenübersicht!$E$4:$BA$1003,MATCH("HW ab 2026 [€/Stunde]",[1]Kundenübersicht!$E$3:$BA$3,FALSE),FALSE),VLOOKUP($B298,[1]Kundenübersicht!$E$4:$BA$1003,MATCH("Alltagsbegleitung [€/Stunde]",[1]Kundenübersicht!$E$3:$BA$3,FALSE),FALSE)),0))</f>
        <v>32.75</v>
      </c>
      <c r="V298" s="16">
        <f t="shared" si="58"/>
        <v>65.499999999999943</v>
      </c>
      <c r="W298" s="16">
        <f t="shared" si="60"/>
        <v>0</v>
      </c>
      <c r="X298" s="16" t="str">
        <f>VLOOKUP(B298,[1]Kundenübersicht!E:AG,MATCH($X$3,[1]Kundenübersicht!$E$3:$AY$3,0),FALSE)</f>
        <v>Alt</v>
      </c>
      <c r="Z298" s="20" t="str">
        <f t="shared" si="52"/>
        <v>Ja</v>
      </c>
      <c r="AA298" s="19">
        <v>46009</v>
      </c>
      <c r="AC298" s="19">
        <v>45669</v>
      </c>
      <c r="AE298" s="9">
        <f t="shared" si="61"/>
        <v>2025</v>
      </c>
      <c r="AF298" s="17" t="str">
        <f t="shared" si="62"/>
        <v>11.2025</v>
      </c>
      <c r="AG298" s="17" t="str">
        <f t="shared" si="63"/>
        <v>Ursula Ullmann</v>
      </c>
      <c r="AH298" s="17" t="str">
        <f>IFERROR(VLOOKUP(B298,[1]Kundenübersicht!$E$4:$F$85,2,FALSE),"")</f>
        <v>Anita Fischer</v>
      </c>
      <c r="AI298" s="17" t="str">
        <f t="shared" si="59"/>
        <v>Hauswirtschaft</v>
      </c>
      <c r="AJ298" s="17" t="str">
        <f t="shared" si="59"/>
        <v>Entlastungsleistung</v>
      </c>
      <c r="AL298" s="18">
        <f t="shared" si="53"/>
        <v>38</v>
      </c>
      <c r="AM298" s="18">
        <f t="shared" si="54"/>
        <v>75.999999999999929</v>
      </c>
      <c r="AN298" s="18">
        <f t="shared" si="55"/>
        <v>2.4499999999999997</v>
      </c>
    </row>
    <row r="299" spans="2:40" x14ac:dyDescent="0.25">
      <c r="B299" s="30" t="s">
        <v>60</v>
      </c>
      <c r="C299" s="31">
        <v>45964</v>
      </c>
      <c r="D299" s="32">
        <v>0.45833333333333331</v>
      </c>
      <c r="E299" s="32">
        <v>0.5</v>
      </c>
      <c r="F299" s="12">
        <f t="shared" si="57"/>
        <v>1.0000000000000004</v>
      </c>
      <c r="G299" s="12">
        <v>7.5</v>
      </c>
      <c r="H299" s="30" t="s">
        <v>64</v>
      </c>
      <c r="I299" s="30" t="s">
        <v>41</v>
      </c>
      <c r="J299" s="30" t="s">
        <v>28</v>
      </c>
      <c r="K299" s="9" t="str">
        <f>IFERROR(VLOOKUP($B299,[1]Kundenübersicht!$E$4:$AC$1003,MATCH(K$3,[1]Kundenübersicht!$E$3:$BA$3,FALSE),FALSE),"")</f>
        <v>Techniker Krankenkasse</v>
      </c>
      <c r="L299" s="13">
        <f>IFERROR(VLOOKUP(B299,[1]Kundenübersicht!$E$4:$AC$1003,MATCH(L$3,[1]Kundenübersicht!$E$3:$BA$3,FALSE),FALSE),"")</f>
        <v>101575519</v>
      </c>
      <c r="M299" s="13" t="str">
        <f>IFERROR(VLOOKUP(B299,[1]Kundenübersicht!$E$4:$AC$1003,MATCH(M$3,[1]Kundenübersicht!$E$3:$BA$3,FALSE),FALSE),"")</f>
        <v>O824144952</v>
      </c>
      <c r="N299" s="13" t="str">
        <f>IFERROR(VLOOKUP(B299,[1]Kundenübersicht!$E$4:$AC$1003,MATCH(N$3,[1]Kundenübersicht!$E$3:$BA$3,FALSE),FALSE),"")</f>
        <v>PG 2</v>
      </c>
      <c r="P299" s="9" t="s">
        <v>29</v>
      </c>
      <c r="R299" s="9" t="str">
        <f t="shared" si="51"/>
        <v>Unterschrieben</v>
      </c>
      <c r="S299" s="14" t="s">
        <v>31</v>
      </c>
      <c r="U299" s="15">
        <f>IF(YEAR(C299)&lt;=2025,IFERROR(IF(I299="Hauswirtschaft",VLOOKUP($B299,[1]Kundenübersicht!$E$4:$BA$1003,MATCH("Hauswirtschaft [€/Stunde]",[1]Kundenübersicht!$E$3:$BA$3,FALSE),FALSE),VLOOKUP($B299,[1]Kundenübersicht!$E$4:$BA$1003,MATCH("Alltagsbegleitung [€/Stunde]",[1]Kundenübersicht!$E$3:$BA$3,FALSE),FALSE)),0),IFERROR(IF(I299="Hauswirtschaft",VLOOKUP($B299,[1]Kundenübersicht!$E$4:$BA$1003,MATCH("HW ab 2026 [€/Stunde]",[1]Kundenübersicht!$E$3:$BA$3,FALSE),FALSE),VLOOKUP($B299,[1]Kundenübersicht!$E$4:$BA$1003,MATCH("Alltagsbegleitung [€/Stunde]",[1]Kundenübersicht!$E$3:$BA$3,FALSE),FALSE)),0))</f>
        <v>42</v>
      </c>
      <c r="V299" s="16">
        <f t="shared" si="58"/>
        <v>42.000000000000021</v>
      </c>
      <c r="W299" s="16">
        <f t="shared" si="60"/>
        <v>0</v>
      </c>
      <c r="X299" s="16" t="str">
        <f>VLOOKUP(B299,[1]Kundenübersicht!E:AG,MATCH($X$3,[1]Kundenübersicht!$E$3:$AY$3,0),FALSE)</f>
        <v>Alt</v>
      </c>
      <c r="Z299" s="20" t="str">
        <f t="shared" si="52"/>
        <v>Ja</v>
      </c>
      <c r="AA299" s="19">
        <v>45644</v>
      </c>
      <c r="AC299" s="19">
        <v>46050</v>
      </c>
      <c r="AE299" s="9">
        <f t="shared" si="61"/>
        <v>2025</v>
      </c>
      <c r="AF299" s="17" t="str">
        <f t="shared" si="62"/>
        <v>11.2025</v>
      </c>
      <c r="AG299" s="17" t="str">
        <f t="shared" si="63"/>
        <v>Ursula Ullmann</v>
      </c>
      <c r="AH299" s="17" t="str">
        <f>IFERROR(VLOOKUP(B299,[1]Kundenübersicht!$E$4:$F$85,2,FALSE),"")</f>
        <v>Ellenore Lein</v>
      </c>
      <c r="AI299" s="17" t="str">
        <f t="shared" si="59"/>
        <v>Alltagsbegleitung</v>
      </c>
      <c r="AJ299" s="17" t="str">
        <f t="shared" si="59"/>
        <v>Entlastungsleistung</v>
      </c>
      <c r="AL299" s="18">
        <f t="shared" si="53"/>
        <v>42</v>
      </c>
      <c r="AM299" s="18">
        <f t="shared" si="54"/>
        <v>42.000000000000021</v>
      </c>
      <c r="AN299" s="18">
        <f t="shared" si="55"/>
        <v>2.625</v>
      </c>
    </row>
    <row r="300" spans="2:40" x14ac:dyDescent="0.25">
      <c r="B300" s="30" t="s">
        <v>60</v>
      </c>
      <c r="C300" s="31">
        <v>45967</v>
      </c>
      <c r="D300" s="32">
        <v>0.60416666666666663</v>
      </c>
      <c r="E300" s="32">
        <v>0.66666666666666663</v>
      </c>
      <c r="F300" s="12">
        <f t="shared" si="57"/>
        <v>1.5</v>
      </c>
      <c r="G300" s="12">
        <v>7.5</v>
      </c>
      <c r="H300" s="30" t="s">
        <v>64</v>
      </c>
      <c r="I300" s="30" t="s">
        <v>27</v>
      </c>
      <c r="J300" s="30" t="s">
        <v>28</v>
      </c>
      <c r="K300" s="9" t="str">
        <f>IFERROR(VLOOKUP($B300,[1]Kundenübersicht!$E$4:$AC$1003,MATCH(K$3,[1]Kundenübersicht!$E$3:$BA$3,FALSE),FALSE),"")</f>
        <v>Techniker Krankenkasse</v>
      </c>
      <c r="L300" s="13">
        <f>IFERROR(VLOOKUP(B300,[1]Kundenübersicht!$E$4:$AC$1003,MATCH(L$3,[1]Kundenübersicht!$E$3:$BA$3,FALSE),FALSE),"")</f>
        <v>101575519</v>
      </c>
      <c r="M300" s="13" t="str">
        <f>IFERROR(VLOOKUP(B300,[1]Kundenübersicht!$E$4:$AC$1003,MATCH(M$3,[1]Kundenübersicht!$E$3:$BA$3,FALSE),FALSE),"")</f>
        <v>O824144952</v>
      </c>
      <c r="N300" s="13" t="str">
        <f>IFERROR(VLOOKUP(B300,[1]Kundenübersicht!$E$4:$AC$1003,MATCH(N$3,[1]Kundenübersicht!$E$3:$BA$3,FALSE),FALSE),"")</f>
        <v>PG 2</v>
      </c>
      <c r="P300" s="9" t="s">
        <v>29</v>
      </c>
      <c r="R300" s="9" t="str">
        <f t="shared" si="51"/>
        <v>Unterschrieben</v>
      </c>
      <c r="S300" s="14" t="s">
        <v>31</v>
      </c>
      <c r="U300" s="15">
        <f>IF(YEAR(C300)&lt;=2025,IFERROR(IF(I300="Hauswirtschaft",VLOOKUP($B300,[1]Kundenübersicht!$E$4:$BA$1003,MATCH("Hauswirtschaft [€/Stunde]",[1]Kundenübersicht!$E$3:$BA$3,FALSE),FALSE),VLOOKUP($B300,[1]Kundenübersicht!$E$4:$BA$1003,MATCH("Alltagsbegleitung [€/Stunde]",[1]Kundenübersicht!$E$3:$BA$3,FALSE),FALSE)),0),IFERROR(IF(I300="Hauswirtschaft",VLOOKUP($B300,[1]Kundenübersicht!$E$4:$BA$1003,MATCH("HW ab 2026 [€/Stunde]",[1]Kundenübersicht!$E$3:$BA$3,FALSE),FALSE),VLOOKUP($B300,[1]Kundenübersicht!$E$4:$BA$1003,MATCH("Alltagsbegleitung [€/Stunde]",[1]Kundenübersicht!$E$3:$BA$3,FALSE),FALSE)),0))</f>
        <v>32.75</v>
      </c>
      <c r="V300" s="16">
        <f t="shared" si="58"/>
        <v>49.125</v>
      </c>
      <c r="W300" s="16">
        <f t="shared" si="60"/>
        <v>0</v>
      </c>
      <c r="X300" s="16" t="str">
        <f>VLOOKUP(B300,[1]Kundenübersicht!E:AG,MATCH($X$3,[1]Kundenübersicht!$E$3:$AY$3,0),FALSE)</f>
        <v>Alt</v>
      </c>
      <c r="Z300" s="20" t="str">
        <f t="shared" si="52"/>
        <v>Ja</v>
      </c>
      <c r="AA300" s="19">
        <v>45644</v>
      </c>
      <c r="AC300" s="19">
        <v>46050</v>
      </c>
      <c r="AE300" s="9">
        <f t="shared" si="61"/>
        <v>2025</v>
      </c>
      <c r="AF300" s="17" t="str">
        <f t="shared" si="62"/>
        <v>11.2025</v>
      </c>
      <c r="AG300" s="17" t="str">
        <f t="shared" si="63"/>
        <v>Ursula Ullmann</v>
      </c>
      <c r="AH300" s="17" t="str">
        <f>IFERROR(VLOOKUP(B300,[1]Kundenübersicht!$E$4:$F$85,2,FALSE),"")</f>
        <v>Ellenore Lein</v>
      </c>
      <c r="AI300" s="17" t="str">
        <f t="shared" si="59"/>
        <v>Hauswirtschaft</v>
      </c>
      <c r="AJ300" s="17" t="str">
        <f t="shared" si="59"/>
        <v>Entlastungsleistung</v>
      </c>
      <c r="AL300" s="18">
        <f t="shared" si="53"/>
        <v>38</v>
      </c>
      <c r="AM300" s="18">
        <f t="shared" si="54"/>
        <v>57</v>
      </c>
      <c r="AN300" s="18">
        <f t="shared" si="55"/>
        <v>2.625</v>
      </c>
    </row>
    <row r="301" spans="2:40" x14ac:dyDescent="0.25">
      <c r="B301" s="30" t="s">
        <v>60</v>
      </c>
      <c r="C301" s="31">
        <v>45974</v>
      </c>
      <c r="D301" s="32">
        <v>0.60416666666666663</v>
      </c>
      <c r="E301" s="32">
        <v>0.64583333333333337</v>
      </c>
      <c r="F301" s="12">
        <f t="shared" si="57"/>
        <v>1.0000000000000018</v>
      </c>
      <c r="G301" s="12">
        <v>7.5</v>
      </c>
      <c r="H301" s="30" t="s">
        <v>64</v>
      </c>
      <c r="I301" s="30" t="s">
        <v>41</v>
      </c>
      <c r="J301" s="30" t="s">
        <v>28</v>
      </c>
      <c r="K301" s="9" t="str">
        <f>IFERROR(VLOOKUP($B301,[1]Kundenübersicht!$E$4:$AC$1003,MATCH(K$3,[1]Kundenübersicht!$E$3:$BA$3,FALSE),FALSE),"")</f>
        <v>Techniker Krankenkasse</v>
      </c>
      <c r="L301" s="13">
        <f>IFERROR(VLOOKUP(B301,[1]Kundenübersicht!$E$4:$AC$1003,MATCH(L$3,[1]Kundenübersicht!$E$3:$BA$3,FALSE),FALSE),"")</f>
        <v>101575519</v>
      </c>
      <c r="M301" s="13" t="str">
        <f>IFERROR(VLOOKUP(B301,[1]Kundenübersicht!$E$4:$AC$1003,MATCH(M$3,[1]Kundenübersicht!$E$3:$BA$3,FALSE),FALSE),"")</f>
        <v>O824144952</v>
      </c>
      <c r="N301" s="13" t="str">
        <f>IFERROR(VLOOKUP(B301,[1]Kundenübersicht!$E$4:$AC$1003,MATCH(N$3,[1]Kundenübersicht!$E$3:$BA$3,FALSE),FALSE),"")</f>
        <v>PG 2</v>
      </c>
      <c r="P301" s="9" t="s">
        <v>29</v>
      </c>
      <c r="R301" s="9" t="str">
        <f t="shared" si="51"/>
        <v>Unterschrieben</v>
      </c>
      <c r="S301" s="14" t="s">
        <v>31</v>
      </c>
      <c r="U301" s="15">
        <f>IF(YEAR(C301)&lt;=2025,IFERROR(IF(I301="Hauswirtschaft",VLOOKUP($B301,[1]Kundenübersicht!$E$4:$BA$1003,MATCH("Hauswirtschaft [€/Stunde]",[1]Kundenübersicht!$E$3:$BA$3,FALSE),FALSE),VLOOKUP($B301,[1]Kundenübersicht!$E$4:$BA$1003,MATCH("Alltagsbegleitung [€/Stunde]",[1]Kundenübersicht!$E$3:$BA$3,FALSE),FALSE)),0),IFERROR(IF(I301="Hauswirtschaft",VLOOKUP($B301,[1]Kundenübersicht!$E$4:$BA$1003,MATCH("HW ab 2026 [€/Stunde]",[1]Kundenübersicht!$E$3:$BA$3,FALSE),FALSE),VLOOKUP($B301,[1]Kundenübersicht!$E$4:$BA$1003,MATCH("Alltagsbegleitung [€/Stunde]",[1]Kundenübersicht!$E$3:$BA$3,FALSE),FALSE)),0))</f>
        <v>42</v>
      </c>
      <c r="V301" s="16">
        <f t="shared" si="58"/>
        <v>42.000000000000071</v>
      </c>
      <c r="W301" s="16">
        <f t="shared" si="60"/>
        <v>0</v>
      </c>
      <c r="X301" s="16" t="str">
        <f>VLOOKUP(B301,[1]Kundenübersicht!E:AG,MATCH($X$3,[1]Kundenübersicht!$E$3:$AY$3,0),FALSE)</f>
        <v>Alt</v>
      </c>
      <c r="Z301" s="20" t="str">
        <f t="shared" si="52"/>
        <v>Ja</v>
      </c>
      <c r="AA301" s="19">
        <v>45644</v>
      </c>
      <c r="AC301" s="19">
        <v>46050</v>
      </c>
      <c r="AE301" s="9">
        <f t="shared" si="61"/>
        <v>2025</v>
      </c>
      <c r="AF301" s="17" t="str">
        <f t="shared" si="62"/>
        <v>11.2025</v>
      </c>
      <c r="AG301" s="17" t="str">
        <f t="shared" si="63"/>
        <v>Ursula Ullmann</v>
      </c>
      <c r="AH301" s="17" t="str">
        <f>IFERROR(VLOOKUP(B301,[1]Kundenübersicht!$E$4:$F$85,2,FALSE),"")</f>
        <v>Ellenore Lein</v>
      </c>
      <c r="AI301" s="17" t="str">
        <f t="shared" si="59"/>
        <v>Alltagsbegleitung</v>
      </c>
      <c r="AJ301" s="17" t="str">
        <f t="shared" si="59"/>
        <v>Entlastungsleistung</v>
      </c>
      <c r="AL301" s="18">
        <f t="shared" si="53"/>
        <v>42</v>
      </c>
      <c r="AM301" s="18">
        <f t="shared" si="54"/>
        <v>42.000000000000071</v>
      </c>
      <c r="AN301" s="18">
        <f t="shared" si="55"/>
        <v>2.625</v>
      </c>
    </row>
    <row r="302" spans="2:40" x14ac:dyDescent="0.25">
      <c r="B302" s="30" t="s">
        <v>60</v>
      </c>
      <c r="C302" s="31">
        <v>45978</v>
      </c>
      <c r="D302" s="32">
        <v>0.41666666666666669</v>
      </c>
      <c r="E302" s="32">
        <v>0.47916666666666669</v>
      </c>
      <c r="F302" s="12">
        <f t="shared" si="57"/>
        <v>1.5</v>
      </c>
      <c r="G302" s="12">
        <v>7.5</v>
      </c>
      <c r="H302" s="30" t="s">
        <v>64</v>
      </c>
      <c r="I302" s="30" t="s">
        <v>27</v>
      </c>
      <c r="J302" s="30" t="s">
        <v>28</v>
      </c>
      <c r="K302" s="9" t="str">
        <f>IFERROR(VLOOKUP($B302,[1]Kundenübersicht!$E$4:$AC$1003,MATCH(K$3,[1]Kundenübersicht!$E$3:$BA$3,FALSE),FALSE),"")</f>
        <v>Techniker Krankenkasse</v>
      </c>
      <c r="L302" s="13">
        <f>IFERROR(VLOOKUP(B302,[1]Kundenübersicht!$E$4:$AC$1003,MATCH(L$3,[1]Kundenübersicht!$E$3:$BA$3,FALSE),FALSE),"")</f>
        <v>101575519</v>
      </c>
      <c r="M302" s="13" t="str">
        <f>IFERROR(VLOOKUP(B302,[1]Kundenübersicht!$E$4:$AC$1003,MATCH(M$3,[1]Kundenübersicht!$E$3:$BA$3,FALSE),FALSE),"")</f>
        <v>O824144952</v>
      </c>
      <c r="N302" s="13" t="str">
        <f>IFERROR(VLOOKUP(B302,[1]Kundenübersicht!$E$4:$AC$1003,MATCH(N$3,[1]Kundenübersicht!$E$3:$BA$3,FALSE),FALSE),"")</f>
        <v>PG 2</v>
      </c>
      <c r="P302" s="9" t="s">
        <v>29</v>
      </c>
      <c r="R302" s="9" t="str">
        <f t="shared" si="51"/>
        <v>Unterschrieben</v>
      </c>
      <c r="S302" s="14" t="s">
        <v>31</v>
      </c>
      <c r="U302" s="15">
        <f>IF(YEAR(C302)&lt;=2025,IFERROR(IF(I302="Hauswirtschaft",VLOOKUP($B302,[1]Kundenübersicht!$E$4:$BA$1003,MATCH("Hauswirtschaft [€/Stunde]",[1]Kundenübersicht!$E$3:$BA$3,FALSE),FALSE),VLOOKUP($B302,[1]Kundenübersicht!$E$4:$BA$1003,MATCH("Alltagsbegleitung [€/Stunde]",[1]Kundenübersicht!$E$3:$BA$3,FALSE),FALSE)),0),IFERROR(IF(I302="Hauswirtschaft",VLOOKUP($B302,[1]Kundenübersicht!$E$4:$BA$1003,MATCH("HW ab 2026 [€/Stunde]",[1]Kundenübersicht!$E$3:$BA$3,FALSE),FALSE),VLOOKUP($B302,[1]Kundenübersicht!$E$4:$BA$1003,MATCH("Alltagsbegleitung [€/Stunde]",[1]Kundenübersicht!$E$3:$BA$3,FALSE),FALSE)),0))</f>
        <v>32.75</v>
      </c>
      <c r="V302" s="16">
        <f t="shared" si="58"/>
        <v>49.125</v>
      </c>
      <c r="W302" s="16">
        <f t="shared" si="60"/>
        <v>0</v>
      </c>
      <c r="X302" s="16" t="str">
        <f>VLOOKUP(B302,[1]Kundenübersicht!E:AG,MATCH($X$3,[1]Kundenübersicht!$E$3:$AY$3,0),FALSE)</f>
        <v>Alt</v>
      </c>
      <c r="Z302" s="20" t="str">
        <f t="shared" si="52"/>
        <v>Ja</v>
      </c>
      <c r="AA302" s="19">
        <v>45644</v>
      </c>
      <c r="AC302" s="19">
        <v>46050</v>
      </c>
      <c r="AE302" s="9">
        <f t="shared" si="61"/>
        <v>2025</v>
      </c>
      <c r="AF302" s="17" t="str">
        <f t="shared" si="62"/>
        <v>11.2025</v>
      </c>
      <c r="AG302" s="17" t="str">
        <f t="shared" si="63"/>
        <v>Ursula Ullmann</v>
      </c>
      <c r="AH302" s="17" t="str">
        <f>IFERROR(VLOOKUP(B302,[1]Kundenübersicht!$E$4:$F$85,2,FALSE),"")</f>
        <v>Ellenore Lein</v>
      </c>
      <c r="AI302" s="17" t="str">
        <f t="shared" si="59"/>
        <v>Hauswirtschaft</v>
      </c>
      <c r="AJ302" s="17" t="str">
        <f t="shared" si="59"/>
        <v>Entlastungsleistung</v>
      </c>
      <c r="AL302" s="18">
        <f t="shared" si="53"/>
        <v>38</v>
      </c>
      <c r="AM302" s="18">
        <f t="shared" si="54"/>
        <v>57</v>
      </c>
      <c r="AN302" s="18">
        <f t="shared" si="55"/>
        <v>2.625</v>
      </c>
    </row>
    <row r="303" spans="2:40" x14ac:dyDescent="0.25">
      <c r="B303" s="30" t="s">
        <v>60</v>
      </c>
      <c r="C303" s="31">
        <v>45988</v>
      </c>
      <c r="D303" s="32">
        <v>0.41666666666666669</v>
      </c>
      <c r="E303" s="32">
        <v>0.45833333333333331</v>
      </c>
      <c r="F303" s="12">
        <f t="shared" si="57"/>
        <v>0.99999999999999911</v>
      </c>
      <c r="G303" s="12">
        <v>7.5</v>
      </c>
      <c r="H303" s="30" t="s">
        <v>64</v>
      </c>
      <c r="I303" s="30" t="s">
        <v>41</v>
      </c>
      <c r="J303" s="30" t="s">
        <v>28</v>
      </c>
      <c r="K303" s="9" t="str">
        <f>IFERROR(VLOOKUP($B303,[1]Kundenübersicht!$E$4:$AC$1003,MATCH(K$3,[1]Kundenübersicht!$E$3:$BA$3,FALSE),FALSE),"")</f>
        <v>Techniker Krankenkasse</v>
      </c>
      <c r="L303" s="13">
        <f>IFERROR(VLOOKUP(B303,[1]Kundenübersicht!$E$4:$AC$1003,MATCH(L$3,[1]Kundenübersicht!$E$3:$BA$3,FALSE),FALSE),"")</f>
        <v>101575519</v>
      </c>
      <c r="M303" s="13" t="str">
        <f>IFERROR(VLOOKUP(B303,[1]Kundenübersicht!$E$4:$AC$1003,MATCH(M$3,[1]Kundenübersicht!$E$3:$BA$3,FALSE),FALSE),"")</f>
        <v>O824144952</v>
      </c>
      <c r="N303" s="13" t="str">
        <f>IFERROR(VLOOKUP(B303,[1]Kundenübersicht!$E$4:$AC$1003,MATCH(N$3,[1]Kundenübersicht!$E$3:$BA$3,FALSE),FALSE),"")</f>
        <v>PG 2</v>
      </c>
      <c r="P303" s="9" t="s">
        <v>29</v>
      </c>
      <c r="R303" s="9" t="str">
        <f t="shared" si="51"/>
        <v>Unterschrieben</v>
      </c>
      <c r="S303" s="14" t="s">
        <v>31</v>
      </c>
      <c r="U303" s="15">
        <f>IF(YEAR(C303)&lt;=2025,IFERROR(IF(I303="Hauswirtschaft",VLOOKUP($B303,[1]Kundenübersicht!$E$4:$BA$1003,MATCH("Hauswirtschaft [€/Stunde]",[1]Kundenübersicht!$E$3:$BA$3,FALSE),FALSE),VLOOKUP($B303,[1]Kundenübersicht!$E$4:$BA$1003,MATCH("Alltagsbegleitung [€/Stunde]",[1]Kundenübersicht!$E$3:$BA$3,FALSE),FALSE)),0),IFERROR(IF(I303="Hauswirtschaft",VLOOKUP($B303,[1]Kundenübersicht!$E$4:$BA$1003,MATCH("HW ab 2026 [€/Stunde]",[1]Kundenübersicht!$E$3:$BA$3,FALSE),FALSE),VLOOKUP($B303,[1]Kundenübersicht!$E$4:$BA$1003,MATCH("Alltagsbegleitung [€/Stunde]",[1]Kundenübersicht!$E$3:$BA$3,FALSE),FALSE)),0))</f>
        <v>42</v>
      </c>
      <c r="V303" s="16">
        <f t="shared" si="58"/>
        <v>41.999999999999964</v>
      </c>
      <c r="W303" s="16">
        <f t="shared" si="60"/>
        <v>0</v>
      </c>
      <c r="X303" s="16" t="str">
        <f>VLOOKUP(B303,[1]Kundenübersicht!E:AG,MATCH($X$3,[1]Kundenübersicht!$E$3:$AY$3,0),FALSE)</f>
        <v>Alt</v>
      </c>
      <c r="Z303" s="20" t="str">
        <f t="shared" si="52"/>
        <v>Ja</v>
      </c>
      <c r="AA303" s="19">
        <v>45644</v>
      </c>
      <c r="AC303" s="19">
        <v>46050</v>
      </c>
      <c r="AE303" s="9">
        <f t="shared" si="61"/>
        <v>2025</v>
      </c>
      <c r="AF303" s="17" t="str">
        <f t="shared" si="62"/>
        <v>11.2025</v>
      </c>
      <c r="AG303" s="17" t="str">
        <f t="shared" si="63"/>
        <v>Ursula Ullmann</v>
      </c>
      <c r="AH303" s="17" t="str">
        <f>IFERROR(VLOOKUP(B303,[1]Kundenübersicht!$E$4:$F$85,2,FALSE),"")</f>
        <v>Ellenore Lein</v>
      </c>
      <c r="AI303" s="17" t="str">
        <f t="shared" si="59"/>
        <v>Alltagsbegleitung</v>
      </c>
      <c r="AJ303" s="17" t="str">
        <f t="shared" si="59"/>
        <v>Entlastungsleistung</v>
      </c>
      <c r="AL303" s="18">
        <f t="shared" si="53"/>
        <v>42</v>
      </c>
      <c r="AM303" s="18">
        <f t="shared" si="54"/>
        <v>41.999999999999964</v>
      </c>
      <c r="AN303" s="18">
        <f t="shared" si="55"/>
        <v>2.625</v>
      </c>
    </row>
    <row r="304" spans="2:40" x14ac:dyDescent="0.25">
      <c r="B304" s="30" t="s">
        <v>56</v>
      </c>
      <c r="C304" s="31">
        <v>45973</v>
      </c>
      <c r="D304" s="32">
        <v>0.58333333333333337</v>
      </c>
      <c r="E304" s="32">
        <v>0.66666666666666663</v>
      </c>
      <c r="F304" s="12">
        <f t="shared" si="57"/>
        <v>1.9999999999999982</v>
      </c>
      <c r="G304" s="12">
        <v>7</v>
      </c>
      <c r="H304" s="30" t="s">
        <v>64</v>
      </c>
      <c r="I304" s="30" t="s">
        <v>27</v>
      </c>
      <c r="J304" s="30" t="s">
        <v>28</v>
      </c>
      <c r="K304" s="9" t="str">
        <f>IFERROR(VLOOKUP($B304,[1]Kundenübersicht!$E$4:$AC$1003,MATCH(K$3,[1]Kundenübersicht!$E$3:$BA$3,FALSE),FALSE),"")</f>
        <v>Barmer Pflegekasse</v>
      </c>
      <c r="L304" s="13">
        <f>IFERROR(VLOOKUP(B304,[1]Kundenübersicht!$E$4:$AC$1003,MATCH(L$3,[1]Kundenübersicht!$E$3:$BA$3,FALSE),FALSE),"")</f>
        <v>184940005</v>
      </c>
      <c r="M304" s="13" t="str">
        <f>IFERROR(VLOOKUP(B304,[1]Kundenübersicht!$E$4:$AC$1003,MATCH(M$3,[1]Kundenübersicht!$E$3:$BA$3,FALSE),FALSE),"")</f>
        <v>F006688944</v>
      </c>
      <c r="N304" s="13" t="str">
        <f>IFERROR(VLOOKUP(B304,[1]Kundenübersicht!$E$4:$AC$1003,MATCH(N$3,[1]Kundenübersicht!$E$3:$BA$3,FALSE),FALSE),"")</f>
        <v>PG 1</v>
      </c>
      <c r="P304" s="9" t="s">
        <v>29</v>
      </c>
      <c r="R304" s="9" t="str">
        <f t="shared" si="51"/>
        <v>Unterschrieben</v>
      </c>
      <c r="S304" s="14" t="s">
        <v>31</v>
      </c>
      <c r="U304" s="15">
        <f>IF(YEAR(C304)&lt;=2025,IFERROR(IF(I304="Hauswirtschaft",VLOOKUP($B304,[1]Kundenübersicht!$E$4:$BA$1003,MATCH("Hauswirtschaft [€/Stunde]",[1]Kundenübersicht!$E$3:$BA$3,FALSE),FALSE),VLOOKUP($B304,[1]Kundenübersicht!$E$4:$BA$1003,MATCH("Alltagsbegleitung [€/Stunde]",[1]Kundenübersicht!$E$3:$BA$3,FALSE),FALSE)),0),IFERROR(IF(I304="Hauswirtschaft",VLOOKUP($B304,[1]Kundenübersicht!$E$4:$BA$1003,MATCH("HW ab 2026 [€/Stunde]",[1]Kundenübersicht!$E$3:$BA$3,FALSE),FALSE),VLOOKUP($B304,[1]Kundenübersicht!$E$4:$BA$1003,MATCH("Alltagsbegleitung [€/Stunde]",[1]Kundenübersicht!$E$3:$BA$3,FALSE),FALSE)),0))</f>
        <v>32.75</v>
      </c>
      <c r="V304" s="16">
        <f t="shared" si="58"/>
        <v>65.499999999999943</v>
      </c>
      <c r="W304" s="16">
        <f t="shared" si="60"/>
        <v>0</v>
      </c>
      <c r="X304" s="16" t="str">
        <f>VLOOKUP(B304,[1]Kundenübersicht!E:AG,MATCH($X$3,[1]Kundenübersicht!$E$3:$AY$3,0),FALSE)</f>
        <v>Alt</v>
      </c>
      <c r="Z304" s="20" t="str">
        <f t="shared" si="52"/>
        <v>Ja</v>
      </c>
      <c r="AA304" s="19">
        <v>46009</v>
      </c>
      <c r="AC304" s="19">
        <v>46057</v>
      </c>
      <c r="AE304" s="9">
        <f t="shared" si="61"/>
        <v>2025</v>
      </c>
      <c r="AF304" s="17" t="str">
        <f t="shared" si="62"/>
        <v>11.2025</v>
      </c>
      <c r="AG304" s="17" t="str">
        <f t="shared" si="63"/>
        <v>Ursula Ullmann</v>
      </c>
      <c r="AH304" s="17" t="str">
        <f>IFERROR(VLOOKUP(B304,[1]Kundenübersicht!$E$4:$F$85,2,FALSE),"")</f>
        <v>Gudrun Hentschel</v>
      </c>
      <c r="AI304" s="17" t="str">
        <f t="shared" si="59"/>
        <v>Hauswirtschaft</v>
      </c>
      <c r="AJ304" s="17" t="str">
        <f t="shared" si="59"/>
        <v>Entlastungsleistung</v>
      </c>
      <c r="AL304" s="18">
        <f t="shared" si="53"/>
        <v>38</v>
      </c>
      <c r="AM304" s="18">
        <f t="shared" si="54"/>
        <v>75.999999999999929</v>
      </c>
      <c r="AN304" s="18">
        <f t="shared" si="55"/>
        <v>2.4499999999999997</v>
      </c>
    </row>
    <row r="305" spans="2:40" x14ac:dyDescent="0.25">
      <c r="B305" s="30" t="s">
        <v>56</v>
      </c>
      <c r="C305" s="31">
        <v>45981</v>
      </c>
      <c r="D305" s="32">
        <v>0.41666666666666669</v>
      </c>
      <c r="E305" s="32">
        <v>0.45833333333333331</v>
      </c>
      <c r="F305" s="12">
        <f t="shared" si="57"/>
        <v>0.99999999999999911</v>
      </c>
      <c r="G305" s="12">
        <v>7</v>
      </c>
      <c r="H305" s="30" t="s">
        <v>64</v>
      </c>
      <c r="I305" s="30" t="s">
        <v>27</v>
      </c>
      <c r="J305" s="30" t="s">
        <v>28</v>
      </c>
      <c r="K305" s="9" t="str">
        <f>IFERROR(VLOOKUP($B305,[1]Kundenübersicht!$E$4:$AC$1003,MATCH(K$3,[1]Kundenübersicht!$E$3:$BA$3,FALSE),FALSE),"")</f>
        <v>Barmer Pflegekasse</v>
      </c>
      <c r="L305" s="13">
        <f>IFERROR(VLOOKUP(B305,[1]Kundenübersicht!$E$4:$AC$1003,MATCH(L$3,[1]Kundenübersicht!$E$3:$BA$3,FALSE),FALSE),"")</f>
        <v>184940005</v>
      </c>
      <c r="M305" s="13" t="str">
        <f>IFERROR(VLOOKUP(B305,[1]Kundenübersicht!$E$4:$AC$1003,MATCH(M$3,[1]Kundenübersicht!$E$3:$BA$3,FALSE),FALSE),"")</f>
        <v>F006688944</v>
      </c>
      <c r="N305" s="13" t="str">
        <f>IFERROR(VLOOKUP(B305,[1]Kundenübersicht!$E$4:$AC$1003,MATCH(N$3,[1]Kundenübersicht!$E$3:$BA$3,FALSE),FALSE),"")</f>
        <v>PG 1</v>
      </c>
      <c r="P305" s="9" t="s">
        <v>29</v>
      </c>
      <c r="R305" s="9" t="str">
        <f t="shared" si="51"/>
        <v>Unterschrieben</v>
      </c>
      <c r="S305" s="14" t="s">
        <v>31</v>
      </c>
      <c r="U305" s="15">
        <f>IF(YEAR(C305)&lt;=2025,IFERROR(IF(I305="Hauswirtschaft",VLOOKUP($B305,[1]Kundenübersicht!$E$4:$BA$1003,MATCH("Hauswirtschaft [€/Stunde]",[1]Kundenübersicht!$E$3:$BA$3,FALSE),FALSE),VLOOKUP($B305,[1]Kundenübersicht!$E$4:$BA$1003,MATCH("Alltagsbegleitung [€/Stunde]",[1]Kundenübersicht!$E$3:$BA$3,FALSE),FALSE)),0),IFERROR(IF(I305="Hauswirtschaft",VLOOKUP($B305,[1]Kundenübersicht!$E$4:$BA$1003,MATCH("HW ab 2026 [€/Stunde]",[1]Kundenübersicht!$E$3:$BA$3,FALSE),FALSE),VLOOKUP($B305,[1]Kundenübersicht!$E$4:$BA$1003,MATCH("Alltagsbegleitung [€/Stunde]",[1]Kundenübersicht!$E$3:$BA$3,FALSE),FALSE)),0))</f>
        <v>32.75</v>
      </c>
      <c r="V305" s="16">
        <f t="shared" si="58"/>
        <v>32.749999999999972</v>
      </c>
      <c r="W305" s="16">
        <f t="shared" si="60"/>
        <v>0</v>
      </c>
      <c r="X305" s="16" t="str">
        <f>VLOOKUP(B305,[1]Kundenübersicht!E:AG,MATCH($X$3,[1]Kundenübersicht!$E$3:$AY$3,0),FALSE)</f>
        <v>Alt</v>
      </c>
      <c r="Z305" s="20" t="str">
        <f t="shared" si="52"/>
        <v>Ja</v>
      </c>
      <c r="AA305" s="19">
        <v>46009</v>
      </c>
      <c r="AC305" s="19">
        <v>46057</v>
      </c>
      <c r="AE305" s="9">
        <f t="shared" si="61"/>
        <v>2025</v>
      </c>
      <c r="AF305" s="17" t="str">
        <f t="shared" si="62"/>
        <v>11.2025</v>
      </c>
      <c r="AG305" s="17" t="str">
        <f t="shared" si="63"/>
        <v>Ursula Ullmann</v>
      </c>
      <c r="AH305" s="17" t="str">
        <f>IFERROR(VLOOKUP(B305,[1]Kundenübersicht!$E$4:$F$85,2,FALSE),"")</f>
        <v>Gudrun Hentschel</v>
      </c>
      <c r="AI305" s="17" t="str">
        <f t="shared" si="59"/>
        <v>Hauswirtschaft</v>
      </c>
      <c r="AJ305" s="17" t="str">
        <f t="shared" si="59"/>
        <v>Entlastungsleistung</v>
      </c>
      <c r="AL305" s="18">
        <f t="shared" si="53"/>
        <v>38</v>
      </c>
      <c r="AM305" s="18">
        <f t="shared" si="54"/>
        <v>37.999999999999964</v>
      </c>
      <c r="AN305" s="18">
        <f t="shared" si="55"/>
        <v>2.4499999999999997</v>
      </c>
    </row>
    <row r="306" spans="2:40" x14ac:dyDescent="0.25">
      <c r="B306" s="30" t="s">
        <v>56</v>
      </c>
      <c r="C306" s="31">
        <v>45986</v>
      </c>
      <c r="D306" s="32">
        <v>0.58333333333333337</v>
      </c>
      <c r="E306" s="32">
        <v>0.66666666666666663</v>
      </c>
      <c r="F306" s="12">
        <f t="shared" si="57"/>
        <v>1.9999999999999982</v>
      </c>
      <c r="G306" s="12">
        <v>7</v>
      </c>
      <c r="H306" s="30" t="s">
        <v>64</v>
      </c>
      <c r="I306" s="30" t="s">
        <v>27</v>
      </c>
      <c r="J306" s="30" t="s">
        <v>28</v>
      </c>
      <c r="K306" s="9" t="str">
        <f>IFERROR(VLOOKUP($B306,[1]Kundenübersicht!$E$4:$AC$1003,MATCH(K$3,[1]Kundenübersicht!$E$3:$BA$3,FALSE),FALSE),"")</f>
        <v>Barmer Pflegekasse</v>
      </c>
      <c r="L306" s="13">
        <f>IFERROR(VLOOKUP(B306,[1]Kundenübersicht!$E$4:$AC$1003,MATCH(L$3,[1]Kundenübersicht!$E$3:$BA$3,FALSE),FALSE),"")</f>
        <v>184940005</v>
      </c>
      <c r="M306" s="13" t="str">
        <f>IFERROR(VLOOKUP(B306,[1]Kundenübersicht!$E$4:$AC$1003,MATCH(M$3,[1]Kundenübersicht!$E$3:$BA$3,FALSE),FALSE),"")</f>
        <v>F006688944</v>
      </c>
      <c r="N306" s="13" t="str">
        <f>IFERROR(VLOOKUP(B306,[1]Kundenübersicht!$E$4:$AC$1003,MATCH(N$3,[1]Kundenübersicht!$E$3:$BA$3,FALSE),FALSE),"")</f>
        <v>PG 1</v>
      </c>
      <c r="P306" s="9" t="s">
        <v>29</v>
      </c>
      <c r="R306" s="9" t="str">
        <f t="shared" ref="R306:R369" si="64">IF(S306="Link","Unterschrieben","Fehlt")</f>
        <v>Unterschrieben</v>
      </c>
      <c r="S306" s="14" t="s">
        <v>31</v>
      </c>
      <c r="U306" s="15">
        <f>IF(YEAR(C306)&lt;=2025,IFERROR(IF(I306="Hauswirtschaft",VLOOKUP($B306,[1]Kundenübersicht!$E$4:$BA$1003,MATCH("Hauswirtschaft [€/Stunde]",[1]Kundenübersicht!$E$3:$BA$3,FALSE),FALSE),VLOOKUP($B306,[1]Kundenübersicht!$E$4:$BA$1003,MATCH("Alltagsbegleitung [€/Stunde]",[1]Kundenübersicht!$E$3:$BA$3,FALSE),FALSE)),0),IFERROR(IF(I306="Hauswirtschaft",VLOOKUP($B306,[1]Kundenübersicht!$E$4:$BA$1003,MATCH("HW ab 2026 [€/Stunde]",[1]Kundenübersicht!$E$3:$BA$3,FALSE),FALSE),VLOOKUP($B306,[1]Kundenübersicht!$E$4:$BA$1003,MATCH("Alltagsbegleitung [€/Stunde]",[1]Kundenübersicht!$E$3:$BA$3,FALSE),FALSE)),0))</f>
        <v>32.75</v>
      </c>
      <c r="V306" s="16">
        <f t="shared" si="58"/>
        <v>65.499999999999943</v>
      </c>
      <c r="W306" s="16">
        <f t="shared" si="60"/>
        <v>0</v>
      </c>
      <c r="X306" s="16" t="str">
        <f>VLOOKUP(B306,[1]Kundenübersicht!E:AG,MATCH($X$3,[1]Kundenübersicht!$E$3:$AY$3,0),FALSE)</f>
        <v>Alt</v>
      </c>
      <c r="Z306" s="20" t="str">
        <f t="shared" ref="Z306:Z321" si="65">IF(AA306&lt;&gt;"","Ja","Nein")</f>
        <v>Ja</v>
      </c>
      <c r="AA306" s="19">
        <v>46009</v>
      </c>
      <c r="AC306" s="19">
        <v>46057</v>
      </c>
      <c r="AE306" s="9">
        <f t="shared" si="61"/>
        <v>2025</v>
      </c>
      <c r="AF306" s="17" t="str">
        <f t="shared" si="62"/>
        <v>11.2025</v>
      </c>
      <c r="AG306" s="17" t="str">
        <f t="shared" si="63"/>
        <v>Ursula Ullmann</v>
      </c>
      <c r="AH306" s="17" t="str">
        <f>IFERROR(VLOOKUP(B306,[1]Kundenübersicht!$E$4:$F$85,2,FALSE),"")</f>
        <v>Gudrun Hentschel</v>
      </c>
      <c r="AI306" s="17" t="str">
        <f t="shared" si="59"/>
        <v>Hauswirtschaft</v>
      </c>
      <c r="AJ306" s="17" t="str">
        <f t="shared" si="59"/>
        <v>Entlastungsleistung</v>
      </c>
      <c r="AL306" s="18">
        <f t="shared" ref="AL306:AL319" si="66">IF(I306="Hauswirtschaft",38,42)</f>
        <v>38</v>
      </c>
      <c r="AM306" s="18">
        <f t="shared" ref="AM306:AM319" si="67">AL306*F306</f>
        <v>75.999999999999929</v>
      </c>
      <c r="AN306" s="18">
        <f t="shared" ref="AN306:AN319" si="68">G306*0.35</f>
        <v>2.4499999999999997</v>
      </c>
    </row>
    <row r="307" spans="2:40" x14ac:dyDescent="0.25">
      <c r="B307" s="30" t="s">
        <v>67</v>
      </c>
      <c r="C307" s="31">
        <v>45968</v>
      </c>
      <c r="D307" s="32">
        <v>0.35416666666666669</v>
      </c>
      <c r="E307" s="32">
        <v>0.41666666666666669</v>
      </c>
      <c r="F307" s="12">
        <f t="shared" si="57"/>
        <v>1.5</v>
      </c>
      <c r="G307" s="12">
        <v>3.5</v>
      </c>
      <c r="H307" s="30" t="s">
        <v>64</v>
      </c>
      <c r="I307" s="30" t="s">
        <v>27</v>
      </c>
      <c r="J307" s="30" t="s">
        <v>28</v>
      </c>
      <c r="K307" s="9" t="str">
        <f>IFERROR(VLOOKUP($B307,[1]Kundenübersicht!$E$4:$AC$1003,MATCH(K$3,[1]Kundenübersicht!$E$3:$BA$3,FALSE),FALSE),"")</f>
        <v>Barmer Pflegekasse</v>
      </c>
      <c r="L307" s="13">
        <f>IFERROR(VLOOKUP(B307,[1]Kundenübersicht!$E$4:$AC$1003,MATCH(L$3,[1]Kundenübersicht!$E$3:$BA$3,FALSE),FALSE),"")</f>
        <v>184940005</v>
      </c>
      <c r="M307" s="13" t="str">
        <f>IFERROR(VLOOKUP(B307,[1]Kundenübersicht!$E$4:$AC$1003,MATCH(M$3,[1]Kundenübersicht!$E$3:$BA$3,FALSE),FALSE),"")</f>
        <v>K535388327</v>
      </c>
      <c r="N307" s="13" t="str">
        <f>IFERROR(VLOOKUP(B307,[1]Kundenübersicht!$E$4:$AC$1003,MATCH(N$3,[1]Kundenübersicht!$E$3:$BA$3,FALSE),FALSE),"")</f>
        <v>PG 2</v>
      </c>
      <c r="P307" s="9" t="s">
        <v>29</v>
      </c>
      <c r="R307" s="9" t="str">
        <f t="shared" si="64"/>
        <v>Unterschrieben</v>
      </c>
      <c r="S307" s="14" t="s">
        <v>31</v>
      </c>
      <c r="U307" s="15">
        <f>IF(YEAR(C307)&lt;=2025,IFERROR(IF(I307="Hauswirtschaft",VLOOKUP($B307,[1]Kundenübersicht!$E$4:$BA$1003,MATCH("Hauswirtschaft [€/Stunde]",[1]Kundenübersicht!$E$3:$BA$3,FALSE),FALSE),VLOOKUP($B307,[1]Kundenübersicht!$E$4:$BA$1003,MATCH("Alltagsbegleitung [€/Stunde]",[1]Kundenübersicht!$E$3:$BA$3,FALSE),FALSE)),0),IFERROR(IF(I307="Hauswirtschaft",VLOOKUP($B307,[1]Kundenübersicht!$E$4:$BA$1003,MATCH("HW ab 2026 [€/Stunde]",[1]Kundenübersicht!$E$3:$BA$3,FALSE),FALSE),VLOOKUP($B307,[1]Kundenübersicht!$E$4:$BA$1003,MATCH("Alltagsbegleitung [€/Stunde]",[1]Kundenübersicht!$E$3:$BA$3,FALSE),FALSE)),0))</f>
        <v>32.75</v>
      </c>
      <c r="V307" s="16">
        <f t="shared" si="58"/>
        <v>49.125</v>
      </c>
      <c r="W307" s="16">
        <f t="shared" si="60"/>
        <v>0</v>
      </c>
      <c r="X307" s="16" t="str">
        <f>VLOOKUP(B307,[1]Kundenübersicht!E:AG,MATCH($X$3,[1]Kundenübersicht!$E$3:$AY$3,0),FALSE)</f>
        <v>Alt</v>
      </c>
      <c r="Z307" s="20" t="str">
        <f t="shared" si="65"/>
        <v>Ja</v>
      </c>
      <c r="AA307" s="19">
        <v>46009</v>
      </c>
      <c r="AC307" s="36">
        <v>163.75</v>
      </c>
      <c r="AE307" s="9">
        <f t="shared" si="61"/>
        <v>2025</v>
      </c>
      <c r="AF307" s="17" t="str">
        <f t="shared" si="62"/>
        <v>11.2025</v>
      </c>
      <c r="AG307" s="17" t="str">
        <f t="shared" si="63"/>
        <v>Ursula Ullmann</v>
      </c>
      <c r="AH307" s="17" t="str">
        <f>IFERROR(VLOOKUP(B307,[1]Kundenübersicht!$E$4:$F$85,2,FALSE),"")</f>
        <v>Luzia Pohlers</v>
      </c>
      <c r="AI307" s="17" t="str">
        <f t="shared" si="59"/>
        <v>Hauswirtschaft</v>
      </c>
      <c r="AJ307" s="17" t="str">
        <f t="shared" si="59"/>
        <v>Entlastungsleistung</v>
      </c>
      <c r="AL307" s="18">
        <f t="shared" si="66"/>
        <v>38</v>
      </c>
      <c r="AM307" s="18">
        <f t="shared" si="67"/>
        <v>57</v>
      </c>
      <c r="AN307" s="18">
        <f t="shared" si="68"/>
        <v>1.2249999999999999</v>
      </c>
    </row>
    <row r="308" spans="2:40" x14ac:dyDescent="0.25">
      <c r="B308" s="30" t="s">
        <v>67</v>
      </c>
      <c r="C308" s="31">
        <v>45975</v>
      </c>
      <c r="D308" s="32">
        <v>0.33333333333333331</v>
      </c>
      <c r="E308" s="32">
        <v>0.41666666666666669</v>
      </c>
      <c r="F308" s="12">
        <f t="shared" si="57"/>
        <v>2.0000000000000009</v>
      </c>
      <c r="G308" s="12">
        <v>3.5</v>
      </c>
      <c r="H308" s="30" t="s">
        <v>64</v>
      </c>
      <c r="I308" s="30" t="s">
        <v>27</v>
      </c>
      <c r="J308" s="30" t="s">
        <v>28</v>
      </c>
      <c r="K308" s="9" t="str">
        <f>IFERROR(VLOOKUP($B308,[1]Kundenübersicht!$E$4:$AC$1003,MATCH(K$3,[1]Kundenübersicht!$E$3:$BA$3,FALSE),FALSE),"")</f>
        <v>Barmer Pflegekasse</v>
      </c>
      <c r="L308" s="13">
        <f>IFERROR(VLOOKUP(B308,[1]Kundenübersicht!$E$4:$AC$1003,MATCH(L$3,[1]Kundenübersicht!$E$3:$BA$3,FALSE),FALSE),"")</f>
        <v>184940005</v>
      </c>
      <c r="M308" s="13" t="str">
        <f>IFERROR(VLOOKUP(B308,[1]Kundenübersicht!$E$4:$AC$1003,MATCH(M$3,[1]Kundenübersicht!$E$3:$BA$3,FALSE),FALSE),"")</f>
        <v>K535388327</v>
      </c>
      <c r="N308" s="13" t="str">
        <f>IFERROR(VLOOKUP(B308,[1]Kundenübersicht!$E$4:$AC$1003,MATCH(N$3,[1]Kundenübersicht!$E$3:$BA$3,FALSE),FALSE),"")</f>
        <v>PG 2</v>
      </c>
      <c r="P308" s="9" t="s">
        <v>29</v>
      </c>
      <c r="R308" s="9" t="str">
        <f t="shared" si="64"/>
        <v>Unterschrieben</v>
      </c>
      <c r="S308" s="14" t="s">
        <v>31</v>
      </c>
      <c r="U308" s="15">
        <f>IF(YEAR(C308)&lt;=2025,IFERROR(IF(I308="Hauswirtschaft",VLOOKUP($B308,[1]Kundenübersicht!$E$4:$BA$1003,MATCH("Hauswirtschaft [€/Stunde]",[1]Kundenübersicht!$E$3:$BA$3,FALSE),FALSE),VLOOKUP($B308,[1]Kundenübersicht!$E$4:$BA$1003,MATCH("Alltagsbegleitung [€/Stunde]",[1]Kundenübersicht!$E$3:$BA$3,FALSE),FALSE)),0),IFERROR(IF(I308="Hauswirtschaft",VLOOKUP($B308,[1]Kundenübersicht!$E$4:$BA$1003,MATCH("HW ab 2026 [€/Stunde]",[1]Kundenübersicht!$E$3:$BA$3,FALSE),FALSE),VLOOKUP($B308,[1]Kundenübersicht!$E$4:$BA$1003,MATCH("Alltagsbegleitung [€/Stunde]",[1]Kundenübersicht!$E$3:$BA$3,FALSE),FALSE)),0))</f>
        <v>32.75</v>
      </c>
      <c r="V308" s="16">
        <f t="shared" si="58"/>
        <v>65.500000000000028</v>
      </c>
      <c r="W308" s="16">
        <f t="shared" si="60"/>
        <v>0</v>
      </c>
      <c r="X308" s="16" t="str">
        <f>VLOOKUP(B308,[1]Kundenübersicht!E:AG,MATCH($X$3,[1]Kundenübersicht!$E$3:$AY$3,0),FALSE)</f>
        <v>Alt</v>
      </c>
      <c r="Z308" s="20" t="str">
        <f t="shared" si="65"/>
        <v>Ja</v>
      </c>
      <c r="AA308" s="19">
        <v>46009</v>
      </c>
      <c r="AC308" s="36">
        <v>163.75</v>
      </c>
      <c r="AE308" s="9">
        <f t="shared" si="61"/>
        <v>2025</v>
      </c>
      <c r="AF308" s="17" t="str">
        <f t="shared" si="62"/>
        <v>11.2025</v>
      </c>
      <c r="AG308" s="17" t="str">
        <f t="shared" si="63"/>
        <v>Ursula Ullmann</v>
      </c>
      <c r="AH308" s="17" t="str">
        <f>IFERROR(VLOOKUP(B308,[1]Kundenübersicht!$E$4:$F$85,2,FALSE),"")</f>
        <v>Luzia Pohlers</v>
      </c>
      <c r="AI308" s="17" t="str">
        <f t="shared" si="59"/>
        <v>Hauswirtschaft</v>
      </c>
      <c r="AJ308" s="17" t="str">
        <f t="shared" si="59"/>
        <v>Entlastungsleistung</v>
      </c>
      <c r="AL308" s="18">
        <f t="shared" si="66"/>
        <v>38</v>
      </c>
      <c r="AM308" s="18">
        <f t="shared" si="67"/>
        <v>76.000000000000028</v>
      </c>
      <c r="AN308" s="18">
        <f t="shared" si="68"/>
        <v>1.2249999999999999</v>
      </c>
    </row>
    <row r="309" spans="2:40" x14ac:dyDescent="0.25">
      <c r="B309" s="30" t="s">
        <v>67</v>
      </c>
      <c r="C309" s="31">
        <v>45989</v>
      </c>
      <c r="D309" s="32">
        <v>0.35416666666666669</v>
      </c>
      <c r="E309" s="32">
        <v>0.41666666666666669</v>
      </c>
      <c r="F309" s="12">
        <f t="shared" si="57"/>
        <v>1.5</v>
      </c>
      <c r="G309" s="12">
        <v>4.5</v>
      </c>
      <c r="H309" s="30" t="s">
        <v>64</v>
      </c>
      <c r="I309" s="30" t="s">
        <v>27</v>
      </c>
      <c r="J309" s="30" t="s">
        <v>28</v>
      </c>
      <c r="K309" s="9" t="str">
        <f>IFERROR(VLOOKUP($B309,[1]Kundenübersicht!$E$4:$AC$1003,MATCH(K$3,[1]Kundenübersicht!$E$3:$BA$3,FALSE),FALSE),"")</f>
        <v>Barmer Pflegekasse</v>
      </c>
      <c r="L309" s="13">
        <f>IFERROR(VLOOKUP(B309,[1]Kundenübersicht!$E$4:$AC$1003,MATCH(L$3,[1]Kundenübersicht!$E$3:$BA$3,FALSE),FALSE),"")</f>
        <v>184940005</v>
      </c>
      <c r="M309" s="13" t="str">
        <f>IFERROR(VLOOKUP(B309,[1]Kundenübersicht!$E$4:$AC$1003,MATCH(M$3,[1]Kundenübersicht!$E$3:$BA$3,FALSE),FALSE),"")</f>
        <v>K535388327</v>
      </c>
      <c r="N309" s="13" t="str">
        <f>IFERROR(VLOOKUP(B309,[1]Kundenübersicht!$E$4:$AC$1003,MATCH(N$3,[1]Kundenübersicht!$E$3:$BA$3,FALSE),FALSE),"")</f>
        <v>PG 2</v>
      </c>
      <c r="P309" s="9" t="s">
        <v>29</v>
      </c>
      <c r="R309" s="9" t="str">
        <f t="shared" si="64"/>
        <v>Unterschrieben</v>
      </c>
      <c r="S309" s="14" t="s">
        <v>31</v>
      </c>
      <c r="U309" s="15">
        <f>IF(YEAR(C309)&lt;=2025,IFERROR(IF(I309="Hauswirtschaft",VLOOKUP($B309,[1]Kundenübersicht!$E$4:$BA$1003,MATCH("Hauswirtschaft [€/Stunde]",[1]Kundenübersicht!$E$3:$BA$3,FALSE),FALSE),VLOOKUP($B309,[1]Kundenübersicht!$E$4:$BA$1003,MATCH("Alltagsbegleitung [€/Stunde]",[1]Kundenübersicht!$E$3:$BA$3,FALSE),FALSE)),0),IFERROR(IF(I309="Hauswirtschaft",VLOOKUP($B309,[1]Kundenübersicht!$E$4:$BA$1003,MATCH("HW ab 2026 [€/Stunde]",[1]Kundenübersicht!$E$3:$BA$3,FALSE),FALSE),VLOOKUP($B309,[1]Kundenübersicht!$E$4:$BA$1003,MATCH("Alltagsbegleitung [€/Stunde]",[1]Kundenübersicht!$E$3:$BA$3,FALSE),FALSE)),0))</f>
        <v>32.75</v>
      </c>
      <c r="V309" s="16">
        <f t="shared" si="58"/>
        <v>49.125</v>
      </c>
      <c r="W309" s="16">
        <f t="shared" si="60"/>
        <v>0</v>
      </c>
      <c r="X309" s="16" t="str">
        <f>VLOOKUP(B309,[1]Kundenübersicht!E:AG,MATCH($X$3,[1]Kundenübersicht!$E$3:$AY$3,0),FALSE)</f>
        <v>Alt</v>
      </c>
      <c r="Z309" s="20" t="str">
        <f t="shared" si="65"/>
        <v>Ja</v>
      </c>
      <c r="AA309" s="19">
        <v>46009</v>
      </c>
      <c r="AC309" s="36">
        <v>163.75</v>
      </c>
      <c r="AE309" s="9">
        <f t="shared" si="61"/>
        <v>2025</v>
      </c>
      <c r="AF309" s="17" t="str">
        <f t="shared" si="62"/>
        <v>11.2025</v>
      </c>
      <c r="AG309" s="17" t="str">
        <f t="shared" si="63"/>
        <v>Ursula Ullmann</v>
      </c>
      <c r="AH309" s="17" t="str">
        <f>IFERROR(VLOOKUP(B309,[1]Kundenübersicht!$E$4:$F$85,2,FALSE),"")</f>
        <v>Luzia Pohlers</v>
      </c>
      <c r="AI309" s="17" t="str">
        <f t="shared" si="59"/>
        <v>Hauswirtschaft</v>
      </c>
      <c r="AJ309" s="17" t="str">
        <f t="shared" si="59"/>
        <v>Entlastungsleistung</v>
      </c>
      <c r="AL309" s="18">
        <f t="shared" si="66"/>
        <v>38</v>
      </c>
      <c r="AM309" s="18">
        <f t="shared" si="67"/>
        <v>57</v>
      </c>
      <c r="AN309" s="18">
        <f t="shared" si="68"/>
        <v>1.575</v>
      </c>
    </row>
    <row r="310" spans="2:40" x14ac:dyDescent="0.25">
      <c r="B310" s="30" t="s">
        <v>57</v>
      </c>
      <c r="C310" s="31">
        <v>45972</v>
      </c>
      <c r="D310" s="32">
        <v>0.625</v>
      </c>
      <c r="E310" s="32">
        <v>0.6875</v>
      </c>
      <c r="F310" s="12">
        <f t="shared" si="57"/>
        <v>1.5</v>
      </c>
      <c r="G310" s="12">
        <v>6.5</v>
      </c>
      <c r="H310" s="30" t="s">
        <v>64</v>
      </c>
      <c r="I310" s="30" t="s">
        <v>27</v>
      </c>
      <c r="J310" s="30" t="s">
        <v>28</v>
      </c>
      <c r="K310" s="9" t="str">
        <f>IFERROR(VLOOKUP($B310,[1]Kundenübersicht!$E$4:$AC$1003,MATCH(K$3,[1]Kundenübersicht!$E$3:$BA$3,FALSE),FALSE),"")</f>
        <v>AOK PLUS</v>
      </c>
      <c r="L310" s="13">
        <f>IFERROR(VLOOKUP(B310,[1]Kundenübersicht!$E$4:$AC$1003,MATCH(L$3,[1]Kundenübersicht!$E$3:$BA$3,FALSE),FALSE),"")</f>
        <v>107299005</v>
      </c>
      <c r="M310" s="13" t="str">
        <f>IFERROR(VLOOKUP(B310,[1]Kundenübersicht!$E$4:$AC$1003,MATCH(M$3,[1]Kundenübersicht!$E$3:$BA$3,FALSE),FALSE),"")</f>
        <v>N303904545</v>
      </c>
      <c r="N310" s="13" t="str">
        <f>IFERROR(VLOOKUP(B310,[1]Kundenübersicht!$E$4:$AC$1003,MATCH(N$3,[1]Kundenübersicht!$E$3:$BA$3,FALSE),FALSE),"")</f>
        <v>PG 1</v>
      </c>
      <c r="P310" s="9" t="s">
        <v>29</v>
      </c>
      <c r="R310" s="9" t="str">
        <f t="shared" si="64"/>
        <v>Unterschrieben</v>
      </c>
      <c r="S310" s="14" t="s">
        <v>31</v>
      </c>
      <c r="U310" s="15">
        <f>IF(YEAR(C310)&lt;=2025,IFERROR(IF(I310="Hauswirtschaft",VLOOKUP($B310,[1]Kundenübersicht!$E$4:$BA$1003,MATCH("Hauswirtschaft [€/Stunde]",[1]Kundenübersicht!$E$3:$BA$3,FALSE),FALSE),VLOOKUP($B310,[1]Kundenübersicht!$E$4:$BA$1003,MATCH("Alltagsbegleitung [€/Stunde]",[1]Kundenübersicht!$E$3:$BA$3,FALSE),FALSE)),0),IFERROR(IF(I310="Hauswirtschaft",VLOOKUP($B310,[1]Kundenübersicht!$E$4:$BA$1003,MATCH("HW ab 2026 [€/Stunde]",[1]Kundenübersicht!$E$3:$BA$3,FALSE),FALSE),VLOOKUP($B310,[1]Kundenübersicht!$E$4:$BA$1003,MATCH("Alltagsbegleitung [€/Stunde]",[1]Kundenübersicht!$E$3:$BA$3,FALSE),FALSE)),0))</f>
        <v>32.75</v>
      </c>
      <c r="V310" s="16">
        <f t="shared" si="58"/>
        <v>49.125</v>
      </c>
      <c r="W310" s="16">
        <f t="shared" si="60"/>
        <v>0</v>
      </c>
      <c r="X310" s="16" t="str">
        <f>VLOOKUP(B310,[1]Kundenübersicht!E:AG,MATCH($X$3,[1]Kundenübersicht!$E$3:$AY$3,0),FALSE)</f>
        <v>Alt</v>
      </c>
      <c r="Z310" s="20" t="str">
        <f t="shared" si="65"/>
        <v>Ja</v>
      </c>
      <c r="AA310" s="19">
        <v>46009</v>
      </c>
      <c r="AC310" s="19">
        <v>46045</v>
      </c>
      <c r="AE310" s="9">
        <f t="shared" si="61"/>
        <v>2025</v>
      </c>
      <c r="AF310" s="17" t="str">
        <f t="shared" si="62"/>
        <v>11.2025</v>
      </c>
      <c r="AG310" s="17" t="str">
        <f t="shared" si="63"/>
        <v>Ursula Ullmann</v>
      </c>
      <c r="AH310" s="17" t="str">
        <f>IFERROR(VLOOKUP(B310,[1]Kundenübersicht!$E$4:$F$85,2,FALSE),"")</f>
        <v>Egon Bochmann</v>
      </c>
      <c r="AI310" s="17" t="str">
        <f t="shared" si="59"/>
        <v>Hauswirtschaft</v>
      </c>
      <c r="AJ310" s="17" t="str">
        <f t="shared" si="59"/>
        <v>Entlastungsleistung</v>
      </c>
      <c r="AL310" s="18">
        <f t="shared" si="66"/>
        <v>38</v>
      </c>
      <c r="AM310" s="18">
        <f t="shared" si="67"/>
        <v>57</v>
      </c>
      <c r="AN310" s="18">
        <f t="shared" si="68"/>
        <v>2.2749999999999999</v>
      </c>
    </row>
    <row r="311" spans="2:40" x14ac:dyDescent="0.25">
      <c r="B311" s="30" t="s">
        <v>57</v>
      </c>
      <c r="C311" s="31">
        <v>45989</v>
      </c>
      <c r="D311" s="32">
        <v>0.5</v>
      </c>
      <c r="E311" s="32">
        <v>0.5625</v>
      </c>
      <c r="F311" s="12">
        <f t="shared" si="57"/>
        <v>1.5</v>
      </c>
      <c r="G311" s="12">
        <v>6.5</v>
      </c>
      <c r="H311" s="30" t="s">
        <v>64</v>
      </c>
      <c r="I311" s="30" t="s">
        <v>27</v>
      </c>
      <c r="J311" s="30" t="s">
        <v>28</v>
      </c>
      <c r="K311" s="9" t="str">
        <f>IFERROR(VLOOKUP($B311,[1]Kundenübersicht!$E$4:$AC$1003,MATCH(K$3,[1]Kundenübersicht!$E$3:$BA$3,FALSE),FALSE),"")</f>
        <v>AOK PLUS</v>
      </c>
      <c r="L311" s="13">
        <f>IFERROR(VLOOKUP(B311,[1]Kundenübersicht!$E$4:$AC$1003,MATCH(L$3,[1]Kundenübersicht!$E$3:$BA$3,FALSE),FALSE),"")</f>
        <v>107299005</v>
      </c>
      <c r="M311" s="13" t="str">
        <f>IFERROR(VLOOKUP(B311,[1]Kundenübersicht!$E$4:$AC$1003,MATCH(M$3,[1]Kundenübersicht!$E$3:$BA$3,FALSE),FALSE),"")</f>
        <v>N303904545</v>
      </c>
      <c r="N311" s="13" t="str">
        <f>IFERROR(VLOOKUP(B311,[1]Kundenübersicht!$E$4:$AC$1003,MATCH(N$3,[1]Kundenübersicht!$E$3:$BA$3,FALSE),FALSE),"")</f>
        <v>PG 1</v>
      </c>
      <c r="P311" s="9" t="s">
        <v>29</v>
      </c>
      <c r="R311" s="9" t="str">
        <f t="shared" si="64"/>
        <v>Unterschrieben</v>
      </c>
      <c r="S311" s="14" t="s">
        <v>31</v>
      </c>
      <c r="U311" s="15">
        <f>IF(YEAR(C311)&lt;=2025,IFERROR(IF(I311="Hauswirtschaft",VLOOKUP($B311,[1]Kundenübersicht!$E$4:$BA$1003,MATCH("Hauswirtschaft [€/Stunde]",[1]Kundenübersicht!$E$3:$BA$3,FALSE),FALSE),VLOOKUP($B311,[1]Kundenübersicht!$E$4:$BA$1003,MATCH("Alltagsbegleitung [€/Stunde]",[1]Kundenübersicht!$E$3:$BA$3,FALSE),FALSE)),0),IFERROR(IF(I311="Hauswirtschaft",VLOOKUP($B311,[1]Kundenübersicht!$E$4:$BA$1003,MATCH("HW ab 2026 [€/Stunde]",[1]Kundenübersicht!$E$3:$BA$3,FALSE),FALSE),VLOOKUP($B311,[1]Kundenübersicht!$E$4:$BA$1003,MATCH("Alltagsbegleitung [€/Stunde]",[1]Kundenübersicht!$E$3:$BA$3,FALSE),FALSE)),0))</f>
        <v>32.75</v>
      </c>
      <c r="V311" s="16">
        <f t="shared" si="58"/>
        <v>49.125</v>
      </c>
      <c r="W311" s="16">
        <f t="shared" si="60"/>
        <v>0</v>
      </c>
      <c r="X311" s="16" t="str">
        <f>VLOOKUP(B311,[1]Kundenübersicht!E:AG,MATCH($X$3,[1]Kundenübersicht!$E$3:$AY$3,0),FALSE)</f>
        <v>Alt</v>
      </c>
      <c r="Z311" s="20" t="str">
        <f t="shared" si="65"/>
        <v>Ja</v>
      </c>
      <c r="AA311" s="19">
        <v>46009</v>
      </c>
      <c r="AC311" s="19">
        <v>46045</v>
      </c>
      <c r="AE311" s="9">
        <f t="shared" si="61"/>
        <v>2025</v>
      </c>
      <c r="AF311" s="17" t="str">
        <f t="shared" si="62"/>
        <v>11.2025</v>
      </c>
      <c r="AG311" s="17" t="str">
        <f t="shared" si="63"/>
        <v>Ursula Ullmann</v>
      </c>
      <c r="AH311" s="17" t="str">
        <f>IFERROR(VLOOKUP(B311,[1]Kundenübersicht!$E$4:$F$85,2,FALSE),"")</f>
        <v>Egon Bochmann</v>
      </c>
      <c r="AI311" s="17" t="str">
        <f t="shared" si="59"/>
        <v>Hauswirtschaft</v>
      </c>
      <c r="AJ311" s="17" t="str">
        <f t="shared" si="59"/>
        <v>Entlastungsleistung</v>
      </c>
      <c r="AL311" s="18">
        <f t="shared" si="66"/>
        <v>38</v>
      </c>
      <c r="AM311" s="18">
        <f t="shared" si="67"/>
        <v>57</v>
      </c>
      <c r="AN311" s="18">
        <f t="shared" si="68"/>
        <v>2.2749999999999999</v>
      </c>
    </row>
    <row r="312" spans="2:40" x14ac:dyDescent="0.25">
      <c r="B312" s="30" t="s">
        <v>71</v>
      </c>
      <c r="C312" s="31">
        <v>45967</v>
      </c>
      <c r="D312" s="32">
        <v>0.45833333333333331</v>
      </c>
      <c r="E312" s="32">
        <v>0.52083333333333337</v>
      </c>
      <c r="F312" s="12">
        <f t="shared" ref="F312:F375" si="69">(E312-D312)*24</f>
        <v>1.5000000000000013</v>
      </c>
      <c r="G312" s="12">
        <v>6</v>
      </c>
      <c r="H312" s="30" t="s">
        <v>64</v>
      </c>
      <c r="I312" s="30" t="s">
        <v>41</v>
      </c>
      <c r="J312" s="30" t="s">
        <v>72</v>
      </c>
      <c r="K312" s="9" t="str">
        <f>IFERROR(VLOOKUP($B312,[1]Kundenübersicht!$E$4:$AC$1003,MATCH(K$3,[1]Kundenübersicht!$E$3:$BA$3,FALSE),FALSE),"")</f>
        <v>Techniker Krankenkasse</v>
      </c>
      <c r="L312" s="13">
        <f>IFERROR(VLOOKUP(B312,[1]Kundenübersicht!$E$4:$AC$1003,MATCH(L$3,[1]Kundenübersicht!$E$3:$BA$3,FALSE),FALSE),"")</f>
        <v>101575519</v>
      </c>
      <c r="M312" s="13" t="str">
        <f>IFERROR(VLOOKUP(B312,[1]Kundenübersicht!$E$4:$AC$1003,MATCH(M$3,[1]Kundenübersicht!$E$3:$BA$3,FALSE),FALSE),"")</f>
        <v>V281460760</v>
      </c>
      <c r="N312" s="13" t="str">
        <f>IFERROR(VLOOKUP(B312,[1]Kundenübersicht!$E$4:$AC$1003,MATCH(N$3,[1]Kundenübersicht!$E$3:$BA$3,FALSE),FALSE),"")</f>
        <v>PG 2</v>
      </c>
      <c r="P312" s="9" t="s">
        <v>29</v>
      </c>
      <c r="R312" s="9" t="str">
        <f t="shared" si="64"/>
        <v>Unterschrieben</v>
      </c>
      <c r="S312" s="14" t="s">
        <v>31</v>
      </c>
      <c r="U312" s="15">
        <f>IF(YEAR(C312)&lt;=2025,IFERROR(IF(I312="Hauswirtschaft",VLOOKUP($B312,[1]Kundenübersicht!$E$4:$BA$1003,MATCH("Hauswirtschaft [€/Stunde]",[1]Kundenübersicht!$E$3:$BA$3,FALSE),FALSE),VLOOKUP($B312,[1]Kundenübersicht!$E$4:$BA$1003,MATCH("Alltagsbegleitung [€/Stunde]",[1]Kundenübersicht!$E$3:$BA$3,FALSE),FALSE)),0),IFERROR(IF(I312="Hauswirtschaft",VLOOKUP($B312,[1]Kundenübersicht!$E$4:$BA$1003,MATCH("HW ab 2026 [€/Stunde]",[1]Kundenübersicht!$E$3:$BA$3,FALSE),FALSE),VLOOKUP($B312,[1]Kundenübersicht!$E$4:$BA$1003,MATCH("Alltagsbegleitung [€/Stunde]",[1]Kundenübersicht!$E$3:$BA$3,FALSE),FALSE)),0))</f>
        <v>42</v>
      </c>
      <c r="V312" s="16">
        <f t="shared" ref="V312:V375" si="70">U312*F312</f>
        <v>63.000000000000057</v>
      </c>
      <c r="W312" s="16">
        <f t="shared" si="60"/>
        <v>2.0999999999999996</v>
      </c>
      <c r="X312" s="16" t="str">
        <f>VLOOKUP(B312,[1]Kundenübersicht!E:AG,MATCH($X$3,[1]Kundenübersicht!$E$3:$AY$3,0),FALSE)</f>
        <v>Neu</v>
      </c>
      <c r="Z312" s="20" t="str">
        <f t="shared" si="65"/>
        <v>Ja</v>
      </c>
      <c r="AA312" s="19">
        <v>45644</v>
      </c>
      <c r="AC312" s="19">
        <v>46030</v>
      </c>
      <c r="AE312" s="9">
        <f t="shared" si="61"/>
        <v>2025</v>
      </c>
      <c r="AF312" s="17" t="str">
        <f t="shared" si="62"/>
        <v>11.2025</v>
      </c>
      <c r="AG312" s="17" t="str">
        <f t="shared" si="63"/>
        <v>Ursula Ullmann</v>
      </c>
      <c r="AH312" s="17" t="str">
        <f>IFERROR(VLOOKUP(B312,[1]Kundenübersicht!$E$4:$F$85,2,FALSE),"")</f>
        <v>Wolfgang Seidel</v>
      </c>
      <c r="AI312" s="17" t="str">
        <f t="shared" si="59"/>
        <v>Alltagsbegleitung</v>
      </c>
      <c r="AJ312" s="17" t="str">
        <f t="shared" si="59"/>
        <v>Verhinderungs-/Kurzzeitpflege</v>
      </c>
      <c r="AL312" s="18">
        <f t="shared" si="66"/>
        <v>42</v>
      </c>
      <c r="AM312" s="18">
        <f t="shared" si="67"/>
        <v>63.000000000000057</v>
      </c>
      <c r="AN312" s="18">
        <f t="shared" si="68"/>
        <v>2.0999999999999996</v>
      </c>
    </row>
    <row r="313" spans="2:40" x14ac:dyDescent="0.25">
      <c r="B313" s="30" t="s">
        <v>71</v>
      </c>
      <c r="C313" s="31">
        <v>45968</v>
      </c>
      <c r="D313" s="32">
        <v>0.41666666666666669</v>
      </c>
      <c r="E313" s="32">
        <v>0.5</v>
      </c>
      <c r="F313" s="12">
        <f t="shared" si="69"/>
        <v>1.9999999999999996</v>
      </c>
      <c r="G313" s="12">
        <v>7</v>
      </c>
      <c r="H313" s="30" t="s">
        <v>64</v>
      </c>
      <c r="I313" s="30" t="s">
        <v>41</v>
      </c>
      <c r="J313" s="30" t="s">
        <v>72</v>
      </c>
      <c r="K313" s="9" t="str">
        <f>IFERROR(VLOOKUP($B313,[1]Kundenübersicht!$E$4:$AC$1003,MATCH(K$3,[1]Kundenübersicht!$E$3:$BA$3,FALSE),FALSE),"")</f>
        <v>Techniker Krankenkasse</v>
      </c>
      <c r="L313" s="13">
        <f>IFERROR(VLOOKUP(B313,[1]Kundenübersicht!$E$4:$AC$1003,MATCH(L$3,[1]Kundenübersicht!$E$3:$BA$3,FALSE),FALSE),"")</f>
        <v>101575519</v>
      </c>
      <c r="M313" s="13" t="str">
        <f>IFERROR(VLOOKUP(B313,[1]Kundenübersicht!$E$4:$AC$1003,MATCH(M$3,[1]Kundenübersicht!$E$3:$BA$3,FALSE),FALSE),"")</f>
        <v>V281460760</v>
      </c>
      <c r="N313" s="13" t="str">
        <f>IFERROR(VLOOKUP(B313,[1]Kundenübersicht!$E$4:$AC$1003,MATCH(N$3,[1]Kundenübersicht!$E$3:$BA$3,FALSE),FALSE),"")</f>
        <v>PG 2</v>
      </c>
      <c r="P313" s="9" t="s">
        <v>29</v>
      </c>
      <c r="R313" s="9" t="str">
        <f t="shared" si="64"/>
        <v>Unterschrieben</v>
      </c>
      <c r="S313" s="14" t="s">
        <v>31</v>
      </c>
      <c r="U313" s="15">
        <f>IF(YEAR(C313)&lt;=2025,IFERROR(IF(I313="Hauswirtschaft",VLOOKUP($B313,[1]Kundenübersicht!$E$4:$BA$1003,MATCH("Hauswirtschaft [€/Stunde]",[1]Kundenübersicht!$E$3:$BA$3,FALSE),FALSE),VLOOKUP($B313,[1]Kundenübersicht!$E$4:$BA$1003,MATCH("Alltagsbegleitung [€/Stunde]",[1]Kundenübersicht!$E$3:$BA$3,FALSE),FALSE)),0),IFERROR(IF(I313="Hauswirtschaft",VLOOKUP($B313,[1]Kundenübersicht!$E$4:$BA$1003,MATCH("HW ab 2026 [€/Stunde]",[1]Kundenübersicht!$E$3:$BA$3,FALSE),FALSE),VLOOKUP($B313,[1]Kundenübersicht!$E$4:$BA$1003,MATCH("Alltagsbegleitung [€/Stunde]",[1]Kundenübersicht!$E$3:$BA$3,FALSE),FALSE)),0))</f>
        <v>42</v>
      </c>
      <c r="V313" s="16">
        <f t="shared" si="70"/>
        <v>83.999999999999986</v>
      </c>
      <c r="W313" s="16">
        <f t="shared" si="60"/>
        <v>2.4499999999999997</v>
      </c>
      <c r="X313" s="16" t="str">
        <f>VLOOKUP(B313,[1]Kundenübersicht!E:AG,MATCH($X$3,[1]Kundenübersicht!$E$3:$AY$3,0),FALSE)</f>
        <v>Neu</v>
      </c>
      <c r="Z313" s="20" t="str">
        <f t="shared" si="65"/>
        <v>Ja</v>
      </c>
      <c r="AA313" s="19">
        <v>45644</v>
      </c>
      <c r="AC313" s="19">
        <v>46030</v>
      </c>
      <c r="AE313" s="9">
        <f t="shared" si="61"/>
        <v>2025</v>
      </c>
      <c r="AF313" s="17" t="str">
        <f t="shared" si="62"/>
        <v>11.2025</v>
      </c>
      <c r="AG313" s="17" t="str">
        <f t="shared" si="63"/>
        <v>Ursula Ullmann</v>
      </c>
      <c r="AH313" s="17" t="str">
        <f>IFERROR(VLOOKUP(B313,[1]Kundenübersicht!$E$4:$F$85,2,FALSE),"")</f>
        <v>Wolfgang Seidel</v>
      </c>
      <c r="AI313" s="17" t="str">
        <f t="shared" si="59"/>
        <v>Alltagsbegleitung</v>
      </c>
      <c r="AJ313" s="17" t="str">
        <f t="shared" si="59"/>
        <v>Verhinderungs-/Kurzzeitpflege</v>
      </c>
      <c r="AL313" s="18">
        <f t="shared" si="66"/>
        <v>42</v>
      </c>
      <c r="AM313" s="18">
        <f t="shared" si="67"/>
        <v>83.999999999999986</v>
      </c>
      <c r="AN313" s="18">
        <f t="shared" si="68"/>
        <v>2.4499999999999997</v>
      </c>
    </row>
    <row r="314" spans="2:40" x14ac:dyDescent="0.25">
      <c r="B314" s="30" t="s">
        <v>71</v>
      </c>
      <c r="C314" s="31">
        <v>45974</v>
      </c>
      <c r="D314" s="32">
        <v>0.41666666666666669</v>
      </c>
      <c r="E314" s="32">
        <v>0.5</v>
      </c>
      <c r="F314" s="12">
        <f t="shared" si="69"/>
        <v>1.9999999999999996</v>
      </c>
      <c r="G314" s="12">
        <v>7</v>
      </c>
      <c r="H314" s="30" t="s">
        <v>64</v>
      </c>
      <c r="I314" s="30" t="s">
        <v>41</v>
      </c>
      <c r="J314" s="30" t="s">
        <v>72</v>
      </c>
      <c r="K314" s="9" t="str">
        <f>IFERROR(VLOOKUP($B314,[1]Kundenübersicht!$E$4:$AC$1003,MATCH(K$3,[1]Kundenübersicht!$E$3:$BA$3,FALSE),FALSE),"")</f>
        <v>Techniker Krankenkasse</v>
      </c>
      <c r="L314" s="13">
        <f>IFERROR(VLOOKUP(B314,[1]Kundenübersicht!$E$4:$AC$1003,MATCH(L$3,[1]Kundenübersicht!$E$3:$BA$3,FALSE),FALSE),"")</f>
        <v>101575519</v>
      </c>
      <c r="M314" s="13" t="str">
        <f>IFERROR(VLOOKUP(B314,[1]Kundenübersicht!$E$4:$AC$1003,MATCH(M$3,[1]Kundenübersicht!$E$3:$BA$3,FALSE),FALSE),"")</f>
        <v>V281460760</v>
      </c>
      <c r="N314" s="13" t="str">
        <f>IFERROR(VLOOKUP(B314,[1]Kundenübersicht!$E$4:$AC$1003,MATCH(N$3,[1]Kundenübersicht!$E$3:$BA$3,FALSE),FALSE),"")</f>
        <v>PG 2</v>
      </c>
      <c r="P314" s="9" t="s">
        <v>29</v>
      </c>
      <c r="R314" s="9" t="str">
        <f t="shared" si="64"/>
        <v>Unterschrieben</v>
      </c>
      <c r="S314" s="14" t="s">
        <v>31</v>
      </c>
      <c r="U314" s="15">
        <f>IF(YEAR(C314)&lt;=2025,IFERROR(IF(I314="Hauswirtschaft",VLOOKUP($B314,[1]Kundenübersicht!$E$4:$BA$1003,MATCH("Hauswirtschaft [€/Stunde]",[1]Kundenübersicht!$E$3:$BA$3,FALSE),FALSE),VLOOKUP($B314,[1]Kundenübersicht!$E$4:$BA$1003,MATCH("Alltagsbegleitung [€/Stunde]",[1]Kundenübersicht!$E$3:$BA$3,FALSE),FALSE)),0),IFERROR(IF(I314="Hauswirtschaft",VLOOKUP($B314,[1]Kundenübersicht!$E$4:$BA$1003,MATCH("HW ab 2026 [€/Stunde]",[1]Kundenübersicht!$E$3:$BA$3,FALSE),FALSE),VLOOKUP($B314,[1]Kundenübersicht!$E$4:$BA$1003,MATCH("Alltagsbegleitung [€/Stunde]",[1]Kundenübersicht!$E$3:$BA$3,FALSE),FALSE)),0))</f>
        <v>42</v>
      </c>
      <c r="V314" s="16">
        <f t="shared" si="70"/>
        <v>83.999999999999986</v>
      </c>
      <c r="W314" s="16">
        <f t="shared" si="60"/>
        <v>2.4499999999999997</v>
      </c>
      <c r="X314" s="16" t="str">
        <f>VLOOKUP(B314,[1]Kundenübersicht!E:AG,MATCH($X$3,[1]Kundenübersicht!$E$3:$AY$3,0),FALSE)</f>
        <v>Neu</v>
      </c>
      <c r="Z314" s="20" t="str">
        <f t="shared" si="65"/>
        <v>Ja</v>
      </c>
      <c r="AA314" s="19">
        <v>45644</v>
      </c>
      <c r="AC314" s="19">
        <v>46030</v>
      </c>
      <c r="AE314" s="9">
        <f t="shared" si="61"/>
        <v>2025</v>
      </c>
      <c r="AF314" s="17" t="str">
        <f t="shared" si="62"/>
        <v>11.2025</v>
      </c>
      <c r="AG314" s="17" t="str">
        <f t="shared" si="63"/>
        <v>Ursula Ullmann</v>
      </c>
      <c r="AH314" s="17" t="str">
        <f>IFERROR(VLOOKUP(B314,[1]Kundenübersicht!$E$4:$F$85,2,FALSE),"")</f>
        <v>Wolfgang Seidel</v>
      </c>
      <c r="AI314" s="17" t="str">
        <f t="shared" si="59"/>
        <v>Alltagsbegleitung</v>
      </c>
      <c r="AJ314" s="17" t="str">
        <f t="shared" si="59"/>
        <v>Verhinderungs-/Kurzzeitpflege</v>
      </c>
      <c r="AL314" s="18">
        <f t="shared" si="66"/>
        <v>42</v>
      </c>
      <c r="AM314" s="18">
        <f t="shared" si="67"/>
        <v>83.999999999999986</v>
      </c>
      <c r="AN314" s="18">
        <f t="shared" si="68"/>
        <v>2.4499999999999997</v>
      </c>
    </row>
    <row r="315" spans="2:40" x14ac:dyDescent="0.25">
      <c r="B315" s="30" t="s">
        <v>71</v>
      </c>
      <c r="C315" s="31">
        <v>45975</v>
      </c>
      <c r="D315" s="32">
        <v>0.70833333333333337</v>
      </c>
      <c r="E315" s="32">
        <v>0.75</v>
      </c>
      <c r="F315" s="12">
        <f t="shared" si="69"/>
        <v>0.99999999999999911</v>
      </c>
      <c r="G315" s="12">
        <v>8</v>
      </c>
      <c r="H315" s="30" t="s">
        <v>64</v>
      </c>
      <c r="I315" s="30" t="s">
        <v>27</v>
      </c>
      <c r="J315" s="30" t="s">
        <v>72</v>
      </c>
      <c r="K315" s="9" t="str">
        <f>IFERROR(VLOOKUP($B315,[1]Kundenübersicht!$E$4:$AC$1003,MATCH(K$3,[1]Kundenübersicht!$E$3:$BA$3,FALSE),FALSE),"")</f>
        <v>Techniker Krankenkasse</v>
      </c>
      <c r="L315" s="13">
        <f>IFERROR(VLOOKUP(B315,[1]Kundenübersicht!$E$4:$AC$1003,MATCH(L$3,[1]Kundenübersicht!$E$3:$BA$3,FALSE),FALSE),"")</f>
        <v>101575519</v>
      </c>
      <c r="M315" s="13" t="str">
        <f>IFERROR(VLOOKUP(B315,[1]Kundenübersicht!$E$4:$AC$1003,MATCH(M$3,[1]Kundenübersicht!$E$3:$BA$3,FALSE),FALSE),"")</f>
        <v>V281460760</v>
      </c>
      <c r="N315" s="13" t="str">
        <f>IFERROR(VLOOKUP(B315,[1]Kundenübersicht!$E$4:$AC$1003,MATCH(N$3,[1]Kundenübersicht!$E$3:$BA$3,FALSE),FALSE),"")</f>
        <v>PG 2</v>
      </c>
      <c r="P315" s="9" t="s">
        <v>29</v>
      </c>
      <c r="R315" s="9" t="str">
        <f t="shared" si="64"/>
        <v>Unterschrieben</v>
      </c>
      <c r="S315" s="14" t="s">
        <v>31</v>
      </c>
      <c r="U315" s="15">
        <f>IF(YEAR(C315)&lt;=2025,IFERROR(IF(I315="Hauswirtschaft",VLOOKUP($B315,[1]Kundenübersicht!$E$4:$BA$1003,MATCH("Hauswirtschaft [€/Stunde]",[1]Kundenübersicht!$E$3:$BA$3,FALSE),FALSE),VLOOKUP($B315,[1]Kundenübersicht!$E$4:$BA$1003,MATCH("Alltagsbegleitung [€/Stunde]",[1]Kundenübersicht!$E$3:$BA$3,FALSE),FALSE)),0),IFERROR(IF(I315="Hauswirtschaft",VLOOKUP($B315,[1]Kundenübersicht!$E$4:$BA$1003,MATCH("HW ab 2026 [€/Stunde]",[1]Kundenübersicht!$E$3:$BA$3,FALSE),FALSE),VLOOKUP($B315,[1]Kundenübersicht!$E$4:$BA$1003,MATCH("Alltagsbegleitung [€/Stunde]",[1]Kundenübersicht!$E$3:$BA$3,FALSE),FALSE)),0))</f>
        <v>38</v>
      </c>
      <c r="V315" s="16">
        <f t="shared" si="70"/>
        <v>37.999999999999964</v>
      </c>
      <c r="W315" s="16">
        <f t="shared" si="60"/>
        <v>2.8</v>
      </c>
      <c r="X315" s="16" t="str">
        <f>VLOOKUP(B315,[1]Kundenübersicht!E:AG,MATCH($X$3,[1]Kundenübersicht!$E$3:$AY$3,0),FALSE)</f>
        <v>Neu</v>
      </c>
      <c r="Z315" s="20" t="str">
        <f t="shared" si="65"/>
        <v>Ja</v>
      </c>
      <c r="AA315" s="19">
        <v>45644</v>
      </c>
      <c r="AC315" s="19">
        <v>46030</v>
      </c>
      <c r="AE315" s="9">
        <f t="shared" si="61"/>
        <v>2025</v>
      </c>
      <c r="AF315" s="17" t="str">
        <f t="shared" si="62"/>
        <v>11.2025</v>
      </c>
      <c r="AG315" s="17" t="str">
        <f t="shared" si="63"/>
        <v>Ursula Ullmann</v>
      </c>
      <c r="AH315" s="17" t="str">
        <f>IFERROR(VLOOKUP(B315,[1]Kundenübersicht!$E$4:$F$85,2,FALSE),"")</f>
        <v>Wolfgang Seidel</v>
      </c>
      <c r="AI315" s="17" t="str">
        <f t="shared" ref="AI315:AJ352" si="71">IF(I315="","",I315)</f>
        <v>Hauswirtschaft</v>
      </c>
      <c r="AJ315" s="17" t="str">
        <f t="shared" si="71"/>
        <v>Verhinderungs-/Kurzzeitpflege</v>
      </c>
      <c r="AL315" s="18">
        <f t="shared" si="66"/>
        <v>38</v>
      </c>
      <c r="AM315" s="18">
        <f t="shared" si="67"/>
        <v>37.999999999999964</v>
      </c>
      <c r="AN315" s="18">
        <f t="shared" si="68"/>
        <v>2.8</v>
      </c>
    </row>
    <row r="316" spans="2:40" x14ac:dyDescent="0.25">
      <c r="B316" s="30" t="s">
        <v>71</v>
      </c>
      <c r="C316" s="31">
        <v>45981</v>
      </c>
      <c r="D316" s="32">
        <v>0.625</v>
      </c>
      <c r="E316" s="32">
        <v>0.70833333333333337</v>
      </c>
      <c r="F316" s="12">
        <f t="shared" si="69"/>
        <v>2.0000000000000009</v>
      </c>
      <c r="G316" s="12">
        <v>10</v>
      </c>
      <c r="H316" s="30" t="s">
        <v>64</v>
      </c>
      <c r="I316" s="30" t="s">
        <v>41</v>
      </c>
      <c r="J316" s="30" t="s">
        <v>72</v>
      </c>
      <c r="K316" s="9" t="str">
        <f>IFERROR(VLOOKUP($B316,[1]Kundenübersicht!$E$4:$AC$1003,MATCH(K$3,[1]Kundenübersicht!$E$3:$BA$3,FALSE),FALSE),"")</f>
        <v>Techniker Krankenkasse</v>
      </c>
      <c r="L316" s="13">
        <f>IFERROR(VLOOKUP(B316,[1]Kundenübersicht!$E$4:$AC$1003,MATCH(L$3,[1]Kundenübersicht!$E$3:$BA$3,FALSE),FALSE),"")</f>
        <v>101575519</v>
      </c>
      <c r="M316" s="13" t="str">
        <f>IFERROR(VLOOKUP(B316,[1]Kundenübersicht!$E$4:$AC$1003,MATCH(M$3,[1]Kundenübersicht!$E$3:$BA$3,FALSE),FALSE),"")</f>
        <v>V281460760</v>
      </c>
      <c r="N316" s="13" t="str">
        <f>IFERROR(VLOOKUP(B316,[1]Kundenübersicht!$E$4:$AC$1003,MATCH(N$3,[1]Kundenübersicht!$E$3:$BA$3,FALSE),FALSE),"")</f>
        <v>PG 2</v>
      </c>
      <c r="P316" s="9" t="s">
        <v>29</v>
      </c>
      <c r="R316" s="9" t="str">
        <f t="shared" si="64"/>
        <v>Unterschrieben</v>
      </c>
      <c r="S316" s="14" t="s">
        <v>31</v>
      </c>
      <c r="U316" s="15">
        <f>IF(YEAR(C316)&lt;=2025,IFERROR(IF(I316="Hauswirtschaft",VLOOKUP($B316,[1]Kundenübersicht!$E$4:$BA$1003,MATCH("Hauswirtschaft [€/Stunde]",[1]Kundenübersicht!$E$3:$BA$3,FALSE),FALSE),VLOOKUP($B316,[1]Kundenübersicht!$E$4:$BA$1003,MATCH("Alltagsbegleitung [€/Stunde]",[1]Kundenübersicht!$E$3:$BA$3,FALSE),FALSE)),0),IFERROR(IF(I316="Hauswirtschaft",VLOOKUP($B316,[1]Kundenübersicht!$E$4:$BA$1003,MATCH("HW ab 2026 [€/Stunde]",[1]Kundenübersicht!$E$3:$BA$3,FALSE),FALSE),VLOOKUP($B316,[1]Kundenübersicht!$E$4:$BA$1003,MATCH("Alltagsbegleitung [€/Stunde]",[1]Kundenübersicht!$E$3:$BA$3,FALSE),FALSE)),0))</f>
        <v>42</v>
      </c>
      <c r="V316" s="16">
        <f t="shared" si="70"/>
        <v>84.000000000000043</v>
      </c>
      <c r="W316" s="16">
        <f t="shared" si="60"/>
        <v>3.5</v>
      </c>
      <c r="X316" s="16" t="str">
        <f>VLOOKUP(B316,[1]Kundenübersicht!E:AG,MATCH($X$3,[1]Kundenübersicht!$E$3:$AY$3,0),FALSE)</f>
        <v>Neu</v>
      </c>
      <c r="Z316" s="20" t="str">
        <f t="shared" si="65"/>
        <v>Ja</v>
      </c>
      <c r="AA316" s="19">
        <v>45644</v>
      </c>
      <c r="AC316" s="19">
        <v>46030</v>
      </c>
      <c r="AE316" s="9">
        <f t="shared" si="61"/>
        <v>2025</v>
      </c>
      <c r="AF316" s="17" t="str">
        <f t="shared" si="62"/>
        <v>11.2025</v>
      </c>
      <c r="AG316" s="17" t="str">
        <f t="shared" si="63"/>
        <v>Ursula Ullmann</v>
      </c>
      <c r="AH316" s="17" t="str">
        <f>IFERROR(VLOOKUP(B316,[1]Kundenübersicht!$E$4:$F$85,2,FALSE),"")</f>
        <v>Wolfgang Seidel</v>
      </c>
      <c r="AI316" s="17" t="str">
        <f t="shared" si="71"/>
        <v>Alltagsbegleitung</v>
      </c>
      <c r="AJ316" s="17" t="str">
        <f t="shared" si="71"/>
        <v>Verhinderungs-/Kurzzeitpflege</v>
      </c>
      <c r="AL316" s="18">
        <f t="shared" si="66"/>
        <v>42</v>
      </c>
      <c r="AM316" s="18">
        <f t="shared" si="67"/>
        <v>84.000000000000043</v>
      </c>
      <c r="AN316" s="18">
        <f t="shared" si="68"/>
        <v>3.5</v>
      </c>
    </row>
    <row r="317" spans="2:40" x14ac:dyDescent="0.25">
      <c r="B317" s="30" t="s">
        <v>71</v>
      </c>
      <c r="C317" s="31">
        <v>45985</v>
      </c>
      <c r="D317" s="32">
        <v>0.41666666666666669</v>
      </c>
      <c r="E317" s="32">
        <v>0.52083333333333337</v>
      </c>
      <c r="F317" s="12">
        <f t="shared" si="69"/>
        <v>2.5000000000000004</v>
      </c>
      <c r="G317" s="12">
        <v>9</v>
      </c>
      <c r="H317" s="30" t="s">
        <v>64</v>
      </c>
      <c r="I317" s="30" t="s">
        <v>41</v>
      </c>
      <c r="J317" s="30" t="s">
        <v>72</v>
      </c>
      <c r="K317" s="9" t="str">
        <f>IFERROR(VLOOKUP($B317,[1]Kundenübersicht!$E$4:$AC$1003,MATCH(K$3,[1]Kundenübersicht!$E$3:$BA$3,FALSE),FALSE),"")</f>
        <v>Techniker Krankenkasse</v>
      </c>
      <c r="L317" s="13">
        <f>IFERROR(VLOOKUP(B317,[1]Kundenübersicht!$E$4:$AC$1003,MATCH(L$3,[1]Kundenübersicht!$E$3:$BA$3,FALSE),FALSE),"")</f>
        <v>101575519</v>
      </c>
      <c r="M317" s="13" t="str">
        <f>IFERROR(VLOOKUP(B317,[1]Kundenübersicht!$E$4:$AC$1003,MATCH(M$3,[1]Kundenübersicht!$E$3:$BA$3,FALSE),FALSE),"")</f>
        <v>V281460760</v>
      </c>
      <c r="N317" s="13" t="str">
        <f>IFERROR(VLOOKUP(B317,[1]Kundenübersicht!$E$4:$AC$1003,MATCH(N$3,[1]Kundenübersicht!$E$3:$BA$3,FALSE),FALSE),"")</f>
        <v>PG 2</v>
      </c>
      <c r="P317" s="9" t="s">
        <v>29</v>
      </c>
      <c r="R317" s="9" t="str">
        <f t="shared" si="64"/>
        <v>Unterschrieben</v>
      </c>
      <c r="S317" s="14" t="s">
        <v>31</v>
      </c>
      <c r="U317" s="15">
        <f>IF(YEAR(C317)&lt;=2025,IFERROR(IF(I317="Hauswirtschaft",VLOOKUP($B317,[1]Kundenübersicht!$E$4:$BA$1003,MATCH("Hauswirtschaft [€/Stunde]",[1]Kundenübersicht!$E$3:$BA$3,FALSE),FALSE),VLOOKUP($B317,[1]Kundenübersicht!$E$4:$BA$1003,MATCH("Alltagsbegleitung [€/Stunde]",[1]Kundenübersicht!$E$3:$BA$3,FALSE),FALSE)),0),IFERROR(IF(I317="Hauswirtschaft",VLOOKUP($B317,[1]Kundenübersicht!$E$4:$BA$1003,MATCH("HW ab 2026 [€/Stunde]",[1]Kundenübersicht!$E$3:$BA$3,FALSE),FALSE),VLOOKUP($B317,[1]Kundenübersicht!$E$4:$BA$1003,MATCH("Alltagsbegleitung [€/Stunde]",[1]Kundenübersicht!$E$3:$BA$3,FALSE),FALSE)),0))</f>
        <v>42</v>
      </c>
      <c r="V317" s="16">
        <f t="shared" si="70"/>
        <v>105.00000000000001</v>
      </c>
      <c r="W317" s="16">
        <f t="shared" si="60"/>
        <v>3.15</v>
      </c>
      <c r="X317" s="16" t="str">
        <f>VLOOKUP(B317,[1]Kundenübersicht!E:AG,MATCH($X$3,[1]Kundenübersicht!$E$3:$AY$3,0),FALSE)</f>
        <v>Neu</v>
      </c>
      <c r="Z317" s="20" t="str">
        <f t="shared" si="65"/>
        <v>Ja</v>
      </c>
      <c r="AA317" s="19">
        <v>45644</v>
      </c>
      <c r="AC317" s="19">
        <v>46030</v>
      </c>
      <c r="AE317" s="9">
        <f t="shared" si="61"/>
        <v>2025</v>
      </c>
      <c r="AF317" s="17" t="str">
        <f t="shared" si="62"/>
        <v>11.2025</v>
      </c>
      <c r="AG317" s="17" t="str">
        <f t="shared" si="63"/>
        <v>Ursula Ullmann</v>
      </c>
      <c r="AH317" s="17" t="str">
        <f>IFERROR(VLOOKUP(B317,[1]Kundenübersicht!$E$4:$F$85,2,FALSE),"")</f>
        <v>Wolfgang Seidel</v>
      </c>
      <c r="AI317" s="17" t="str">
        <f t="shared" si="71"/>
        <v>Alltagsbegleitung</v>
      </c>
      <c r="AJ317" s="17" t="str">
        <f t="shared" si="71"/>
        <v>Verhinderungs-/Kurzzeitpflege</v>
      </c>
      <c r="AL317" s="18">
        <f t="shared" si="66"/>
        <v>42</v>
      </c>
      <c r="AM317" s="18">
        <f t="shared" si="67"/>
        <v>105.00000000000001</v>
      </c>
      <c r="AN317" s="18">
        <f t="shared" si="68"/>
        <v>3.15</v>
      </c>
    </row>
    <row r="318" spans="2:40" x14ac:dyDescent="0.25">
      <c r="B318" s="30" t="s">
        <v>71</v>
      </c>
      <c r="C318" s="31">
        <v>45988</v>
      </c>
      <c r="D318" s="32">
        <v>0.58333333333333337</v>
      </c>
      <c r="E318" s="32">
        <v>0.625</v>
      </c>
      <c r="F318" s="12">
        <f t="shared" si="69"/>
        <v>0.99999999999999911</v>
      </c>
      <c r="G318" s="12">
        <v>4</v>
      </c>
      <c r="H318" s="30" t="s">
        <v>64</v>
      </c>
      <c r="I318" s="30" t="s">
        <v>27</v>
      </c>
      <c r="J318" s="30" t="s">
        <v>72</v>
      </c>
      <c r="K318" s="9" t="str">
        <f>IFERROR(VLOOKUP($B318,[1]Kundenübersicht!$E$4:$AC$1003,MATCH(K$3,[1]Kundenübersicht!$E$3:$BA$3,FALSE),FALSE),"")</f>
        <v>Techniker Krankenkasse</v>
      </c>
      <c r="L318" s="13">
        <f>IFERROR(VLOOKUP(B318,[1]Kundenübersicht!$E$4:$AC$1003,MATCH(L$3,[1]Kundenübersicht!$E$3:$BA$3,FALSE),FALSE),"")</f>
        <v>101575519</v>
      </c>
      <c r="M318" s="13" t="str">
        <f>IFERROR(VLOOKUP(B318,[1]Kundenübersicht!$E$4:$AC$1003,MATCH(M$3,[1]Kundenübersicht!$E$3:$BA$3,FALSE),FALSE),"")</f>
        <v>V281460760</v>
      </c>
      <c r="N318" s="13" t="str">
        <f>IFERROR(VLOOKUP(B318,[1]Kundenübersicht!$E$4:$AC$1003,MATCH(N$3,[1]Kundenübersicht!$E$3:$BA$3,FALSE),FALSE),"")</f>
        <v>PG 2</v>
      </c>
      <c r="P318" s="9" t="s">
        <v>29</v>
      </c>
      <c r="R318" s="9" t="str">
        <f t="shared" si="64"/>
        <v>Unterschrieben</v>
      </c>
      <c r="S318" s="14" t="s">
        <v>31</v>
      </c>
      <c r="U318" s="15">
        <f>IF(YEAR(C318)&lt;=2025,IFERROR(IF(I318="Hauswirtschaft",VLOOKUP($B318,[1]Kundenübersicht!$E$4:$BA$1003,MATCH("Hauswirtschaft [€/Stunde]",[1]Kundenübersicht!$E$3:$BA$3,FALSE),FALSE),VLOOKUP($B318,[1]Kundenübersicht!$E$4:$BA$1003,MATCH("Alltagsbegleitung [€/Stunde]",[1]Kundenübersicht!$E$3:$BA$3,FALSE),FALSE)),0),IFERROR(IF(I318="Hauswirtschaft",VLOOKUP($B318,[1]Kundenübersicht!$E$4:$BA$1003,MATCH("HW ab 2026 [€/Stunde]",[1]Kundenübersicht!$E$3:$BA$3,FALSE),FALSE),VLOOKUP($B318,[1]Kundenübersicht!$E$4:$BA$1003,MATCH("Alltagsbegleitung [€/Stunde]",[1]Kundenübersicht!$E$3:$BA$3,FALSE),FALSE)),0))</f>
        <v>38</v>
      </c>
      <c r="V318" s="16">
        <f t="shared" si="70"/>
        <v>37.999999999999964</v>
      </c>
      <c r="W318" s="16">
        <f t="shared" si="60"/>
        <v>1.4</v>
      </c>
      <c r="X318" s="16" t="str">
        <f>VLOOKUP(B318,[1]Kundenübersicht!E:AG,MATCH($X$3,[1]Kundenübersicht!$E$3:$AY$3,0),FALSE)</f>
        <v>Neu</v>
      </c>
      <c r="Z318" s="20" t="str">
        <f t="shared" si="65"/>
        <v>Ja</v>
      </c>
      <c r="AA318" s="19">
        <v>45644</v>
      </c>
      <c r="AC318" s="19">
        <v>46030</v>
      </c>
      <c r="AE318" s="9">
        <f t="shared" si="61"/>
        <v>2025</v>
      </c>
      <c r="AF318" s="17" t="str">
        <f t="shared" si="62"/>
        <v>11.2025</v>
      </c>
      <c r="AG318" s="17" t="str">
        <f t="shared" si="63"/>
        <v>Ursula Ullmann</v>
      </c>
      <c r="AH318" s="17" t="str">
        <f>IFERROR(VLOOKUP(B318,[1]Kundenübersicht!$E$4:$F$85,2,FALSE),"")</f>
        <v>Wolfgang Seidel</v>
      </c>
      <c r="AI318" s="17" t="str">
        <f t="shared" si="71"/>
        <v>Hauswirtschaft</v>
      </c>
      <c r="AJ318" s="17" t="str">
        <f t="shared" si="71"/>
        <v>Verhinderungs-/Kurzzeitpflege</v>
      </c>
      <c r="AL318" s="18">
        <f t="shared" si="66"/>
        <v>38</v>
      </c>
      <c r="AM318" s="18">
        <f t="shared" si="67"/>
        <v>37.999999999999964</v>
      </c>
      <c r="AN318" s="18">
        <f t="shared" si="68"/>
        <v>1.4</v>
      </c>
    </row>
    <row r="319" spans="2:40" x14ac:dyDescent="0.25">
      <c r="B319" s="30" t="s">
        <v>71</v>
      </c>
      <c r="C319" s="31">
        <v>45988</v>
      </c>
      <c r="D319" s="32">
        <v>0.625</v>
      </c>
      <c r="E319" s="32">
        <v>0.66666666666666663</v>
      </c>
      <c r="F319" s="12">
        <f t="shared" si="69"/>
        <v>0.99999999999999911</v>
      </c>
      <c r="G319" s="12">
        <v>4</v>
      </c>
      <c r="H319" s="30" t="s">
        <v>64</v>
      </c>
      <c r="I319" s="30" t="s">
        <v>41</v>
      </c>
      <c r="J319" s="30" t="s">
        <v>72</v>
      </c>
      <c r="K319" s="9" t="str">
        <f>IFERROR(VLOOKUP($B319,[1]Kundenübersicht!$E$4:$AC$1003,MATCH(K$3,[1]Kundenübersicht!$E$3:$BA$3,FALSE),FALSE),"")</f>
        <v>Techniker Krankenkasse</v>
      </c>
      <c r="L319" s="13">
        <f>IFERROR(VLOOKUP(B319,[1]Kundenübersicht!$E$4:$AC$1003,MATCH(L$3,[1]Kundenübersicht!$E$3:$BA$3,FALSE),FALSE),"")</f>
        <v>101575519</v>
      </c>
      <c r="M319" s="13" t="str">
        <f>IFERROR(VLOOKUP(B319,[1]Kundenübersicht!$E$4:$AC$1003,MATCH(M$3,[1]Kundenübersicht!$E$3:$BA$3,FALSE),FALSE),"")</f>
        <v>V281460760</v>
      </c>
      <c r="N319" s="13" t="str">
        <f>IFERROR(VLOOKUP(B319,[1]Kundenübersicht!$E$4:$AC$1003,MATCH(N$3,[1]Kundenübersicht!$E$3:$BA$3,FALSE),FALSE),"")</f>
        <v>PG 2</v>
      </c>
      <c r="P319" s="9" t="s">
        <v>29</v>
      </c>
      <c r="R319" s="9" t="str">
        <f t="shared" si="64"/>
        <v>Unterschrieben</v>
      </c>
      <c r="S319" s="14" t="s">
        <v>31</v>
      </c>
      <c r="U319" s="15">
        <f>IF(YEAR(C319)&lt;=2025,IFERROR(IF(I319="Hauswirtschaft",VLOOKUP($B319,[1]Kundenübersicht!$E$4:$BA$1003,MATCH("Hauswirtschaft [€/Stunde]",[1]Kundenübersicht!$E$3:$BA$3,FALSE),FALSE),VLOOKUP($B319,[1]Kundenübersicht!$E$4:$BA$1003,MATCH("Alltagsbegleitung [€/Stunde]",[1]Kundenübersicht!$E$3:$BA$3,FALSE),FALSE)),0),IFERROR(IF(I319="Hauswirtschaft",VLOOKUP($B319,[1]Kundenübersicht!$E$4:$BA$1003,MATCH("HW ab 2026 [€/Stunde]",[1]Kundenübersicht!$E$3:$BA$3,FALSE),FALSE),VLOOKUP($B319,[1]Kundenübersicht!$E$4:$BA$1003,MATCH("Alltagsbegleitung [€/Stunde]",[1]Kundenübersicht!$E$3:$BA$3,FALSE),FALSE)),0))</f>
        <v>42</v>
      </c>
      <c r="V319" s="16">
        <f t="shared" si="70"/>
        <v>41.999999999999964</v>
      </c>
      <c r="W319" s="16">
        <f t="shared" si="60"/>
        <v>1.4</v>
      </c>
      <c r="X319" s="16" t="str">
        <f>VLOOKUP(B319,[1]Kundenübersicht!E:AG,MATCH($X$3,[1]Kundenübersicht!$E$3:$AY$3,0),FALSE)</f>
        <v>Neu</v>
      </c>
      <c r="Z319" s="20" t="str">
        <f t="shared" si="65"/>
        <v>Ja</v>
      </c>
      <c r="AA319" s="19">
        <v>45644</v>
      </c>
      <c r="AC319" s="19">
        <v>46030</v>
      </c>
      <c r="AE319" s="9">
        <f t="shared" si="61"/>
        <v>2025</v>
      </c>
      <c r="AF319" s="17" t="str">
        <f t="shared" si="62"/>
        <v>11.2025</v>
      </c>
      <c r="AG319" s="17" t="str">
        <f t="shared" si="63"/>
        <v>Ursula Ullmann</v>
      </c>
      <c r="AH319" s="17" t="str">
        <f>IFERROR(VLOOKUP(B319,[1]Kundenübersicht!$E$4:$F$85,2,FALSE),"")</f>
        <v>Wolfgang Seidel</v>
      </c>
      <c r="AI319" s="17" t="str">
        <f t="shared" si="71"/>
        <v>Alltagsbegleitung</v>
      </c>
      <c r="AJ319" s="17" t="str">
        <f t="shared" si="71"/>
        <v>Verhinderungs-/Kurzzeitpflege</v>
      </c>
      <c r="AL319" s="18">
        <f t="shared" si="66"/>
        <v>42</v>
      </c>
      <c r="AM319" s="18">
        <f t="shared" si="67"/>
        <v>41.999999999999964</v>
      </c>
      <c r="AN319" s="18">
        <f t="shared" si="68"/>
        <v>1.4</v>
      </c>
    </row>
    <row r="320" spans="2:40" x14ac:dyDescent="0.25">
      <c r="B320" s="30" t="s">
        <v>83</v>
      </c>
      <c r="C320" s="31">
        <v>45988</v>
      </c>
      <c r="D320" s="32">
        <v>0.59722222222222221</v>
      </c>
      <c r="E320" s="32">
        <v>0.61805555555555558</v>
      </c>
      <c r="F320" s="12">
        <f t="shared" si="69"/>
        <v>0.50000000000000089</v>
      </c>
      <c r="G320" s="12">
        <v>10</v>
      </c>
      <c r="H320" s="30" t="s">
        <v>33</v>
      </c>
      <c r="I320" s="30" t="s">
        <v>41</v>
      </c>
      <c r="J320" s="30" t="s">
        <v>28</v>
      </c>
      <c r="K320" s="9" t="str">
        <f>IFERROR(VLOOKUP($B320,[1]Kundenübersicht!$E$4:$AC$1003,MATCH(K$3,[1]Kundenübersicht!$E$3:$BA$3,FALSE),FALSE),"")</f>
        <v>AOK PLUS</v>
      </c>
      <c r="L320" s="13">
        <f>IFERROR(VLOOKUP(B320,[1]Kundenübersicht!$E$4:$AC$1003,MATCH(L$3,[1]Kundenübersicht!$E$3:$BA$3,FALSE),FALSE),"")</f>
        <v>107299005</v>
      </c>
      <c r="M320" s="13" t="str">
        <f>IFERROR(VLOOKUP(B320,[1]Kundenübersicht!$E$4:$AC$1003,MATCH(M$3,[1]Kundenübersicht!$E$3:$BA$3,FALSE),FALSE),"")</f>
        <v>E575057323</v>
      </c>
      <c r="N320" s="13" t="str">
        <f>IFERROR(VLOOKUP(B320,[1]Kundenübersicht!$E$4:$AC$1003,MATCH(N$3,[1]Kundenübersicht!$E$3:$BA$3,FALSE),FALSE),"")</f>
        <v>PG 1</v>
      </c>
      <c r="P320" s="9" t="s">
        <v>29</v>
      </c>
      <c r="R320" s="9" t="str">
        <f t="shared" si="64"/>
        <v>Unterschrieben</v>
      </c>
      <c r="S320" s="14" t="s">
        <v>31</v>
      </c>
      <c r="U320" s="15">
        <f>IF(YEAR(C320)&lt;=2025,IFERROR(IF(I320="Hauswirtschaft",VLOOKUP($B320,[1]Kundenübersicht!$E$4:$BA$1003,MATCH("Hauswirtschaft [€/Stunde]",[1]Kundenübersicht!$E$3:$BA$3,FALSE),FALSE),VLOOKUP($B320,[1]Kundenübersicht!$E$4:$BA$1003,MATCH("Alltagsbegleitung [€/Stunde]",[1]Kundenübersicht!$E$3:$BA$3,FALSE),FALSE)),0),IFERROR(IF(I320="Hauswirtschaft",VLOOKUP($B320,[1]Kundenübersicht!$E$4:$BA$1003,MATCH("HW ab 2026 [€/Stunde]",[1]Kundenübersicht!$E$3:$BA$3,FALSE),FALSE),VLOOKUP($B320,[1]Kundenübersicht!$E$4:$BA$1003,MATCH("Alltagsbegleitung [€/Stunde]",[1]Kundenübersicht!$E$3:$BA$3,FALSE),FALSE)),0))</f>
        <v>42</v>
      </c>
      <c r="V320" s="16">
        <f>U320*F320</f>
        <v>21.000000000000036</v>
      </c>
      <c r="W320" s="16">
        <f>IF(AND(YEAR(C320)&lt;=2025,X320="Alt"),0,G320*0.35)</f>
        <v>3.5</v>
      </c>
      <c r="X320" s="16" t="str">
        <f>VLOOKUP(B320,[1]Kundenübersicht!E:AG,MATCH($X$3,[1]Kundenübersicht!$E$3:$AY$3,0),FALSE)</f>
        <v>Neu</v>
      </c>
      <c r="Z320" s="20" t="s">
        <v>29</v>
      </c>
      <c r="AA320" s="19">
        <v>46057</v>
      </c>
      <c r="AC320" s="19"/>
      <c r="AE320" s="9">
        <f t="shared" si="61"/>
        <v>2025</v>
      </c>
      <c r="AF320" s="17" t="str">
        <f t="shared" si="62"/>
        <v>11.2025</v>
      </c>
      <c r="AG320" s="17" t="str">
        <f t="shared" si="63"/>
        <v>Christiane Fiebag</v>
      </c>
      <c r="AH320" s="17" t="str">
        <f>IFERROR(VLOOKUP(B320,[1]Kundenübersicht!$E$4:$F$85,2,FALSE),"")</f>
        <v>Reinhard Neiser</v>
      </c>
      <c r="AI320" s="17" t="str">
        <f>IF(I320="","",I320)</f>
        <v>Alltagsbegleitung</v>
      </c>
      <c r="AJ320" s="17" t="str">
        <f>IF(J320="","",J320)</f>
        <v>Entlastungsleistung</v>
      </c>
      <c r="AL320" s="18">
        <f>IF(I320="Hauswirtschaft",38,42)</f>
        <v>42</v>
      </c>
      <c r="AM320" s="18">
        <f>AL320*F320</f>
        <v>21.000000000000036</v>
      </c>
      <c r="AN320" s="18">
        <f>G320*0.35</f>
        <v>3.5</v>
      </c>
    </row>
    <row r="321" spans="2:40" x14ac:dyDescent="0.25">
      <c r="B321" s="30" t="s">
        <v>73</v>
      </c>
      <c r="C321" s="31">
        <v>45964</v>
      </c>
      <c r="D321" s="32">
        <v>0.39583333333333331</v>
      </c>
      <c r="E321" s="32">
        <v>0.45833333333333331</v>
      </c>
      <c r="F321" s="12">
        <f t="shared" si="69"/>
        <v>1.5</v>
      </c>
      <c r="G321" s="12"/>
      <c r="H321" s="30" t="s">
        <v>26</v>
      </c>
      <c r="I321" s="30" t="s">
        <v>27</v>
      </c>
      <c r="J321" s="30" t="s">
        <v>28</v>
      </c>
      <c r="K321" s="9" t="str">
        <f>IFERROR(VLOOKUP($B321,[1]Kundenübersicht!$E$4:$AC$1003,MATCH(K$3,[1]Kundenübersicht!$E$3:$BA$3,FALSE),FALSE),"")</f>
        <v>AOK PLUS</v>
      </c>
      <c r="L321" s="13">
        <f>IFERROR(VLOOKUP(B321,[1]Kundenübersicht!$E$4:$AC$1003,MATCH(L$3,[1]Kundenübersicht!$E$3:$BA$3,FALSE),FALSE),"")</f>
        <v>107299005</v>
      </c>
      <c r="M321" s="13" t="str">
        <f>IFERROR(VLOOKUP(B321,[1]Kundenübersicht!$E$4:$AC$1003,MATCH(M$3,[1]Kundenübersicht!$E$3:$BA$3,FALSE),FALSE),"")</f>
        <v>A758670111</v>
      </c>
      <c r="N321" s="13" t="str">
        <f>IFERROR(VLOOKUP(B321,[1]Kundenübersicht!$E$4:$AC$1003,MATCH(N$3,[1]Kundenübersicht!$E$3:$BA$3,FALSE),FALSE),"")</f>
        <v>PG 2</v>
      </c>
      <c r="P321" s="9" t="s">
        <v>29</v>
      </c>
      <c r="R321" s="9" t="str">
        <f t="shared" si="64"/>
        <v>Unterschrieben</v>
      </c>
      <c r="S321" s="14" t="s">
        <v>31</v>
      </c>
      <c r="U321" s="15">
        <f>IF(YEAR(C321)&lt;=2025,IFERROR(IF(I321="Hauswirtschaft",VLOOKUP($B321,[1]Kundenübersicht!$E$4:$BA$1003,MATCH("Hauswirtschaft [€/Stunde]",[1]Kundenübersicht!$E$3:$BA$3,FALSE),FALSE),VLOOKUP($B321,[1]Kundenübersicht!$E$4:$BA$1003,MATCH("Alltagsbegleitung [€/Stunde]",[1]Kundenübersicht!$E$3:$BA$3,FALSE),FALSE)),0),IFERROR(IF(I321="Hauswirtschaft",VLOOKUP($B321,[1]Kundenübersicht!$E$4:$BA$1003,MATCH("HW ab 2026 [€/Stunde]",[1]Kundenübersicht!$E$3:$BA$3,FALSE),FALSE),VLOOKUP($B321,[1]Kundenübersicht!$E$4:$BA$1003,MATCH("Alltagsbegleitung [€/Stunde]",[1]Kundenübersicht!$E$3:$BA$3,FALSE),FALSE)),0))</f>
        <v>38</v>
      </c>
      <c r="V321" s="16">
        <f t="shared" si="70"/>
        <v>57</v>
      </c>
      <c r="W321" s="16">
        <f t="shared" si="60"/>
        <v>0</v>
      </c>
      <c r="X321" s="16" t="str">
        <f>VLOOKUP(B321,[1]Kundenübersicht!E:AG,MATCH($X$3,[1]Kundenübersicht!$E$3:$AY$3,0),FALSE)</f>
        <v>Neu</v>
      </c>
      <c r="Z321" s="20" t="str">
        <f t="shared" si="65"/>
        <v>Ja</v>
      </c>
      <c r="AA321" s="19">
        <v>46057</v>
      </c>
      <c r="AC321" s="19"/>
      <c r="AE321" s="9">
        <f t="shared" si="61"/>
        <v>2025</v>
      </c>
      <c r="AF321" s="17" t="str">
        <f t="shared" si="62"/>
        <v>11.2025</v>
      </c>
      <c r="AG321" s="17" t="str">
        <f t="shared" si="63"/>
        <v>Celina Panther</v>
      </c>
      <c r="AH321" s="17" t="str">
        <f>IFERROR(VLOOKUP(B321,[1]Kundenübersicht!$E$4:$F$85,2,FALSE),"")</f>
        <v>Christine Klewer</v>
      </c>
      <c r="AI321" s="17" t="str">
        <f t="shared" si="71"/>
        <v>Hauswirtschaft</v>
      </c>
      <c r="AJ321" s="17" t="str">
        <f t="shared" si="71"/>
        <v>Entlastungsleistung</v>
      </c>
      <c r="AL321" s="18">
        <f t="shared" ref="AL321:AL384" si="72">IF(I321="Hauswirtschaft",38,42)</f>
        <v>38</v>
      </c>
      <c r="AM321" s="18">
        <f t="shared" ref="AM321:AM384" si="73">AL321*F321</f>
        <v>57</v>
      </c>
      <c r="AN321" s="18">
        <f t="shared" ref="AN321:AN384" si="74">G321*0.35</f>
        <v>0</v>
      </c>
    </row>
    <row r="322" spans="2:40" x14ac:dyDescent="0.25">
      <c r="B322" s="30" t="s">
        <v>25</v>
      </c>
      <c r="C322" s="31">
        <v>45994</v>
      </c>
      <c r="D322" s="32">
        <v>0.375</v>
      </c>
      <c r="E322" s="32">
        <v>0.4375</v>
      </c>
      <c r="F322" s="12">
        <f t="shared" si="69"/>
        <v>1.5</v>
      </c>
      <c r="G322" s="12">
        <v>2.6</v>
      </c>
      <c r="H322" s="30" t="s">
        <v>77</v>
      </c>
      <c r="I322" s="30" t="s">
        <v>27</v>
      </c>
      <c r="J322" s="30" t="s">
        <v>28</v>
      </c>
      <c r="K322" s="9" t="str">
        <f>IFERROR(VLOOKUP($B322,[1]Kundenübersicht!$E$4:$AC$1003,MATCH(K$3,[1]Kundenübersicht!$E$3:$BA$3,FALSE),FALSE),"")</f>
        <v>Barmer Pflegekasse</v>
      </c>
      <c r="L322" s="13">
        <f>IFERROR(VLOOKUP(B322,[1]Kundenübersicht!$E$4:$AC$1003,MATCH(L$3,[1]Kundenübersicht!$E$3:$BA$3,FALSE),FALSE),"")</f>
        <v>184940005</v>
      </c>
      <c r="M322" s="13" t="str">
        <f>IFERROR(VLOOKUP(B322,[1]Kundenübersicht!$E$4:$AC$1003,MATCH(M$3,[1]Kundenübersicht!$E$3:$BA$3,FALSE),FALSE),"")</f>
        <v>Z817157321</v>
      </c>
      <c r="N322" s="13" t="str">
        <f>IFERROR(VLOOKUP(B322,[1]Kundenübersicht!$E$4:$AC$1003,MATCH(N$3,[1]Kundenübersicht!$E$3:$BA$3,FALSE),FALSE),"")</f>
        <v>PG 1</v>
      </c>
      <c r="P322" s="9" t="s">
        <v>29</v>
      </c>
      <c r="R322" s="9" t="str">
        <f t="shared" si="64"/>
        <v>Unterschrieben</v>
      </c>
      <c r="S322" s="14" t="s">
        <v>31</v>
      </c>
      <c r="U322" s="15">
        <f>IF(YEAR(C322)&lt;=2025,IFERROR(IF(I322="Hauswirtschaft",VLOOKUP($B322,[1]Kundenübersicht!$E$4:$BA$1003,MATCH("Hauswirtschaft [€/Stunde]",[1]Kundenübersicht!$E$3:$BA$3,FALSE),FALSE),VLOOKUP($B322,[1]Kundenübersicht!$E$4:$BA$1003,MATCH("Alltagsbegleitung [€/Stunde]",[1]Kundenübersicht!$E$3:$BA$3,FALSE),FALSE)),0),IFERROR(IF(I322="Hauswirtschaft",VLOOKUP($B322,[1]Kundenübersicht!$E$4:$BA$1003,MATCH("HW ab 2026 [€/Stunde]",[1]Kundenübersicht!$E$3:$BA$3,FALSE),FALSE),VLOOKUP($B322,[1]Kundenübersicht!$E$4:$BA$1003,MATCH("Alltagsbegleitung [€/Stunde]",[1]Kundenübersicht!$E$3:$BA$3,FALSE),FALSE)),0))</f>
        <v>32.75</v>
      </c>
      <c r="V322" s="16">
        <f t="shared" si="70"/>
        <v>49.125</v>
      </c>
      <c r="W322" s="16">
        <f t="shared" si="60"/>
        <v>0</v>
      </c>
      <c r="X322" s="16" t="str">
        <f>VLOOKUP(B322,[1]Kundenübersicht!E:AG,MATCH($X$3,[1]Kundenübersicht!$E$3:$AY$3,0),FALSE)</f>
        <v>Alt</v>
      </c>
      <c r="Z322" s="20" t="str">
        <f>IF(AA322="","Nein","Ja")</f>
        <v>Ja</v>
      </c>
      <c r="AA322" s="19">
        <v>45697</v>
      </c>
      <c r="AC322" s="19"/>
      <c r="AE322" s="9">
        <f t="shared" si="61"/>
        <v>2025</v>
      </c>
      <c r="AF322" s="17" t="str">
        <f t="shared" si="62"/>
        <v>12.2025</v>
      </c>
      <c r="AG322" s="17" t="str">
        <f t="shared" si="63"/>
        <v>Janet Klitzsch</v>
      </c>
      <c r="AH322" s="17" t="str">
        <f>IFERROR(VLOOKUP(B322,[1]Kundenübersicht!$E$4:$F$85,2,FALSE),"")</f>
        <v>Rosemarie Schröder</v>
      </c>
      <c r="AI322" s="17" t="str">
        <f t="shared" si="71"/>
        <v>Hauswirtschaft</v>
      </c>
      <c r="AJ322" s="17" t="str">
        <f t="shared" si="71"/>
        <v>Entlastungsleistung</v>
      </c>
      <c r="AL322" s="18">
        <f t="shared" si="72"/>
        <v>38</v>
      </c>
      <c r="AM322" s="18">
        <f t="shared" si="73"/>
        <v>57</v>
      </c>
      <c r="AN322" s="18">
        <f t="shared" si="74"/>
        <v>0.90999999999999992</v>
      </c>
    </row>
    <row r="323" spans="2:40" x14ac:dyDescent="0.25">
      <c r="B323" s="30" t="s">
        <v>25</v>
      </c>
      <c r="C323" s="31">
        <v>46008</v>
      </c>
      <c r="D323" s="32">
        <v>0.375</v>
      </c>
      <c r="E323" s="32">
        <v>0.4375</v>
      </c>
      <c r="F323" s="12">
        <f t="shared" si="69"/>
        <v>1.5</v>
      </c>
      <c r="G323" s="12">
        <v>2.6</v>
      </c>
      <c r="H323" s="30" t="s">
        <v>77</v>
      </c>
      <c r="I323" s="30" t="s">
        <v>27</v>
      </c>
      <c r="J323" s="30" t="s">
        <v>28</v>
      </c>
      <c r="K323" s="9" t="str">
        <f>IFERROR(VLOOKUP($B323,[1]Kundenübersicht!$E$4:$AC$1003,MATCH(K$3,[1]Kundenübersicht!$E$3:$BA$3,FALSE),FALSE),"")</f>
        <v>Barmer Pflegekasse</v>
      </c>
      <c r="L323" s="13">
        <f>IFERROR(VLOOKUP(B323,[1]Kundenübersicht!$E$4:$AC$1003,MATCH(L$3,[1]Kundenübersicht!$E$3:$BA$3,FALSE),FALSE),"")</f>
        <v>184940005</v>
      </c>
      <c r="M323" s="13" t="str">
        <f>IFERROR(VLOOKUP(B323,[1]Kundenübersicht!$E$4:$AC$1003,MATCH(M$3,[1]Kundenübersicht!$E$3:$BA$3,FALSE),FALSE),"")</f>
        <v>Z817157321</v>
      </c>
      <c r="N323" s="13" t="str">
        <f>IFERROR(VLOOKUP(B323,[1]Kundenübersicht!$E$4:$AC$1003,MATCH(N$3,[1]Kundenübersicht!$E$3:$BA$3,FALSE),FALSE),"")</f>
        <v>PG 1</v>
      </c>
      <c r="P323" s="9" t="s">
        <v>29</v>
      </c>
      <c r="R323" s="9" t="str">
        <f t="shared" si="64"/>
        <v>Unterschrieben</v>
      </c>
      <c r="S323" s="14" t="s">
        <v>31</v>
      </c>
      <c r="U323" s="15">
        <f>IF(YEAR(C323)&lt;=2025,IFERROR(IF(I323="Hauswirtschaft",VLOOKUP($B323,[1]Kundenübersicht!$E$4:$BA$1003,MATCH("Hauswirtschaft [€/Stunde]",[1]Kundenübersicht!$E$3:$BA$3,FALSE),FALSE),VLOOKUP($B323,[1]Kundenübersicht!$E$4:$BA$1003,MATCH("Alltagsbegleitung [€/Stunde]",[1]Kundenübersicht!$E$3:$BA$3,FALSE),FALSE)),0),IFERROR(IF(I323="Hauswirtschaft",VLOOKUP($B323,[1]Kundenübersicht!$E$4:$BA$1003,MATCH("HW ab 2026 [€/Stunde]",[1]Kundenübersicht!$E$3:$BA$3,FALSE),FALSE),VLOOKUP($B323,[1]Kundenübersicht!$E$4:$BA$1003,MATCH("Alltagsbegleitung [€/Stunde]",[1]Kundenübersicht!$E$3:$BA$3,FALSE),FALSE)),0))</f>
        <v>32.75</v>
      </c>
      <c r="V323" s="16">
        <f t="shared" si="70"/>
        <v>49.125</v>
      </c>
      <c r="W323" s="16">
        <f t="shared" si="60"/>
        <v>0</v>
      </c>
      <c r="X323" s="16" t="str">
        <f>VLOOKUP(B323,[1]Kundenübersicht!E:AG,MATCH($X$3,[1]Kundenübersicht!$E$3:$AY$3,0),FALSE)</f>
        <v>Alt</v>
      </c>
      <c r="Z323" s="20" t="str">
        <f t="shared" ref="Z323" si="75">IF(AA323="","Nein","Ja")</f>
        <v>Ja</v>
      </c>
      <c r="AA323" s="19">
        <v>45697</v>
      </c>
      <c r="AC323" s="19"/>
      <c r="AE323" s="9">
        <f t="shared" si="61"/>
        <v>2025</v>
      </c>
      <c r="AF323" s="17" t="str">
        <f t="shared" si="62"/>
        <v>12.2025</v>
      </c>
      <c r="AG323" s="17" t="str">
        <f t="shared" si="63"/>
        <v>Janet Klitzsch</v>
      </c>
      <c r="AH323" s="17" t="str">
        <f>IFERROR(VLOOKUP(B323,[1]Kundenübersicht!$E$4:$F$85,2,FALSE),"")</f>
        <v>Rosemarie Schröder</v>
      </c>
      <c r="AI323" s="17" t="str">
        <f t="shared" si="71"/>
        <v>Hauswirtschaft</v>
      </c>
      <c r="AJ323" s="17" t="str">
        <f t="shared" si="71"/>
        <v>Entlastungsleistung</v>
      </c>
      <c r="AL323" s="18">
        <f t="shared" si="72"/>
        <v>38</v>
      </c>
      <c r="AM323" s="18">
        <f t="shared" si="73"/>
        <v>57</v>
      </c>
      <c r="AN323" s="18">
        <f t="shared" si="74"/>
        <v>0.90999999999999992</v>
      </c>
    </row>
    <row r="324" spans="2:40" x14ac:dyDescent="0.25">
      <c r="B324" s="30" t="s">
        <v>79</v>
      </c>
      <c r="C324" s="31">
        <v>45994</v>
      </c>
      <c r="D324" s="32">
        <v>0.58333333333333337</v>
      </c>
      <c r="E324" s="32">
        <v>0.625</v>
      </c>
      <c r="F324" s="12">
        <f t="shared" si="69"/>
        <v>0.99999999999999911</v>
      </c>
      <c r="G324" s="12">
        <v>2.4</v>
      </c>
      <c r="H324" s="30" t="s">
        <v>77</v>
      </c>
      <c r="I324" s="30" t="s">
        <v>27</v>
      </c>
      <c r="J324" s="30" t="s">
        <v>28</v>
      </c>
      <c r="K324" s="9" t="str">
        <f>IFERROR(VLOOKUP($B324,[1]Kundenübersicht!$E$4:$AC$1003,MATCH(K$3,[1]Kundenübersicht!$E$3:$BA$3,FALSE),FALSE),"")</f>
        <v>AOK PLUS</v>
      </c>
      <c r="L324" s="13">
        <f>IFERROR(VLOOKUP(B324,[1]Kundenübersicht!$E$4:$AC$1003,MATCH(L$3,[1]Kundenübersicht!$E$3:$BA$3,FALSE),FALSE),"")</f>
        <v>107299005</v>
      </c>
      <c r="M324" s="13" t="str">
        <f>IFERROR(VLOOKUP(B324,[1]Kundenübersicht!$E$4:$AC$1003,MATCH(M$3,[1]Kundenübersicht!$E$3:$BA$3,FALSE),FALSE),"")</f>
        <v>Z531781988</v>
      </c>
      <c r="N324" s="13" t="str">
        <f>IFERROR(VLOOKUP(B324,[1]Kundenübersicht!$E$4:$AC$1003,MATCH(N$3,[1]Kundenübersicht!$E$3:$BA$3,FALSE),FALSE),"")</f>
        <v>PG 1</v>
      </c>
      <c r="P324" s="9" t="s">
        <v>29</v>
      </c>
      <c r="R324" s="9" t="str">
        <f t="shared" si="64"/>
        <v>Unterschrieben</v>
      </c>
      <c r="S324" s="14" t="s">
        <v>31</v>
      </c>
      <c r="U324" s="15">
        <f>IF(YEAR(C324)&lt;=2025,IFERROR(IF(I324="Hauswirtschaft",VLOOKUP($B324,[1]Kundenübersicht!$E$4:$BA$1003,MATCH("Hauswirtschaft [€/Stunde]",[1]Kundenübersicht!$E$3:$BA$3,FALSE),FALSE),VLOOKUP($B324,[1]Kundenübersicht!$E$4:$BA$1003,MATCH("Alltagsbegleitung [€/Stunde]",[1]Kundenübersicht!$E$3:$BA$3,FALSE),FALSE)),0),IFERROR(IF(I324="Hauswirtschaft",VLOOKUP($B324,[1]Kundenübersicht!$E$4:$BA$1003,MATCH("HW ab 2026 [€/Stunde]",[1]Kundenübersicht!$E$3:$BA$3,FALSE),FALSE),VLOOKUP($B324,[1]Kundenübersicht!$E$4:$BA$1003,MATCH("Alltagsbegleitung [€/Stunde]",[1]Kundenübersicht!$E$3:$BA$3,FALSE),FALSE)),0))</f>
        <v>38</v>
      </c>
      <c r="V324" s="16">
        <f t="shared" si="70"/>
        <v>37.999999999999964</v>
      </c>
      <c r="W324" s="16">
        <f t="shared" ref="W324:W375" si="76">IF(AND(YEAR(C324)&lt;=2025,X324="Alt"),0,G324*0.35)</f>
        <v>0.84</v>
      </c>
      <c r="X324" s="16" t="str">
        <f>VLOOKUP(B324,[1]Kundenübersicht!E:AG,MATCH($X$3,[1]Kundenübersicht!$E$3:$AY$3,0),FALSE)</f>
        <v>Neu</v>
      </c>
      <c r="Z324" s="20" t="str">
        <f>IF(AA324="","Nein","Ja")</f>
        <v>Ja</v>
      </c>
      <c r="AA324" s="19">
        <v>46062</v>
      </c>
      <c r="AC324" s="19"/>
      <c r="AE324" s="9">
        <f t="shared" si="61"/>
        <v>2025</v>
      </c>
      <c r="AF324" s="17" t="str">
        <f t="shared" si="62"/>
        <v>12.2025</v>
      </c>
      <c r="AG324" s="17" t="str">
        <f t="shared" si="63"/>
        <v>Janet Klitzsch</v>
      </c>
      <c r="AH324" s="17" t="str">
        <f>IFERROR(VLOOKUP(B324,[1]Kundenübersicht!$E$4:$F$85,2,FALSE),"")</f>
        <v>Lianne Kröher</v>
      </c>
      <c r="AI324" s="17" t="str">
        <f t="shared" si="71"/>
        <v>Hauswirtschaft</v>
      </c>
      <c r="AJ324" s="17" t="str">
        <f t="shared" si="71"/>
        <v>Entlastungsleistung</v>
      </c>
      <c r="AL324" s="18">
        <f t="shared" si="72"/>
        <v>38</v>
      </c>
      <c r="AM324" s="18">
        <f t="shared" si="73"/>
        <v>37.999999999999964</v>
      </c>
      <c r="AN324" s="18">
        <f t="shared" si="74"/>
        <v>0.84</v>
      </c>
    </row>
    <row r="325" spans="2:40" x14ac:dyDescent="0.25">
      <c r="B325" s="30" t="s">
        <v>79</v>
      </c>
      <c r="C325" s="31">
        <v>46001</v>
      </c>
      <c r="D325" s="32">
        <v>0.58333333333333337</v>
      </c>
      <c r="E325" s="32">
        <v>0.625</v>
      </c>
      <c r="F325" s="12">
        <f t="shared" si="69"/>
        <v>0.99999999999999911</v>
      </c>
      <c r="G325" s="12">
        <v>2.4</v>
      </c>
      <c r="H325" s="30" t="s">
        <v>77</v>
      </c>
      <c r="I325" s="30" t="s">
        <v>27</v>
      </c>
      <c r="J325" s="30" t="s">
        <v>28</v>
      </c>
      <c r="K325" s="9" t="str">
        <f>IFERROR(VLOOKUP($B325,[1]Kundenübersicht!$E$4:$AC$1003,MATCH(K$3,[1]Kundenübersicht!$E$3:$BA$3,FALSE),FALSE),"")</f>
        <v>AOK PLUS</v>
      </c>
      <c r="L325" s="13">
        <f>IFERROR(VLOOKUP(B325,[1]Kundenübersicht!$E$4:$AC$1003,MATCH(L$3,[1]Kundenübersicht!$E$3:$BA$3,FALSE),FALSE),"")</f>
        <v>107299005</v>
      </c>
      <c r="M325" s="13" t="str">
        <f>IFERROR(VLOOKUP(B325,[1]Kundenübersicht!$E$4:$AC$1003,MATCH(M$3,[1]Kundenübersicht!$E$3:$BA$3,FALSE),FALSE),"")</f>
        <v>Z531781988</v>
      </c>
      <c r="N325" s="13" t="str">
        <f>IFERROR(VLOOKUP(B325,[1]Kundenübersicht!$E$4:$AC$1003,MATCH(N$3,[1]Kundenübersicht!$E$3:$BA$3,FALSE),FALSE),"")</f>
        <v>PG 1</v>
      </c>
      <c r="P325" s="9" t="s">
        <v>29</v>
      </c>
      <c r="R325" s="9" t="str">
        <f t="shared" si="64"/>
        <v>Unterschrieben</v>
      </c>
      <c r="S325" s="14" t="s">
        <v>31</v>
      </c>
      <c r="U325" s="15">
        <f>IF(YEAR(C325)&lt;=2025,IFERROR(IF(I325="Hauswirtschaft",VLOOKUP($B325,[1]Kundenübersicht!$E$4:$BA$1003,MATCH("Hauswirtschaft [€/Stunde]",[1]Kundenübersicht!$E$3:$BA$3,FALSE),FALSE),VLOOKUP($B325,[1]Kundenübersicht!$E$4:$BA$1003,MATCH("Alltagsbegleitung [€/Stunde]",[1]Kundenübersicht!$E$3:$BA$3,FALSE),FALSE)),0),IFERROR(IF(I325="Hauswirtschaft",VLOOKUP($B325,[1]Kundenübersicht!$E$4:$BA$1003,MATCH("HW ab 2026 [€/Stunde]",[1]Kundenübersicht!$E$3:$BA$3,FALSE),FALSE),VLOOKUP($B325,[1]Kundenübersicht!$E$4:$BA$1003,MATCH("Alltagsbegleitung [€/Stunde]",[1]Kundenübersicht!$E$3:$BA$3,FALSE),FALSE)),0))</f>
        <v>38</v>
      </c>
      <c r="V325" s="16">
        <f t="shared" si="70"/>
        <v>37.999999999999964</v>
      </c>
      <c r="W325" s="16">
        <f t="shared" si="76"/>
        <v>0.84</v>
      </c>
      <c r="X325" s="16" t="str">
        <f>VLOOKUP(B325,[1]Kundenübersicht!E:AG,MATCH($X$3,[1]Kundenübersicht!$E$3:$AY$3,0),FALSE)</f>
        <v>Neu</v>
      </c>
      <c r="Z325" s="20" t="str">
        <f t="shared" ref="Z325:Z326" si="77">IF(AA325="","Nein","Ja")</f>
        <v>Ja</v>
      </c>
      <c r="AA325" s="19">
        <v>46062</v>
      </c>
      <c r="AC325" s="19"/>
      <c r="AE325" s="9">
        <f t="shared" si="61"/>
        <v>2025</v>
      </c>
      <c r="AF325" s="17" t="str">
        <f t="shared" si="62"/>
        <v>12.2025</v>
      </c>
      <c r="AG325" s="17" t="str">
        <f t="shared" si="63"/>
        <v>Janet Klitzsch</v>
      </c>
      <c r="AH325" s="17" t="str">
        <f>IFERROR(VLOOKUP(B325,[1]Kundenübersicht!$E$4:$F$85,2,FALSE),"")</f>
        <v>Lianne Kröher</v>
      </c>
      <c r="AI325" s="17" t="str">
        <f t="shared" si="71"/>
        <v>Hauswirtschaft</v>
      </c>
      <c r="AJ325" s="17" t="str">
        <f t="shared" si="71"/>
        <v>Entlastungsleistung</v>
      </c>
      <c r="AL325" s="18">
        <f t="shared" si="72"/>
        <v>38</v>
      </c>
      <c r="AM325" s="18">
        <f t="shared" si="73"/>
        <v>37.999999999999964</v>
      </c>
      <c r="AN325" s="18">
        <f t="shared" si="74"/>
        <v>0.84</v>
      </c>
    </row>
    <row r="326" spans="2:40" x14ac:dyDescent="0.25">
      <c r="B326" s="30" t="s">
        <v>79</v>
      </c>
      <c r="C326" s="31">
        <v>46010</v>
      </c>
      <c r="D326" s="32">
        <v>0.58333333333333337</v>
      </c>
      <c r="E326" s="32">
        <v>0.66666666666666663</v>
      </c>
      <c r="F326" s="12">
        <f t="shared" si="69"/>
        <v>1.9999999999999982</v>
      </c>
      <c r="G326" s="12">
        <v>2.4</v>
      </c>
      <c r="H326" s="30" t="s">
        <v>77</v>
      </c>
      <c r="I326" s="30" t="s">
        <v>27</v>
      </c>
      <c r="J326" s="30" t="s">
        <v>28</v>
      </c>
      <c r="K326" s="9" t="str">
        <f>IFERROR(VLOOKUP($B326,[1]Kundenübersicht!$E$4:$AC$1003,MATCH(K$3,[1]Kundenübersicht!$E$3:$BA$3,FALSE),FALSE),"")</f>
        <v>AOK PLUS</v>
      </c>
      <c r="L326" s="13">
        <f>IFERROR(VLOOKUP(B326,[1]Kundenübersicht!$E$4:$AC$1003,MATCH(L$3,[1]Kundenübersicht!$E$3:$BA$3,FALSE),FALSE),"")</f>
        <v>107299005</v>
      </c>
      <c r="M326" s="13" t="str">
        <f>IFERROR(VLOOKUP(B326,[1]Kundenübersicht!$E$4:$AC$1003,MATCH(M$3,[1]Kundenübersicht!$E$3:$BA$3,FALSE),FALSE),"")</f>
        <v>Z531781988</v>
      </c>
      <c r="N326" s="13" t="str">
        <f>IFERROR(VLOOKUP(B326,[1]Kundenübersicht!$E$4:$AC$1003,MATCH(N$3,[1]Kundenübersicht!$E$3:$BA$3,FALSE),FALSE),"")</f>
        <v>PG 1</v>
      </c>
      <c r="P326" s="9" t="s">
        <v>29</v>
      </c>
      <c r="R326" s="9" t="str">
        <f t="shared" si="64"/>
        <v>Unterschrieben</v>
      </c>
      <c r="S326" s="14" t="s">
        <v>31</v>
      </c>
      <c r="U326" s="15">
        <f>IF(YEAR(C326)&lt;=2025,IFERROR(IF(I326="Hauswirtschaft",VLOOKUP($B326,[1]Kundenübersicht!$E$4:$BA$1003,MATCH("Hauswirtschaft [€/Stunde]",[1]Kundenübersicht!$E$3:$BA$3,FALSE),FALSE),VLOOKUP($B326,[1]Kundenübersicht!$E$4:$BA$1003,MATCH("Alltagsbegleitung [€/Stunde]",[1]Kundenübersicht!$E$3:$BA$3,FALSE),FALSE)),0),IFERROR(IF(I326="Hauswirtschaft",VLOOKUP($B326,[1]Kundenübersicht!$E$4:$BA$1003,MATCH("HW ab 2026 [€/Stunde]",[1]Kundenübersicht!$E$3:$BA$3,FALSE),FALSE),VLOOKUP($B326,[1]Kundenübersicht!$E$4:$BA$1003,MATCH("Alltagsbegleitung [€/Stunde]",[1]Kundenübersicht!$E$3:$BA$3,FALSE),FALSE)),0))</f>
        <v>38</v>
      </c>
      <c r="V326" s="16">
        <f t="shared" si="70"/>
        <v>75.999999999999929</v>
      </c>
      <c r="W326" s="16">
        <f t="shared" si="76"/>
        <v>0.84</v>
      </c>
      <c r="X326" s="16" t="str">
        <f>VLOOKUP(B326,[1]Kundenübersicht!E:AG,MATCH($X$3,[1]Kundenübersicht!$E$3:$AY$3,0),FALSE)</f>
        <v>Neu</v>
      </c>
      <c r="Z326" s="20" t="str">
        <f t="shared" si="77"/>
        <v>Ja</v>
      </c>
      <c r="AA326" s="19">
        <v>46062</v>
      </c>
      <c r="AC326" s="19"/>
      <c r="AE326" s="9">
        <f t="shared" ref="AE326:AE389" si="78">YEAR(C326)</f>
        <v>2025</v>
      </c>
      <c r="AF326" s="17" t="str">
        <f t="shared" ref="AF326:AF389" si="79">IF(MONTH(C326)&lt;=9,"0"&amp;MONTH(C326)&amp;"."&amp;YEAR(C326),MONTH(C326)&amp;"."&amp;YEAR(C326))</f>
        <v>12.2025</v>
      </c>
      <c r="AG326" s="17" t="str">
        <f t="shared" ref="AG326:AG389" si="80">IF(H326="","",H326)</f>
        <v>Janet Klitzsch</v>
      </c>
      <c r="AH326" s="17" t="str">
        <f>IFERROR(VLOOKUP(B326,[1]Kundenübersicht!$E$4:$F$85,2,FALSE),"")</f>
        <v>Lianne Kröher</v>
      </c>
      <c r="AI326" s="17" t="str">
        <f t="shared" si="71"/>
        <v>Hauswirtschaft</v>
      </c>
      <c r="AJ326" s="17" t="str">
        <f t="shared" si="71"/>
        <v>Entlastungsleistung</v>
      </c>
      <c r="AL326" s="18">
        <f t="shared" si="72"/>
        <v>38</v>
      </c>
      <c r="AM326" s="18">
        <f t="shared" si="73"/>
        <v>75.999999999999929</v>
      </c>
      <c r="AN326" s="18">
        <f t="shared" si="74"/>
        <v>0.84</v>
      </c>
    </row>
    <row r="327" spans="2:40" x14ac:dyDescent="0.25">
      <c r="B327" s="30" t="s">
        <v>45</v>
      </c>
      <c r="C327" s="31">
        <v>45995</v>
      </c>
      <c r="D327" s="32">
        <v>0.64583333333333337</v>
      </c>
      <c r="E327" s="32">
        <v>0.70833333333333337</v>
      </c>
      <c r="F327" s="12">
        <f t="shared" si="69"/>
        <v>1.5</v>
      </c>
      <c r="G327" s="12">
        <v>3.6</v>
      </c>
      <c r="H327" s="30" t="s">
        <v>77</v>
      </c>
      <c r="I327" s="30" t="s">
        <v>41</v>
      </c>
      <c r="J327" s="30" t="s">
        <v>28</v>
      </c>
      <c r="K327" s="28" t="s">
        <v>47</v>
      </c>
      <c r="L327" s="29">
        <v>109990508</v>
      </c>
      <c r="M327" s="29" t="s">
        <v>48</v>
      </c>
      <c r="N327" s="13" t="str">
        <f>IFERROR(VLOOKUP(B327,[1]Kundenübersicht!$E$4:$AC$1003,MATCH(N$3,[1]Kundenübersicht!$E$3:$BA$3,FALSE),FALSE),"")</f>
        <v>PG 1</v>
      </c>
      <c r="P327" s="9" t="s">
        <v>29</v>
      </c>
      <c r="R327" s="9" t="str">
        <f t="shared" si="64"/>
        <v>Unterschrieben</v>
      </c>
      <c r="S327" s="14" t="s">
        <v>31</v>
      </c>
      <c r="U327" s="15">
        <f>IF(YEAR(C327)&lt;=2025,IFERROR(IF(I327="Hauswirtschaft",VLOOKUP($B327,[1]Kundenübersicht!$E$4:$BA$1003,MATCH("Hauswirtschaft [€/Stunde]",[1]Kundenübersicht!$E$3:$BA$3,FALSE),FALSE),VLOOKUP($B327,[1]Kundenübersicht!$E$4:$BA$1003,MATCH("Alltagsbegleitung [€/Stunde]",[1]Kundenübersicht!$E$3:$BA$3,FALSE),FALSE)),0),IFERROR(IF(I327="Hauswirtschaft",VLOOKUP($B327,[1]Kundenübersicht!$E$4:$BA$1003,MATCH("HW ab 2026 [€/Stunde]",[1]Kundenübersicht!$E$3:$BA$3,FALSE),FALSE),VLOOKUP($B327,[1]Kundenübersicht!$E$4:$BA$1003,MATCH("Alltagsbegleitung [€/Stunde]",[1]Kundenübersicht!$E$3:$BA$3,FALSE),FALSE)),0))</f>
        <v>42</v>
      </c>
      <c r="V327" s="16">
        <f t="shared" si="70"/>
        <v>63</v>
      </c>
      <c r="W327" s="16">
        <f t="shared" si="76"/>
        <v>0</v>
      </c>
      <c r="X327" s="16" t="str">
        <f>VLOOKUP(B327,[1]Kundenübersicht!E:AG,MATCH($X$3,[1]Kundenübersicht!$E$3:$AY$3,0),FALSE)</f>
        <v>Alt</v>
      </c>
      <c r="Z327" s="20" t="s">
        <v>29</v>
      </c>
      <c r="AA327" s="19">
        <v>46062</v>
      </c>
      <c r="AC327" s="19"/>
      <c r="AE327" s="9">
        <f t="shared" si="78"/>
        <v>2025</v>
      </c>
      <c r="AF327" s="17" t="str">
        <f t="shared" si="79"/>
        <v>12.2025</v>
      </c>
      <c r="AG327" s="17" t="str">
        <f t="shared" si="80"/>
        <v>Janet Klitzsch</v>
      </c>
      <c r="AH327" s="17" t="str">
        <f>IFERROR(VLOOKUP(B327,[1]Kundenübersicht!$E$4:$F$85,2,FALSE),"")</f>
        <v>Hella Reißig</v>
      </c>
      <c r="AI327" s="17" t="str">
        <f t="shared" si="71"/>
        <v>Alltagsbegleitung</v>
      </c>
      <c r="AJ327" s="17" t="str">
        <f t="shared" si="71"/>
        <v>Entlastungsleistung</v>
      </c>
      <c r="AL327" s="18">
        <f t="shared" si="72"/>
        <v>42</v>
      </c>
      <c r="AM327" s="18">
        <f t="shared" si="73"/>
        <v>63</v>
      </c>
      <c r="AN327" s="18">
        <f t="shared" si="74"/>
        <v>1.26</v>
      </c>
    </row>
    <row r="328" spans="2:40" x14ac:dyDescent="0.25">
      <c r="B328" s="30" t="s">
        <v>45</v>
      </c>
      <c r="C328" s="31">
        <v>46001</v>
      </c>
      <c r="D328" s="32">
        <v>0.64583333333333337</v>
      </c>
      <c r="E328" s="32">
        <v>0.70833333333333337</v>
      </c>
      <c r="F328" s="12">
        <f t="shared" si="69"/>
        <v>1.5</v>
      </c>
      <c r="G328" s="12">
        <v>3.6</v>
      </c>
      <c r="H328" s="30" t="s">
        <v>77</v>
      </c>
      <c r="I328" s="30" t="s">
        <v>27</v>
      </c>
      <c r="J328" s="30" t="s">
        <v>28</v>
      </c>
      <c r="K328" s="28" t="s">
        <v>47</v>
      </c>
      <c r="L328" s="29">
        <v>109990508</v>
      </c>
      <c r="M328" s="29" t="s">
        <v>48</v>
      </c>
      <c r="N328" s="13" t="str">
        <f>IFERROR(VLOOKUP(B328,[1]Kundenübersicht!$E$4:$AC$1003,MATCH(N$3,[1]Kundenübersicht!$E$3:$BA$3,FALSE),FALSE),"")</f>
        <v>PG 1</v>
      </c>
      <c r="P328" s="9" t="s">
        <v>29</v>
      </c>
      <c r="R328" s="9" t="str">
        <f t="shared" si="64"/>
        <v>Unterschrieben</v>
      </c>
      <c r="S328" s="14" t="s">
        <v>31</v>
      </c>
      <c r="U328" s="15">
        <f>IF(YEAR(C328)&lt;=2025,IFERROR(IF(I328="Hauswirtschaft",VLOOKUP($B328,[1]Kundenübersicht!$E$4:$BA$1003,MATCH("Hauswirtschaft [€/Stunde]",[1]Kundenübersicht!$E$3:$BA$3,FALSE),FALSE),VLOOKUP($B328,[1]Kundenübersicht!$E$4:$BA$1003,MATCH("Alltagsbegleitung [€/Stunde]",[1]Kundenübersicht!$E$3:$BA$3,FALSE),FALSE)),0),IFERROR(IF(I328="Hauswirtschaft",VLOOKUP($B328,[1]Kundenübersicht!$E$4:$BA$1003,MATCH("HW ab 2026 [€/Stunde]",[1]Kundenübersicht!$E$3:$BA$3,FALSE),FALSE),VLOOKUP($B328,[1]Kundenübersicht!$E$4:$BA$1003,MATCH("Alltagsbegleitung [€/Stunde]",[1]Kundenübersicht!$E$3:$BA$3,FALSE),FALSE)),0))</f>
        <v>32.75</v>
      </c>
      <c r="V328" s="16">
        <f t="shared" si="70"/>
        <v>49.125</v>
      </c>
      <c r="W328" s="16">
        <f t="shared" si="76"/>
        <v>0</v>
      </c>
      <c r="X328" s="16" t="str">
        <f>VLOOKUP(B328,[1]Kundenübersicht!E:AG,MATCH($X$3,[1]Kundenübersicht!$E$3:$AY$3,0),FALSE)</f>
        <v>Alt</v>
      </c>
      <c r="Z328" s="20" t="s">
        <v>29</v>
      </c>
      <c r="AA328" s="19">
        <v>46062</v>
      </c>
      <c r="AC328" s="19"/>
      <c r="AE328" s="9">
        <f t="shared" si="78"/>
        <v>2025</v>
      </c>
      <c r="AF328" s="17" t="str">
        <f t="shared" si="79"/>
        <v>12.2025</v>
      </c>
      <c r="AG328" s="17" t="str">
        <f t="shared" si="80"/>
        <v>Janet Klitzsch</v>
      </c>
      <c r="AH328" s="17" t="str">
        <f>IFERROR(VLOOKUP(B328,[1]Kundenübersicht!$E$4:$F$85,2,FALSE),"")</f>
        <v>Hella Reißig</v>
      </c>
      <c r="AI328" s="17" t="str">
        <f t="shared" si="71"/>
        <v>Hauswirtschaft</v>
      </c>
      <c r="AJ328" s="17" t="str">
        <f t="shared" si="71"/>
        <v>Entlastungsleistung</v>
      </c>
      <c r="AL328" s="18">
        <f t="shared" si="72"/>
        <v>38</v>
      </c>
      <c r="AM328" s="18">
        <f t="shared" si="73"/>
        <v>57</v>
      </c>
      <c r="AN328" s="18">
        <f t="shared" si="74"/>
        <v>1.26</v>
      </c>
    </row>
    <row r="329" spans="2:40" x14ac:dyDescent="0.25">
      <c r="B329" s="30" t="s">
        <v>45</v>
      </c>
      <c r="C329" s="31">
        <v>46009</v>
      </c>
      <c r="D329" s="32">
        <v>0.60416666666666663</v>
      </c>
      <c r="E329" s="32">
        <v>0.66666666666666663</v>
      </c>
      <c r="F329" s="12">
        <f t="shared" si="69"/>
        <v>1.5</v>
      </c>
      <c r="G329" s="12">
        <v>3.6</v>
      </c>
      <c r="H329" s="30" t="s">
        <v>77</v>
      </c>
      <c r="I329" s="30" t="s">
        <v>41</v>
      </c>
      <c r="J329" s="30" t="s">
        <v>28</v>
      </c>
      <c r="K329" s="28" t="s">
        <v>47</v>
      </c>
      <c r="L329" s="29">
        <v>109990508</v>
      </c>
      <c r="M329" s="29" t="s">
        <v>48</v>
      </c>
      <c r="N329" s="13" t="str">
        <f>IFERROR(VLOOKUP(B329,[1]Kundenübersicht!$E$4:$AC$1003,MATCH(N$3,[1]Kundenübersicht!$E$3:$BA$3,FALSE),FALSE),"")</f>
        <v>PG 1</v>
      </c>
      <c r="P329" s="9" t="s">
        <v>29</v>
      </c>
      <c r="R329" s="9" t="str">
        <f t="shared" si="64"/>
        <v>Unterschrieben</v>
      </c>
      <c r="S329" s="14" t="s">
        <v>31</v>
      </c>
      <c r="U329" s="15">
        <f>IF(YEAR(C329)&lt;=2025,IFERROR(IF(I329="Hauswirtschaft",VLOOKUP($B329,[1]Kundenübersicht!$E$4:$BA$1003,MATCH("Hauswirtschaft [€/Stunde]",[1]Kundenübersicht!$E$3:$BA$3,FALSE),FALSE),VLOOKUP($B329,[1]Kundenübersicht!$E$4:$BA$1003,MATCH("Alltagsbegleitung [€/Stunde]",[1]Kundenübersicht!$E$3:$BA$3,FALSE),FALSE)),0),IFERROR(IF(I329="Hauswirtschaft",VLOOKUP($B329,[1]Kundenübersicht!$E$4:$BA$1003,MATCH("HW ab 2026 [€/Stunde]",[1]Kundenübersicht!$E$3:$BA$3,FALSE),FALSE),VLOOKUP($B329,[1]Kundenübersicht!$E$4:$BA$1003,MATCH("Alltagsbegleitung [€/Stunde]",[1]Kundenübersicht!$E$3:$BA$3,FALSE),FALSE)),0))</f>
        <v>42</v>
      </c>
      <c r="V329" s="16">
        <f t="shared" si="70"/>
        <v>63</v>
      </c>
      <c r="W329" s="16">
        <f t="shared" si="76"/>
        <v>0</v>
      </c>
      <c r="X329" s="16" t="str">
        <f>VLOOKUP(B329,[1]Kundenübersicht!E:AG,MATCH($X$3,[1]Kundenübersicht!$E$3:$AY$3,0),FALSE)</f>
        <v>Alt</v>
      </c>
      <c r="Z329" s="20" t="s">
        <v>29</v>
      </c>
      <c r="AA329" s="19">
        <v>46062</v>
      </c>
      <c r="AC329" s="19"/>
      <c r="AE329" s="9">
        <f t="shared" si="78"/>
        <v>2025</v>
      </c>
      <c r="AF329" s="17" t="str">
        <f t="shared" si="79"/>
        <v>12.2025</v>
      </c>
      <c r="AG329" s="17" t="str">
        <f t="shared" si="80"/>
        <v>Janet Klitzsch</v>
      </c>
      <c r="AH329" s="17" t="str">
        <f>IFERROR(VLOOKUP(B329,[1]Kundenübersicht!$E$4:$F$85,2,FALSE),"")</f>
        <v>Hella Reißig</v>
      </c>
      <c r="AI329" s="17" t="str">
        <f t="shared" si="71"/>
        <v>Alltagsbegleitung</v>
      </c>
      <c r="AJ329" s="17" t="str">
        <f t="shared" si="71"/>
        <v>Entlastungsleistung</v>
      </c>
      <c r="AL329" s="18">
        <f t="shared" si="72"/>
        <v>42</v>
      </c>
      <c r="AM329" s="18">
        <f t="shared" si="73"/>
        <v>63</v>
      </c>
      <c r="AN329" s="18">
        <f t="shared" si="74"/>
        <v>1.26</v>
      </c>
    </row>
    <row r="330" spans="2:40" x14ac:dyDescent="0.25">
      <c r="B330" s="30" t="s">
        <v>49</v>
      </c>
      <c r="C330" s="31">
        <v>46009</v>
      </c>
      <c r="D330" s="32">
        <v>0.60416666666666663</v>
      </c>
      <c r="E330" s="32">
        <v>0.64583333333333337</v>
      </c>
      <c r="F330" s="12">
        <f t="shared" si="69"/>
        <v>1.0000000000000018</v>
      </c>
      <c r="G330" s="12"/>
      <c r="H330" s="30" t="s">
        <v>46</v>
      </c>
      <c r="I330" s="30" t="s">
        <v>27</v>
      </c>
      <c r="J330" s="30" t="s">
        <v>28</v>
      </c>
      <c r="K330" s="9" t="str">
        <f>IFERROR(VLOOKUP($B330,[1]Kundenübersicht!$E$4:$AC$1003,MATCH(K$3,[1]Kundenübersicht!$E$3:$BA$3,FALSE),FALSE),"")</f>
        <v>AOK PLUS</v>
      </c>
      <c r="L330" s="13">
        <f>IFERROR(VLOOKUP(B330,[1]Kundenübersicht!$E$4:$AC$1003,MATCH(L$3,[1]Kundenübersicht!$E$3:$BA$3,FALSE),FALSE),"")</f>
        <v>107299005</v>
      </c>
      <c r="M330" s="13" t="str">
        <f>IFERROR(VLOOKUP(B330,[1]Kundenübersicht!$E$4:$AC$1003,MATCH(M$3,[1]Kundenübersicht!$E$3:$BA$3,FALSE),FALSE),"")</f>
        <v>T309560658</v>
      </c>
      <c r="N330" s="13" t="str">
        <f>IFERROR(VLOOKUP(B330,[1]Kundenübersicht!$E$4:$AC$1003,MATCH(N$3,[1]Kundenübersicht!$E$3:$BA$3,FALSE),FALSE),"")</f>
        <v>PG 2</v>
      </c>
      <c r="P330" s="9" t="s">
        <v>29</v>
      </c>
      <c r="R330" s="9" t="str">
        <f t="shared" si="64"/>
        <v>Unterschrieben</v>
      </c>
      <c r="S330" s="14" t="s">
        <v>31</v>
      </c>
      <c r="U330" s="15">
        <f>IF(YEAR(C330)&lt;=2025,IFERROR(IF(I330="Hauswirtschaft",VLOOKUP($B330,[1]Kundenübersicht!$E$4:$BA$1003,MATCH("Hauswirtschaft [€/Stunde]",[1]Kundenübersicht!$E$3:$BA$3,FALSE),FALSE),VLOOKUP($B330,[1]Kundenübersicht!$E$4:$BA$1003,MATCH("Alltagsbegleitung [€/Stunde]",[1]Kundenübersicht!$E$3:$BA$3,FALSE),FALSE)),0),IFERROR(IF(I330="Hauswirtschaft",VLOOKUP($B330,[1]Kundenübersicht!$E$4:$BA$1003,MATCH("HW ab 2026 [€/Stunde]",[1]Kundenübersicht!$E$3:$BA$3,FALSE),FALSE),VLOOKUP($B330,[1]Kundenübersicht!$E$4:$BA$1003,MATCH("Alltagsbegleitung [€/Stunde]",[1]Kundenübersicht!$E$3:$BA$3,FALSE),FALSE)),0))</f>
        <v>32.75</v>
      </c>
      <c r="V330" s="16">
        <f t="shared" si="70"/>
        <v>32.750000000000057</v>
      </c>
      <c r="W330" s="16">
        <f t="shared" si="76"/>
        <v>0</v>
      </c>
      <c r="X330" s="16" t="str">
        <f>VLOOKUP(B330,[1]Kundenübersicht!E:AG,MATCH($X$3,[1]Kundenübersicht!$E$3:$AY$3,0),FALSE)</f>
        <v>Alt</v>
      </c>
      <c r="Z330" s="20" t="str">
        <f t="shared" ref="Z330:Z337" si="81">IF(AA330="","Nein","Ja")</f>
        <v>Ja</v>
      </c>
      <c r="AA330" s="19">
        <v>46062</v>
      </c>
      <c r="AC330" s="19"/>
      <c r="AE330" s="9">
        <f t="shared" si="78"/>
        <v>2025</v>
      </c>
      <c r="AF330" s="17" t="str">
        <f t="shared" si="79"/>
        <v>12.2025</v>
      </c>
      <c r="AG330" s="17" t="str">
        <f t="shared" si="80"/>
        <v>Manuela Richter</v>
      </c>
      <c r="AH330" s="17" t="str">
        <f>IFERROR(VLOOKUP(B330,[1]Kundenübersicht!$E$4:$F$85,2,FALSE),"")</f>
        <v>Rita Neubert</v>
      </c>
      <c r="AI330" s="17" t="str">
        <f t="shared" si="71"/>
        <v>Hauswirtschaft</v>
      </c>
      <c r="AJ330" s="17" t="str">
        <f t="shared" si="71"/>
        <v>Entlastungsleistung</v>
      </c>
      <c r="AL330" s="18">
        <f t="shared" si="72"/>
        <v>38</v>
      </c>
      <c r="AM330" s="18">
        <f t="shared" si="73"/>
        <v>38.000000000000071</v>
      </c>
      <c r="AN330" s="18">
        <f t="shared" si="74"/>
        <v>0</v>
      </c>
    </row>
    <row r="331" spans="2:40" x14ac:dyDescent="0.25">
      <c r="B331" s="30" t="s">
        <v>50</v>
      </c>
      <c r="C331" s="31">
        <v>46003</v>
      </c>
      <c r="D331" s="32">
        <v>0.58333333333333337</v>
      </c>
      <c r="E331" s="32">
        <v>0.66666666666666663</v>
      </c>
      <c r="F331" s="12">
        <f t="shared" si="69"/>
        <v>1.9999999999999982</v>
      </c>
      <c r="G331" s="12"/>
      <c r="H331" s="30" t="s">
        <v>46</v>
      </c>
      <c r="I331" s="30" t="s">
        <v>27</v>
      </c>
      <c r="J331" s="30" t="s">
        <v>28</v>
      </c>
      <c r="K331" s="9" t="str">
        <f>IFERROR(VLOOKUP($B331,[1]Kundenübersicht!$E$4:$AC$1003,MATCH(K$3,[1]Kundenübersicht!$E$3:$BA$3,FALSE),FALSE),"")</f>
        <v>AOK PLUS</v>
      </c>
      <c r="L331" s="13">
        <f>IFERROR(VLOOKUP(B331,[1]Kundenübersicht!$E$4:$AC$1003,MATCH(L$3,[1]Kundenübersicht!$E$3:$BA$3,FALSE),FALSE),"")</f>
        <v>107299005</v>
      </c>
      <c r="M331" s="13" t="str">
        <f>IFERROR(VLOOKUP(B331,[1]Kundenübersicht!$E$4:$AC$1003,MATCH(M$3,[1]Kundenübersicht!$E$3:$BA$3,FALSE),FALSE),"")</f>
        <v>L212281967</v>
      </c>
      <c r="N331" s="13" t="str">
        <f>IFERROR(VLOOKUP(B331,[1]Kundenübersicht!$E$4:$AC$1003,MATCH(N$3,[1]Kundenübersicht!$E$3:$BA$3,FALSE),FALSE),"")</f>
        <v>PG 1</v>
      </c>
      <c r="P331" s="9" t="s">
        <v>29</v>
      </c>
      <c r="R331" s="9" t="str">
        <f t="shared" si="64"/>
        <v>Unterschrieben</v>
      </c>
      <c r="S331" s="14" t="s">
        <v>31</v>
      </c>
      <c r="U331" s="15">
        <f>IF(YEAR(C331)&lt;=2025,IFERROR(IF(I331="Hauswirtschaft",VLOOKUP($B331,[1]Kundenübersicht!$E$4:$BA$1003,MATCH("Hauswirtschaft [€/Stunde]",[1]Kundenübersicht!$E$3:$BA$3,FALSE),FALSE),VLOOKUP($B331,[1]Kundenübersicht!$E$4:$BA$1003,MATCH("Alltagsbegleitung [€/Stunde]",[1]Kundenübersicht!$E$3:$BA$3,FALSE),FALSE)),0),IFERROR(IF(I331="Hauswirtschaft",VLOOKUP($B331,[1]Kundenübersicht!$E$4:$BA$1003,MATCH("HW ab 2026 [€/Stunde]",[1]Kundenübersicht!$E$3:$BA$3,FALSE),FALSE),VLOOKUP($B331,[1]Kundenübersicht!$E$4:$BA$1003,MATCH("Alltagsbegleitung [€/Stunde]",[1]Kundenübersicht!$E$3:$BA$3,FALSE),FALSE)),0))</f>
        <v>32.75</v>
      </c>
      <c r="V331" s="16">
        <f t="shared" si="70"/>
        <v>65.499999999999943</v>
      </c>
      <c r="W331" s="16">
        <f t="shared" si="76"/>
        <v>0</v>
      </c>
      <c r="X331" s="16" t="str">
        <f>VLOOKUP(B331,[1]Kundenübersicht!E:AG,MATCH($X$3,[1]Kundenübersicht!$E$3:$AY$3,0),FALSE)</f>
        <v>Alt</v>
      </c>
      <c r="Z331" s="20" t="str">
        <f t="shared" si="81"/>
        <v>Ja</v>
      </c>
      <c r="AA331" s="19">
        <v>46062</v>
      </c>
      <c r="AC331" s="19"/>
      <c r="AE331" s="9">
        <f t="shared" si="78"/>
        <v>2025</v>
      </c>
      <c r="AF331" s="17" t="str">
        <f t="shared" si="79"/>
        <v>12.2025</v>
      </c>
      <c r="AG331" s="17" t="str">
        <f t="shared" si="80"/>
        <v>Manuela Richter</v>
      </c>
      <c r="AH331" s="17" t="str">
        <f>IFERROR(VLOOKUP(B331,[1]Kundenübersicht!$E$4:$F$85,2,FALSE),"")</f>
        <v>Lothar Krawalski</v>
      </c>
      <c r="AI331" s="17" t="str">
        <f t="shared" si="71"/>
        <v>Hauswirtschaft</v>
      </c>
      <c r="AJ331" s="17" t="str">
        <f t="shared" si="71"/>
        <v>Entlastungsleistung</v>
      </c>
      <c r="AL331" s="18">
        <f t="shared" si="72"/>
        <v>38</v>
      </c>
      <c r="AM331" s="18">
        <f t="shared" si="73"/>
        <v>75.999999999999929</v>
      </c>
      <c r="AN331" s="18">
        <f t="shared" si="74"/>
        <v>0</v>
      </c>
    </row>
    <row r="332" spans="2:40" x14ac:dyDescent="0.25">
      <c r="B332" s="30" t="s">
        <v>50</v>
      </c>
      <c r="C332" s="31">
        <v>46010</v>
      </c>
      <c r="D332" s="32">
        <v>0.58333333333333337</v>
      </c>
      <c r="E332" s="32">
        <v>0.66666666666666663</v>
      </c>
      <c r="F332" s="12">
        <f t="shared" si="69"/>
        <v>1.9999999999999982</v>
      </c>
      <c r="G332" s="12"/>
      <c r="H332" s="30" t="s">
        <v>46</v>
      </c>
      <c r="I332" s="30" t="s">
        <v>27</v>
      </c>
      <c r="J332" s="30" t="s">
        <v>28</v>
      </c>
      <c r="K332" s="9" t="str">
        <f>IFERROR(VLOOKUP($B332,[1]Kundenübersicht!$E$4:$AC$1003,MATCH(K$3,[1]Kundenübersicht!$E$3:$BA$3,FALSE),FALSE),"")</f>
        <v>AOK PLUS</v>
      </c>
      <c r="L332" s="13">
        <f>IFERROR(VLOOKUP(B332,[1]Kundenübersicht!$E$4:$AC$1003,MATCH(L$3,[1]Kundenübersicht!$E$3:$BA$3,FALSE),FALSE),"")</f>
        <v>107299005</v>
      </c>
      <c r="M332" s="13" t="str">
        <f>IFERROR(VLOOKUP(B332,[1]Kundenübersicht!$E$4:$AC$1003,MATCH(M$3,[1]Kundenübersicht!$E$3:$BA$3,FALSE),FALSE),"")</f>
        <v>L212281967</v>
      </c>
      <c r="N332" s="13" t="str">
        <f>IFERROR(VLOOKUP(B332,[1]Kundenübersicht!$E$4:$AC$1003,MATCH(N$3,[1]Kundenübersicht!$E$3:$BA$3,FALSE),FALSE),"")</f>
        <v>PG 1</v>
      </c>
      <c r="P332" s="9" t="s">
        <v>29</v>
      </c>
      <c r="R332" s="9" t="str">
        <f t="shared" si="64"/>
        <v>Unterschrieben</v>
      </c>
      <c r="S332" s="14" t="s">
        <v>31</v>
      </c>
      <c r="U332" s="15">
        <f>IF(YEAR(C332)&lt;=2025,IFERROR(IF(I332="Hauswirtschaft",VLOOKUP($B332,[1]Kundenübersicht!$E$4:$BA$1003,MATCH("Hauswirtschaft [€/Stunde]",[1]Kundenübersicht!$E$3:$BA$3,FALSE),FALSE),VLOOKUP($B332,[1]Kundenübersicht!$E$4:$BA$1003,MATCH("Alltagsbegleitung [€/Stunde]",[1]Kundenübersicht!$E$3:$BA$3,FALSE),FALSE)),0),IFERROR(IF(I332="Hauswirtschaft",VLOOKUP($B332,[1]Kundenübersicht!$E$4:$BA$1003,MATCH("HW ab 2026 [€/Stunde]",[1]Kundenübersicht!$E$3:$BA$3,FALSE),FALSE),VLOOKUP($B332,[1]Kundenübersicht!$E$4:$BA$1003,MATCH("Alltagsbegleitung [€/Stunde]",[1]Kundenübersicht!$E$3:$BA$3,FALSE),FALSE)),0))</f>
        <v>32.75</v>
      </c>
      <c r="V332" s="16">
        <f t="shared" si="70"/>
        <v>65.499999999999943</v>
      </c>
      <c r="W332" s="16">
        <f t="shared" si="76"/>
        <v>0</v>
      </c>
      <c r="X332" s="16" t="str">
        <f>VLOOKUP(B332,[1]Kundenübersicht!E:AG,MATCH($X$3,[1]Kundenübersicht!$E$3:$AY$3,0),FALSE)</f>
        <v>Alt</v>
      </c>
      <c r="Z332" s="20" t="str">
        <f t="shared" si="81"/>
        <v>Ja</v>
      </c>
      <c r="AA332" s="19">
        <v>46062</v>
      </c>
      <c r="AC332" s="19"/>
      <c r="AE332" s="9">
        <f t="shared" si="78"/>
        <v>2025</v>
      </c>
      <c r="AF332" s="17" t="str">
        <f t="shared" si="79"/>
        <v>12.2025</v>
      </c>
      <c r="AG332" s="17" t="str">
        <f t="shared" si="80"/>
        <v>Manuela Richter</v>
      </c>
      <c r="AH332" s="17" t="str">
        <f>IFERROR(VLOOKUP(B332,[1]Kundenübersicht!$E$4:$F$85,2,FALSE),"")</f>
        <v>Lothar Krawalski</v>
      </c>
      <c r="AI332" s="17" t="str">
        <f t="shared" si="71"/>
        <v>Hauswirtschaft</v>
      </c>
      <c r="AJ332" s="17" t="str">
        <f t="shared" si="71"/>
        <v>Entlastungsleistung</v>
      </c>
      <c r="AL332" s="18">
        <f t="shared" si="72"/>
        <v>38</v>
      </c>
      <c r="AM332" s="18">
        <f t="shared" si="73"/>
        <v>75.999999999999929</v>
      </c>
      <c r="AN332" s="18">
        <f t="shared" si="74"/>
        <v>0</v>
      </c>
    </row>
    <row r="333" spans="2:40" x14ac:dyDescent="0.25">
      <c r="B333" s="30" t="s">
        <v>84</v>
      </c>
      <c r="C333" s="31">
        <v>45996</v>
      </c>
      <c r="D333" s="32">
        <v>0.54166666666666663</v>
      </c>
      <c r="E333" s="32">
        <v>0.625</v>
      </c>
      <c r="F333" s="12">
        <f t="shared" si="69"/>
        <v>2.0000000000000009</v>
      </c>
      <c r="G333" s="12">
        <v>10</v>
      </c>
      <c r="H333" s="30" t="s">
        <v>85</v>
      </c>
      <c r="I333" s="30" t="s">
        <v>27</v>
      </c>
      <c r="J333" s="30" t="s">
        <v>28</v>
      </c>
      <c r="K333" s="9" t="str">
        <f>IFERROR(VLOOKUP($B333,[1]Kundenübersicht!$E$4:$AC$1003,MATCH(K$3,[1]Kundenübersicht!$E$3:$BA$3,FALSE),FALSE),"")</f>
        <v>AOK PLUS</v>
      </c>
      <c r="L333" s="13">
        <f>IFERROR(VLOOKUP(B333,[1]Kundenübersicht!$E$4:$AC$1003,MATCH(L$3,[1]Kundenübersicht!$E$3:$BA$3,FALSE),FALSE),"")</f>
        <v>107299005</v>
      </c>
      <c r="M333" s="13" t="str">
        <f>IFERROR(VLOOKUP(B333,[1]Kundenübersicht!$E$4:$AC$1003,MATCH(M$3,[1]Kundenübersicht!$E$3:$BA$3,FALSE),FALSE),"")</f>
        <v>Y905954504</v>
      </c>
      <c r="N333" s="13" t="str">
        <f>IFERROR(VLOOKUP(B333,[1]Kundenübersicht!$E$4:$AC$1003,MATCH(N$3,[1]Kundenübersicht!$E$3:$BA$3,FALSE),FALSE),"")</f>
        <v>PG 1</v>
      </c>
      <c r="P333" s="9" t="s">
        <v>29</v>
      </c>
      <c r="R333" s="9" t="str">
        <f t="shared" si="64"/>
        <v>Unterschrieben</v>
      </c>
      <c r="S333" s="14" t="s">
        <v>31</v>
      </c>
      <c r="U333" s="15">
        <f>IF(YEAR(C333)&lt;=2025,IFERROR(IF(I333="Hauswirtschaft",VLOOKUP($B333,[1]Kundenübersicht!$E$4:$BA$1003,MATCH("Hauswirtschaft [€/Stunde]",[1]Kundenübersicht!$E$3:$BA$3,FALSE),FALSE),VLOOKUP($B333,[1]Kundenübersicht!$E$4:$BA$1003,MATCH("Alltagsbegleitung [€/Stunde]",[1]Kundenübersicht!$E$3:$BA$3,FALSE),FALSE)),0),IFERROR(IF(I333="Hauswirtschaft",VLOOKUP($B333,[1]Kundenübersicht!$E$4:$BA$1003,MATCH("HW ab 2026 [€/Stunde]",[1]Kundenübersicht!$E$3:$BA$3,FALSE),FALSE),VLOOKUP($B333,[1]Kundenübersicht!$E$4:$BA$1003,MATCH("Alltagsbegleitung [€/Stunde]",[1]Kundenübersicht!$E$3:$BA$3,FALSE),FALSE)),0))</f>
        <v>38</v>
      </c>
      <c r="V333" s="16">
        <f t="shared" si="70"/>
        <v>76.000000000000028</v>
      </c>
      <c r="W333" s="16">
        <f t="shared" si="76"/>
        <v>3.5</v>
      </c>
      <c r="X333" s="16" t="str">
        <f>VLOOKUP(B333,[1]Kundenübersicht!E:AG,MATCH($X$3,[1]Kundenübersicht!$E$3:$AY$3,0),FALSE)</f>
        <v>Neu</v>
      </c>
      <c r="Z333" s="20" t="str">
        <f t="shared" si="81"/>
        <v>Ja</v>
      </c>
      <c r="AA333" s="19">
        <v>46062</v>
      </c>
      <c r="AC333" s="19"/>
      <c r="AE333" s="9">
        <f t="shared" si="78"/>
        <v>2025</v>
      </c>
      <c r="AF333" s="17" t="str">
        <f t="shared" si="79"/>
        <v>12.2025</v>
      </c>
      <c r="AG333" s="17" t="str">
        <f t="shared" si="80"/>
        <v>Naji El Ali</v>
      </c>
      <c r="AH333" s="17" t="str">
        <f>IFERROR(VLOOKUP(B333,[1]Kundenübersicht!$E$4:$F$85,2,FALSE),"")</f>
        <v>Rene Janek-Göbel</v>
      </c>
      <c r="AI333" s="17" t="str">
        <f t="shared" si="71"/>
        <v>Hauswirtschaft</v>
      </c>
      <c r="AJ333" s="17" t="str">
        <f t="shared" si="71"/>
        <v>Entlastungsleistung</v>
      </c>
      <c r="AL333" s="18">
        <f t="shared" si="72"/>
        <v>38</v>
      </c>
      <c r="AM333" s="18">
        <f t="shared" si="73"/>
        <v>76.000000000000028</v>
      </c>
      <c r="AN333" s="18">
        <f t="shared" si="74"/>
        <v>3.5</v>
      </c>
    </row>
    <row r="334" spans="2:40" x14ac:dyDescent="0.25">
      <c r="B334" s="30" t="s">
        <v>84</v>
      </c>
      <c r="C334" s="31">
        <v>46003</v>
      </c>
      <c r="D334" s="32">
        <v>0.45833333333333331</v>
      </c>
      <c r="E334" s="32">
        <v>0.5</v>
      </c>
      <c r="F334" s="12">
        <f t="shared" si="69"/>
        <v>1.0000000000000004</v>
      </c>
      <c r="G334" s="12">
        <v>10</v>
      </c>
      <c r="H334" s="30" t="s">
        <v>85</v>
      </c>
      <c r="I334" s="30" t="s">
        <v>27</v>
      </c>
      <c r="J334" s="30" t="s">
        <v>28</v>
      </c>
      <c r="K334" s="9" t="str">
        <f>IFERROR(VLOOKUP($B334,[1]Kundenübersicht!$E$4:$AC$1003,MATCH(K$3,[1]Kundenübersicht!$E$3:$BA$3,FALSE),FALSE),"")</f>
        <v>AOK PLUS</v>
      </c>
      <c r="L334" s="13">
        <f>IFERROR(VLOOKUP(B334,[1]Kundenübersicht!$E$4:$AC$1003,MATCH(L$3,[1]Kundenübersicht!$E$3:$BA$3,FALSE),FALSE),"")</f>
        <v>107299005</v>
      </c>
      <c r="M334" s="13" t="str">
        <f>IFERROR(VLOOKUP(B334,[1]Kundenübersicht!$E$4:$AC$1003,MATCH(M$3,[1]Kundenübersicht!$E$3:$BA$3,FALSE),FALSE),"")</f>
        <v>Y905954504</v>
      </c>
      <c r="N334" s="13" t="str">
        <f>IFERROR(VLOOKUP(B334,[1]Kundenübersicht!$E$4:$AC$1003,MATCH(N$3,[1]Kundenübersicht!$E$3:$BA$3,FALSE),FALSE),"")</f>
        <v>PG 1</v>
      </c>
      <c r="P334" s="9" t="s">
        <v>29</v>
      </c>
      <c r="R334" s="9" t="str">
        <f t="shared" si="64"/>
        <v>Unterschrieben</v>
      </c>
      <c r="S334" s="14" t="s">
        <v>31</v>
      </c>
      <c r="U334" s="15">
        <f>IF(YEAR(C334)&lt;=2025,IFERROR(IF(I334="Hauswirtschaft",VLOOKUP($B334,[1]Kundenübersicht!$E$4:$BA$1003,MATCH("Hauswirtschaft [€/Stunde]",[1]Kundenübersicht!$E$3:$BA$3,FALSE),FALSE),VLOOKUP($B334,[1]Kundenübersicht!$E$4:$BA$1003,MATCH("Alltagsbegleitung [€/Stunde]",[1]Kundenübersicht!$E$3:$BA$3,FALSE),FALSE)),0),IFERROR(IF(I334="Hauswirtschaft",VLOOKUP($B334,[1]Kundenübersicht!$E$4:$BA$1003,MATCH("HW ab 2026 [€/Stunde]",[1]Kundenübersicht!$E$3:$BA$3,FALSE),FALSE),VLOOKUP($B334,[1]Kundenübersicht!$E$4:$BA$1003,MATCH("Alltagsbegleitung [€/Stunde]",[1]Kundenübersicht!$E$3:$BA$3,FALSE),FALSE)),0))</f>
        <v>38</v>
      </c>
      <c r="V334" s="16">
        <f t="shared" si="70"/>
        <v>38.000000000000014</v>
      </c>
      <c r="W334" s="16">
        <f t="shared" si="76"/>
        <v>3.5</v>
      </c>
      <c r="X334" s="16" t="str">
        <f>VLOOKUP(B334,[1]Kundenübersicht!E:AG,MATCH($X$3,[1]Kundenübersicht!$E$3:$AY$3,0),FALSE)</f>
        <v>Neu</v>
      </c>
      <c r="Z334" s="20" t="str">
        <f t="shared" si="81"/>
        <v>Ja</v>
      </c>
      <c r="AA334" s="19">
        <v>46062</v>
      </c>
      <c r="AC334" s="19"/>
      <c r="AE334" s="9">
        <f t="shared" si="78"/>
        <v>2025</v>
      </c>
      <c r="AF334" s="17" t="str">
        <f t="shared" si="79"/>
        <v>12.2025</v>
      </c>
      <c r="AG334" s="17" t="str">
        <f t="shared" si="80"/>
        <v>Naji El Ali</v>
      </c>
      <c r="AH334" s="17" t="str">
        <f>IFERROR(VLOOKUP(B334,[1]Kundenübersicht!$E$4:$F$85,2,FALSE),"")</f>
        <v>Rene Janek-Göbel</v>
      </c>
      <c r="AI334" s="17" t="str">
        <f t="shared" si="71"/>
        <v>Hauswirtschaft</v>
      </c>
      <c r="AJ334" s="17" t="str">
        <f t="shared" si="71"/>
        <v>Entlastungsleistung</v>
      </c>
      <c r="AL334" s="18">
        <f t="shared" si="72"/>
        <v>38</v>
      </c>
      <c r="AM334" s="18">
        <f t="shared" si="73"/>
        <v>38.000000000000014</v>
      </c>
      <c r="AN334" s="18">
        <f t="shared" si="74"/>
        <v>3.5</v>
      </c>
    </row>
    <row r="335" spans="2:40" x14ac:dyDescent="0.25">
      <c r="B335" s="30" t="s">
        <v>84</v>
      </c>
      <c r="C335" s="31">
        <v>46007</v>
      </c>
      <c r="D335" s="32">
        <v>0.45833333333333331</v>
      </c>
      <c r="E335" s="32">
        <v>0.5</v>
      </c>
      <c r="F335" s="12">
        <f t="shared" si="69"/>
        <v>1.0000000000000004</v>
      </c>
      <c r="G335" s="12">
        <v>10</v>
      </c>
      <c r="H335" s="30" t="s">
        <v>85</v>
      </c>
      <c r="I335" s="30" t="s">
        <v>27</v>
      </c>
      <c r="J335" s="30" t="s">
        <v>28</v>
      </c>
      <c r="K335" s="9" t="str">
        <f>IFERROR(VLOOKUP($B335,[1]Kundenübersicht!$E$4:$AC$1003,MATCH(K$3,[1]Kundenübersicht!$E$3:$BA$3,FALSE),FALSE),"")</f>
        <v>AOK PLUS</v>
      </c>
      <c r="L335" s="13">
        <f>IFERROR(VLOOKUP(B335,[1]Kundenübersicht!$E$4:$AC$1003,MATCH(L$3,[1]Kundenübersicht!$E$3:$BA$3,FALSE),FALSE),"")</f>
        <v>107299005</v>
      </c>
      <c r="M335" s="13" t="str">
        <f>IFERROR(VLOOKUP(B335,[1]Kundenübersicht!$E$4:$AC$1003,MATCH(M$3,[1]Kundenübersicht!$E$3:$BA$3,FALSE),FALSE),"")</f>
        <v>Y905954504</v>
      </c>
      <c r="N335" s="13" t="str">
        <f>IFERROR(VLOOKUP(B335,[1]Kundenübersicht!$E$4:$AC$1003,MATCH(N$3,[1]Kundenübersicht!$E$3:$BA$3,FALSE),FALSE),"")</f>
        <v>PG 1</v>
      </c>
      <c r="P335" s="9" t="s">
        <v>29</v>
      </c>
      <c r="R335" s="9" t="str">
        <f t="shared" si="64"/>
        <v>Unterschrieben</v>
      </c>
      <c r="S335" s="14" t="s">
        <v>31</v>
      </c>
      <c r="U335" s="15">
        <f>IF(YEAR(C335)&lt;=2025,IFERROR(IF(I335="Hauswirtschaft",VLOOKUP($B335,[1]Kundenübersicht!$E$4:$BA$1003,MATCH("Hauswirtschaft [€/Stunde]",[1]Kundenübersicht!$E$3:$BA$3,FALSE),FALSE),VLOOKUP($B335,[1]Kundenübersicht!$E$4:$BA$1003,MATCH("Alltagsbegleitung [€/Stunde]",[1]Kundenübersicht!$E$3:$BA$3,FALSE),FALSE)),0),IFERROR(IF(I335="Hauswirtschaft",VLOOKUP($B335,[1]Kundenübersicht!$E$4:$BA$1003,MATCH("HW ab 2026 [€/Stunde]",[1]Kundenübersicht!$E$3:$BA$3,FALSE),FALSE),VLOOKUP($B335,[1]Kundenübersicht!$E$4:$BA$1003,MATCH("Alltagsbegleitung [€/Stunde]",[1]Kundenübersicht!$E$3:$BA$3,FALSE),FALSE)),0))</f>
        <v>38</v>
      </c>
      <c r="V335" s="16">
        <f t="shared" si="70"/>
        <v>38.000000000000014</v>
      </c>
      <c r="W335" s="16">
        <f t="shared" si="76"/>
        <v>3.5</v>
      </c>
      <c r="X335" s="16" t="str">
        <f>VLOOKUP(B335,[1]Kundenübersicht!E:AG,MATCH($X$3,[1]Kundenübersicht!$E$3:$AY$3,0),FALSE)</f>
        <v>Neu</v>
      </c>
      <c r="Z335" s="20" t="str">
        <f t="shared" si="81"/>
        <v>Ja</v>
      </c>
      <c r="AA335" s="19">
        <v>46062</v>
      </c>
      <c r="AC335" s="19"/>
      <c r="AE335" s="9">
        <f t="shared" si="78"/>
        <v>2025</v>
      </c>
      <c r="AF335" s="17" t="str">
        <f t="shared" si="79"/>
        <v>12.2025</v>
      </c>
      <c r="AG335" s="17" t="str">
        <f t="shared" si="80"/>
        <v>Naji El Ali</v>
      </c>
      <c r="AH335" s="17" t="str">
        <f>IFERROR(VLOOKUP(B335,[1]Kundenübersicht!$E$4:$F$85,2,FALSE),"")</f>
        <v>Rene Janek-Göbel</v>
      </c>
      <c r="AI335" s="17" t="str">
        <f t="shared" si="71"/>
        <v>Hauswirtschaft</v>
      </c>
      <c r="AJ335" s="17" t="str">
        <f t="shared" si="71"/>
        <v>Entlastungsleistung</v>
      </c>
      <c r="AL335" s="18">
        <f t="shared" si="72"/>
        <v>38</v>
      </c>
      <c r="AM335" s="18">
        <f t="shared" si="73"/>
        <v>38.000000000000014</v>
      </c>
      <c r="AN335" s="18">
        <f t="shared" si="74"/>
        <v>3.5</v>
      </c>
    </row>
    <row r="336" spans="2:40" x14ac:dyDescent="0.25">
      <c r="B336" s="30" t="s">
        <v>84</v>
      </c>
      <c r="C336" s="31">
        <v>46013</v>
      </c>
      <c r="D336" s="32">
        <v>0.45833333333333331</v>
      </c>
      <c r="E336" s="32">
        <v>0.5</v>
      </c>
      <c r="F336" s="12">
        <f t="shared" si="69"/>
        <v>1.0000000000000004</v>
      </c>
      <c r="G336" s="12">
        <v>10</v>
      </c>
      <c r="H336" s="30" t="s">
        <v>85</v>
      </c>
      <c r="I336" s="30" t="s">
        <v>27</v>
      </c>
      <c r="J336" s="30" t="s">
        <v>28</v>
      </c>
      <c r="K336" s="9" t="str">
        <f>IFERROR(VLOOKUP($B336,[1]Kundenübersicht!$E$4:$AC$1003,MATCH(K$3,[1]Kundenübersicht!$E$3:$BA$3,FALSE),FALSE),"")</f>
        <v>AOK PLUS</v>
      </c>
      <c r="L336" s="13">
        <f>IFERROR(VLOOKUP(B336,[1]Kundenübersicht!$E$4:$AC$1003,MATCH(L$3,[1]Kundenübersicht!$E$3:$BA$3,FALSE),FALSE),"")</f>
        <v>107299005</v>
      </c>
      <c r="M336" s="13" t="str">
        <f>IFERROR(VLOOKUP(B336,[1]Kundenübersicht!$E$4:$AC$1003,MATCH(M$3,[1]Kundenübersicht!$E$3:$BA$3,FALSE),FALSE),"")</f>
        <v>Y905954504</v>
      </c>
      <c r="N336" s="13" t="str">
        <f>IFERROR(VLOOKUP(B336,[1]Kundenübersicht!$E$4:$AC$1003,MATCH(N$3,[1]Kundenübersicht!$E$3:$BA$3,FALSE),FALSE),"")</f>
        <v>PG 1</v>
      </c>
      <c r="P336" s="9" t="s">
        <v>29</v>
      </c>
      <c r="R336" s="9" t="str">
        <f t="shared" si="64"/>
        <v>Unterschrieben</v>
      </c>
      <c r="S336" s="14" t="s">
        <v>31</v>
      </c>
      <c r="U336" s="15">
        <f>IF(YEAR(C336)&lt;=2025,IFERROR(IF(I336="Hauswirtschaft",VLOOKUP($B336,[1]Kundenübersicht!$E$4:$BA$1003,MATCH("Hauswirtschaft [€/Stunde]",[1]Kundenübersicht!$E$3:$BA$3,FALSE),FALSE),VLOOKUP($B336,[1]Kundenübersicht!$E$4:$BA$1003,MATCH("Alltagsbegleitung [€/Stunde]",[1]Kundenübersicht!$E$3:$BA$3,FALSE),FALSE)),0),IFERROR(IF(I336="Hauswirtschaft",VLOOKUP($B336,[1]Kundenübersicht!$E$4:$BA$1003,MATCH("HW ab 2026 [€/Stunde]",[1]Kundenübersicht!$E$3:$BA$3,FALSE),FALSE),VLOOKUP($B336,[1]Kundenübersicht!$E$4:$BA$1003,MATCH("Alltagsbegleitung [€/Stunde]",[1]Kundenübersicht!$E$3:$BA$3,FALSE),FALSE)),0))</f>
        <v>38</v>
      </c>
      <c r="V336" s="16">
        <f t="shared" si="70"/>
        <v>38.000000000000014</v>
      </c>
      <c r="W336" s="16">
        <f t="shared" si="76"/>
        <v>3.5</v>
      </c>
      <c r="X336" s="16" t="str">
        <f>VLOOKUP(B336,[1]Kundenübersicht!E:AG,MATCH($X$3,[1]Kundenübersicht!$E$3:$AY$3,0),FALSE)</f>
        <v>Neu</v>
      </c>
      <c r="Z336" s="20" t="str">
        <f t="shared" si="81"/>
        <v>Ja</v>
      </c>
      <c r="AA336" s="19">
        <v>46062</v>
      </c>
      <c r="AC336" s="19"/>
      <c r="AE336" s="9">
        <f t="shared" si="78"/>
        <v>2025</v>
      </c>
      <c r="AF336" s="17" t="str">
        <f t="shared" si="79"/>
        <v>12.2025</v>
      </c>
      <c r="AG336" s="17" t="str">
        <f t="shared" si="80"/>
        <v>Naji El Ali</v>
      </c>
      <c r="AH336" s="17" t="str">
        <f>IFERROR(VLOOKUP(B336,[1]Kundenübersicht!$E$4:$F$85,2,FALSE),"")</f>
        <v>Rene Janek-Göbel</v>
      </c>
      <c r="AI336" s="17" t="str">
        <f t="shared" si="71"/>
        <v>Hauswirtschaft</v>
      </c>
      <c r="AJ336" s="17" t="str">
        <f t="shared" si="71"/>
        <v>Entlastungsleistung</v>
      </c>
      <c r="AL336" s="18">
        <f t="shared" si="72"/>
        <v>38</v>
      </c>
      <c r="AM336" s="18">
        <f t="shared" si="73"/>
        <v>38.000000000000014</v>
      </c>
      <c r="AN336" s="18">
        <f t="shared" si="74"/>
        <v>3.5</v>
      </c>
    </row>
    <row r="337" spans="2:40" x14ac:dyDescent="0.25">
      <c r="B337" s="30" t="s">
        <v>84</v>
      </c>
      <c r="C337" s="31">
        <v>46020</v>
      </c>
      <c r="D337" s="32">
        <v>0.54166666666666663</v>
      </c>
      <c r="E337" s="32">
        <v>0.58333333333333337</v>
      </c>
      <c r="F337" s="12">
        <f t="shared" si="69"/>
        <v>1.0000000000000018</v>
      </c>
      <c r="G337" s="12">
        <v>10</v>
      </c>
      <c r="H337" s="30" t="s">
        <v>85</v>
      </c>
      <c r="I337" s="30" t="s">
        <v>27</v>
      </c>
      <c r="J337" s="30" t="s">
        <v>28</v>
      </c>
      <c r="K337" s="9" t="str">
        <f>IFERROR(VLOOKUP($B337,[1]Kundenübersicht!$E$4:$AC$1003,MATCH(K$3,[1]Kundenübersicht!$E$3:$BA$3,FALSE),FALSE),"")</f>
        <v>AOK PLUS</v>
      </c>
      <c r="L337" s="13">
        <f>IFERROR(VLOOKUP(B337,[1]Kundenübersicht!$E$4:$AC$1003,MATCH(L$3,[1]Kundenübersicht!$E$3:$BA$3,FALSE),FALSE),"")</f>
        <v>107299005</v>
      </c>
      <c r="M337" s="13" t="str">
        <f>IFERROR(VLOOKUP(B337,[1]Kundenübersicht!$E$4:$AC$1003,MATCH(M$3,[1]Kundenübersicht!$E$3:$BA$3,FALSE),FALSE),"")</f>
        <v>Y905954504</v>
      </c>
      <c r="N337" s="13" t="str">
        <f>IFERROR(VLOOKUP(B337,[1]Kundenübersicht!$E$4:$AC$1003,MATCH(N$3,[1]Kundenübersicht!$E$3:$BA$3,FALSE),FALSE),"")</f>
        <v>PG 1</v>
      </c>
      <c r="P337" s="9" t="s">
        <v>29</v>
      </c>
      <c r="R337" s="9" t="str">
        <f t="shared" si="64"/>
        <v>Unterschrieben</v>
      </c>
      <c r="S337" s="14" t="s">
        <v>31</v>
      </c>
      <c r="U337" s="15">
        <f>IF(YEAR(C337)&lt;=2025,IFERROR(IF(I337="Hauswirtschaft",VLOOKUP($B337,[1]Kundenübersicht!$E$4:$BA$1003,MATCH("Hauswirtschaft [€/Stunde]",[1]Kundenübersicht!$E$3:$BA$3,FALSE),FALSE),VLOOKUP($B337,[1]Kundenübersicht!$E$4:$BA$1003,MATCH("Alltagsbegleitung [€/Stunde]",[1]Kundenübersicht!$E$3:$BA$3,FALSE),FALSE)),0),IFERROR(IF(I337="Hauswirtschaft",VLOOKUP($B337,[1]Kundenübersicht!$E$4:$BA$1003,MATCH("HW ab 2026 [€/Stunde]",[1]Kundenübersicht!$E$3:$BA$3,FALSE),FALSE),VLOOKUP($B337,[1]Kundenübersicht!$E$4:$BA$1003,MATCH("Alltagsbegleitung [€/Stunde]",[1]Kundenübersicht!$E$3:$BA$3,FALSE),FALSE)),0))</f>
        <v>38</v>
      </c>
      <c r="V337" s="16">
        <f t="shared" si="70"/>
        <v>38.000000000000071</v>
      </c>
      <c r="W337" s="16">
        <f t="shared" si="76"/>
        <v>3.5</v>
      </c>
      <c r="X337" s="16" t="str">
        <f>VLOOKUP(B337,[1]Kundenübersicht!E:AG,MATCH($X$3,[1]Kundenübersicht!$E$3:$AY$3,0),FALSE)</f>
        <v>Neu</v>
      </c>
      <c r="Z337" s="20" t="str">
        <f t="shared" si="81"/>
        <v>Ja</v>
      </c>
      <c r="AA337" s="19">
        <v>46062</v>
      </c>
      <c r="AC337" s="19"/>
      <c r="AE337" s="9">
        <f t="shared" si="78"/>
        <v>2025</v>
      </c>
      <c r="AF337" s="17" t="str">
        <f t="shared" si="79"/>
        <v>12.2025</v>
      </c>
      <c r="AG337" s="17" t="str">
        <f t="shared" si="80"/>
        <v>Naji El Ali</v>
      </c>
      <c r="AH337" s="17" t="str">
        <f>IFERROR(VLOOKUP(B337,[1]Kundenübersicht!$E$4:$F$85,2,FALSE),"")</f>
        <v>Rene Janek-Göbel</v>
      </c>
      <c r="AI337" s="17" t="str">
        <f t="shared" si="71"/>
        <v>Hauswirtschaft</v>
      </c>
      <c r="AJ337" s="17" t="str">
        <f t="shared" si="71"/>
        <v>Entlastungsleistung</v>
      </c>
      <c r="AL337" s="18">
        <f t="shared" si="72"/>
        <v>38</v>
      </c>
      <c r="AM337" s="18">
        <f t="shared" si="73"/>
        <v>38.000000000000071</v>
      </c>
      <c r="AN337" s="18">
        <f t="shared" si="74"/>
        <v>3.5</v>
      </c>
    </row>
    <row r="338" spans="2:40" x14ac:dyDescent="0.25">
      <c r="B338" s="30" t="s">
        <v>86</v>
      </c>
      <c r="C338" s="31">
        <v>45995</v>
      </c>
      <c r="D338" s="32">
        <v>0.54166666666666663</v>
      </c>
      <c r="E338" s="32">
        <v>0.625</v>
      </c>
      <c r="F338" s="12">
        <f t="shared" si="69"/>
        <v>2.0000000000000009</v>
      </c>
      <c r="G338" s="12">
        <v>15</v>
      </c>
      <c r="H338" s="30" t="s">
        <v>85</v>
      </c>
      <c r="I338" s="30" t="s">
        <v>41</v>
      </c>
      <c r="J338" s="30" t="s">
        <v>28</v>
      </c>
      <c r="K338" s="9" t="str">
        <f>IFERROR(VLOOKUP($B338,[1]Kundenübersicht!$E$4:$AC$1003,MATCH(K$3,[1]Kundenübersicht!$E$3:$BA$3,FALSE),FALSE),"")</f>
        <v>KNAPPSCHAFT</v>
      </c>
      <c r="L338" s="13">
        <f>IFERROR(VLOOKUP(B338,[1]Kundenübersicht!$E$4:$AC$1003,MATCH(L$3,[1]Kundenübersicht!$E$3:$BA$3,FALSE),FALSE),"")</f>
        <v>109990508</v>
      </c>
      <c r="M338" s="13" t="str">
        <f>IFERROR(VLOOKUP(B338,[1]Kundenübersicht!$E$4:$AC$1003,MATCH(M$3,[1]Kundenübersicht!$E$3:$BA$3,FALSE),FALSE),"")</f>
        <v>I767390429</v>
      </c>
      <c r="N338" s="13" t="str">
        <f>IFERROR(VLOOKUP(B338,[1]Kundenübersicht!$E$4:$AC$1003,MATCH(N$3,[1]Kundenübersicht!$E$3:$BA$3,FALSE),FALSE),"")</f>
        <v>PG 1</v>
      </c>
      <c r="P338" s="9" t="s">
        <v>29</v>
      </c>
      <c r="R338" s="9" t="str">
        <f t="shared" si="64"/>
        <v>Unterschrieben</v>
      </c>
      <c r="S338" s="14" t="s">
        <v>31</v>
      </c>
      <c r="U338" s="15">
        <f>IF(YEAR(C338)&lt;=2025,IFERROR(IF(I338="Hauswirtschaft",VLOOKUP($B338,[1]Kundenübersicht!$E$4:$BA$1003,MATCH("Hauswirtschaft [€/Stunde]",[1]Kundenübersicht!$E$3:$BA$3,FALSE),FALSE),VLOOKUP($B338,[1]Kundenübersicht!$E$4:$BA$1003,MATCH("Alltagsbegleitung [€/Stunde]",[1]Kundenübersicht!$E$3:$BA$3,FALSE),FALSE)),0),IFERROR(IF(I338="Hauswirtschaft",VLOOKUP($B338,[1]Kundenübersicht!$E$4:$BA$1003,MATCH("HW ab 2026 [€/Stunde]",[1]Kundenübersicht!$E$3:$BA$3,FALSE),FALSE),VLOOKUP($B338,[1]Kundenübersicht!$E$4:$BA$1003,MATCH("Alltagsbegleitung [€/Stunde]",[1]Kundenübersicht!$E$3:$BA$3,FALSE),FALSE)),0))</f>
        <v>42</v>
      </c>
      <c r="V338" s="16">
        <f t="shared" si="70"/>
        <v>84.000000000000043</v>
      </c>
      <c r="W338" s="16">
        <f t="shared" si="76"/>
        <v>5.25</v>
      </c>
      <c r="X338" s="16" t="str">
        <f>VLOOKUP(B338,[1]Kundenübersicht!E:AG,MATCH($X$3,[1]Kundenübersicht!$E$3:$AY$3,0),FALSE)</f>
        <v>Neu</v>
      </c>
      <c r="Z338" s="20" t="s">
        <v>29</v>
      </c>
      <c r="AA338" s="19">
        <v>46062</v>
      </c>
      <c r="AC338" s="19"/>
      <c r="AE338" s="9">
        <f t="shared" si="78"/>
        <v>2025</v>
      </c>
      <c r="AF338" s="17" t="str">
        <f t="shared" si="79"/>
        <v>12.2025</v>
      </c>
      <c r="AG338" s="17" t="str">
        <f t="shared" si="80"/>
        <v>Naji El Ali</v>
      </c>
      <c r="AH338" s="17" t="str">
        <f>IFERROR(VLOOKUP(B338,[1]Kundenübersicht!$E$4:$F$85,2,FALSE),"")</f>
        <v>Jens Wolf</v>
      </c>
      <c r="AI338" s="17" t="str">
        <f t="shared" si="71"/>
        <v>Alltagsbegleitung</v>
      </c>
      <c r="AJ338" s="17" t="str">
        <f t="shared" si="71"/>
        <v>Entlastungsleistung</v>
      </c>
      <c r="AL338" s="18">
        <f t="shared" si="72"/>
        <v>42</v>
      </c>
      <c r="AM338" s="18">
        <f t="shared" si="73"/>
        <v>84.000000000000043</v>
      </c>
      <c r="AN338" s="18">
        <f t="shared" si="74"/>
        <v>5.25</v>
      </c>
    </row>
    <row r="339" spans="2:40" x14ac:dyDescent="0.25">
      <c r="B339" s="30" t="s">
        <v>86</v>
      </c>
      <c r="C339" s="31">
        <v>46003</v>
      </c>
      <c r="D339" s="32">
        <v>0.54166666666666663</v>
      </c>
      <c r="E339" s="32">
        <v>0.58333333333333337</v>
      </c>
      <c r="F339" s="12">
        <f t="shared" si="69"/>
        <v>1.0000000000000018</v>
      </c>
      <c r="G339" s="12">
        <v>7</v>
      </c>
      <c r="H339" s="30" t="s">
        <v>85</v>
      </c>
      <c r="I339" s="30" t="s">
        <v>41</v>
      </c>
      <c r="J339" s="30" t="s">
        <v>28</v>
      </c>
      <c r="K339" s="9" t="str">
        <f>IFERROR(VLOOKUP($B339,[1]Kundenübersicht!$E$4:$AC$1003,MATCH(K$3,[1]Kundenübersicht!$E$3:$BA$3,FALSE),FALSE),"")</f>
        <v>KNAPPSCHAFT</v>
      </c>
      <c r="L339" s="13">
        <f>IFERROR(VLOOKUP(B339,[1]Kundenübersicht!$E$4:$AC$1003,MATCH(L$3,[1]Kundenübersicht!$E$3:$BA$3,FALSE),FALSE),"")</f>
        <v>109990508</v>
      </c>
      <c r="M339" s="13" t="str">
        <f>IFERROR(VLOOKUP(B339,[1]Kundenübersicht!$E$4:$AC$1003,MATCH(M$3,[1]Kundenübersicht!$E$3:$BA$3,FALSE),FALSE),"")</f>
        <v>I767390429</v>
      </c>
      <c r="N339" s="13" t="str">
        <f>IFERROR(VLOOKUP(B339,[1]Kundenübersicht!$E$4:$AC$1003,MATCH(N$3,[1]Kundenübersicht!$E$3:$BA$3,FALSE),FALSE),"")</f>
        <v>PG 1</v>
      </c>
      <c r="P339" s="9" t="s">
        <v>29</v>
      </c>
      <c r="R339" s="9" t="str">
        <f t="shared" si="64"/>
        <v>Unterschrieben</v>
      </c>
      <c r="S339" s="14" t="s">
        <v>31</v>
      </c>
      <c r="U339" s="15">
        <f>IF(YEAR(C339)&lt;=2025,IFERROR(IF(I339="Hauswirtschaft",VLOOKUP($B339,[1]Kundenübersicht!$E$4:$BA$1003,MATCH("Hauswirtschaft [€/Stunde]",[1]Kundenübersicht!$E$3:$BA$3,FALSE),FALSE),VLOOKUP($B339,[1]Kundenübersicht!$E$4:$BA$1003,MATCH("Alltagsbegleitung [€/Stunde]",[1]Kundenübersicht!$E$3:$BA$3,FALSE),FALSE)),0),IFERROR(IF(I339="Hauswirtschaft",VLOOKUP($B339,[1]Kundenübersicht!$E$4:$BA$1003,MATCH("HW ab 2026 [€/Stunde]",[1]Kundenübersicht!$E$3:$BA$3,FALSE),FALSE),VLOOKUP($B339,[1]Kundenübersicht!$E$4:$BA$1003,MATCH("Alltagsbegleitung [€/Stunde]",[1]Kundenübersicht!$E$3:$BA$3,FALSE),FALSE)),0))</f>
        <v>42</v>
      </c>
      <c r="V339" s="16">
        <f t="shared" si="70"/>
        <v>42.000000000000071</v>
      </c>
      <c r="W339" s="16">
        <f t="shared" si="76"/>
        <v>2.4499999999999997</v>
      </c>
      <c r="X339" s="16" t="str">
        <f>VLOOKUP(B339,[1]Kundenübersicht!E:AG,MATCH($X$3,[1]Kundenübersicht!$E$3:$AY$3,0),FALSE)</f>
        <v>Neu</v>
      </c>
      <c r="Z339" s="20" t="s">
        <v>29</v>
      </c>
      <c r="AA339" s="19">
        <v>46062</v>
      </c>
      <c r="AC339" s="19"/>
      <c r="AE339" s="9">
        <f t="shared" si="78"/>
        <v>2025</v>
      </c>
      <c r="AF339" s="17" t="str">
        <f t="shared" si="79"/>
        <v>12.2025</v>
      </c>
      <c r="AG339" s="17" t="str">
        <f t="shared" si="80"/>
        <v>Naji El Ali</v>
      </c>
      <c r="AH339" s="17" t="str">
        <f>IFERROR(VLOOKUP(B339,[1]Kundenübersicht!$E$4:$F$85,2,FALSE),"")</f>
        <v>Jens Wolf</v>
      </c>
      <c r="AI339" s="17" t="str">
        <f t="shared" si="71"/>
        <v>Alltagsbegleitung</v>
      </c>
      <c r="AJ339" s="17" t="str">
        <f t="shared" si="71"/>
        <v>Entlastungsleistung</v>
      </c>
      <c r="AL339" s="18">
        <f t="shared" si="72"/>
        <v>42</v>
      </c>
      <c r="AM339" s="18">
        <f t="shared" si="73"/>
        <v>42.000000000000071</v>
      </c>
      <c r="AN339" s="18">
        <f t="shared" si="74"/>
        <v>2.4499999999999997</v>
      </c>
    </row>
    <row r="340" spans="2:40" x14ac:dyDescent="0.25">
      <c r="B340" s="30" t="s">
        <v>86</v>
      </c>
      <c r="C340" s="31">
        <v>46007</v>
      </c>
      <c r="D340" s="32">
        <v>0.45833333333333331</v>
      </c>
      <c r="E340" s="32">
        <v>0.5</v>
      </c>
      <c r="F340" s="12">
        <f t="shared" si="69"/>
        <v>1.0000000000000004</v>
      </c>
      <c r="G340" s="12">
        <v>7</v>
      </c>
      <c r="H340" s="30" t="s">
        <v>85</v>
      </c>
      <c r="I340" s="30" t="s">
        <v>41</v>
      </c>
      <c r="J340" s="30" t="s">
        <v>28</v>
      </c>
      <c r="K340" s="9" t="str">
        <f>IFERROR(VLOOKUP($B340,[1]Kundenübersicht!$E$4:$AC$1003,MATCH(K$3,[1]Kundenübersicht!$E$3:$BA$3,FALSE),FALSE),"")</f>
        <v>KNAPPSCHAFT</v>
      </c>
      <c r="L340" s="13">
        <f>IFERROR(VLOOKUP(B340,[1]Kundenübersicht!$E$4:$AC$1003,MATCH(L$3,[1]Kundenübersicht!$E$3:$BA$3,FALSE),FALSE),"")</f>
        <v>109990508</v>
      </c>
      <c r="M340" s="13" t="str">
        <f>IFERROR(VLOOKUP(B340,[1]Kundenübersicht!$E$4:$AC$1003,MATCH(M$3,[1]Kundenübersicht!$E$3:$BA$3,FALSE),FALSE),"")</f>
        <v>I767390429</v>
      </c>
      <c r="N340" s="13" t="str">
        <f>IFERROR(VLOOKUP(B340,[1]Kundenübersicht!$E$4:$AC$1003,MATCH(N$3,[1]Kundenübersicht!$E$3:$BA$3,FALSE),FALSE),"")</f>
        <v>PG 1</v>
      </c>
      <c r="P340" s="9" t="s">
        <v>29</v>
      </c>
      <c r="R340" s="9" t="str">
        <f t="shared" si="64"/>
        <v>Unterschrieben</v>
      </c>
      <c r="S340" s="14" t="s">
        <v>31</v>
      </c>
      <c r="U340" s="15">
        <f>IF(YEAR(C340)&lt;=2025,IFERROR(IF(I340="Hauswirtschaft",VLOOKUP($B340,[1]Kundenübersicht!$E$4:$BA$1003,MATCH("Hauswirtschaft [€/Stunde]",[1]Kundenübersicht!$E$3:$BA$3,FALSE),FALSE),VLOOKUP($B340,[1]Kundenübersicht!$E$4:$BA$1003,MATCH("Alltagsbegleitung [€/Stunde]",[1]Kundenübersicht!$E$3:$BA$3,FALSE),FALSE)),0),IFERROR(IF(I340="Hauswirtschaft",VLOOKUP($B340,[1]Kundenübersicht!$E$4:$BA$1003,MATCH("HW ab 2026 [€/Stunde]",[1]Kundenübersicht!$E$3:$BA$3,FALSE),FALSE),VLOOKUP($B340,[1]Kundenübersicht!$E$4:$BA$1003,MATCH("Alltagsbegleitung [€/Stunde]",[1]Kundenübersicht!$E$3:$BA$3,FALSE),FALSE)),0))</f>
        <v>42</v>
      </c>
      <c r="V340" s="16">
        <f t="shared" si="70"/>
        <v>42.000000000000021</v>
      </c>
      <c r="W340" s="16">
        <f t="shared" si="76"/>
        <v>2.4499999999999997</v>
      </c>
      <c r="X340" s="16" t="str">
        <f>VLOOKUP(B340,[1]Kundenübersicht!E:AG,MATCH($X$3,[1]Kundenübersicht!$E$3:$AY$3,0),FALSE)</f>
        <v>Neu</v>
      </c>
      <c r="Z340" s="20" t="s">
        <v>29</v>
      </c>
      <c r="AA340" s="19">
        <v>46062</v>
      </c>
      <c r="AC340" s="19"/>
      <c r="AE340" s="9">
        <f t="shared" si="78"/>
        <v>2025</v>
      </c>
      <c r="AF340" s="17" t="str">
        <f t="shared" si="79"/>
        <v>12.2025</v>
      </c>
      <c r="AG340" s="17" t="str">
        <f t="shared" si="80"/>
        <v>Naji El Ali</v>
      </c>
      <c r="AH340" s="17" t="str">
        <f>IFERROR(VLOOKUP(B340,[1]Kundenübersicht!$E$4:$F$85,2,FALSE),"")</f>
        <v>Jens Wolf</v>
      </c>
      <c r="AI340" s="17" t="str">
        <f t="shared" si="71"/>
        <v>Alltagsbegleitung</v>
      </c>
      <c r="AJ340" s="17" t="str">
        <f t="shared" si="71"/>
        <v>Entlastungsleistung</v>
      </c>
      <c r="AL340" s="18">
        <f t="shared" si="72"/>
        <v>42</v>
      </c>
      <c r="AM340" s="18">
        <f t="shared" si="73"/>
        <v>42.000000000000021</v>
      </c>
      <c r="AN340" s="18">
        <f t="shared" si="74"/>
        <v>2.4499999999999997</v>
      </c>
    </row>
    <row r="341" spans="2:40" x14ac:dyDescent="0.25">
      <c r="B341" s="30" t="s">
        <v>86</v>
      </c>
      <c r="C341" s="31">
        <v>46013</v>
      </c>
      <c r="D341" s="32">
        <v>0.45833333333333331</v>
      </c>
      <c r="E341" s="32">
        <v>0.5</v>
      </c>
      <c r="F341" s="12">
        <f t="shared" si="69"/>
        <v>1.0000000000000004</v>
      </c>
      <c r="G341" s="12">
        <v>7</v>
      </c>
      <c r="H341" s="30" t="s">
        <v>85</v>
      </c>
      <c r="I341" s="30" t="s">
        <v>41</v>
      </c>
      <c r="J341" s="30" t="s">
        <v>28</v>
      </c>
      <c r="K341" s="9" t="str">
        <f>IFERROR(VLOOKUP($B341,[1]Kundenübersicht!$E$4:$AC$1003,MATCH(K$3,[1]Kundenübersicht!$E$3:$BA$3,FALSE),FALSE),"")</f>
        <v>KNAPPSCHAFT</v>
      </c>
      <c r="L341" s="13">
        <f>IFERROR(VLOOKUP(B341,[1]Kundenübersicht!$E$4:$AC$1003,MATCH(L$3,[1]Kundenübersicht!$E$3:$BA$3,FALSE),FALSE),"")</f>
        <v>109990508</v>
      </c>
      <c r="M341" s="13" t="str">
        <f>IFERROR(VLOOKUP(B341,[1]Kundenübersicht!$E$4:$AC$1003,MATCH(M$3,[1]Kundenübersicht!$E$3:$BA$3,FALSE),FALSE),"")</f>
        <v>I767390429</v>
      </c>
      <c r="N341" s="13" t="str">
        <f>IFERROR(VLOOKUP(B341,[1]Kundenübersicht!$E$4:$AC$1003,MATCH(N$3,[1]Kundenübersicht!$E$3:$BA$3,FALSE),FALSE),"")</f>
        <v>PG 1</v>
      </c>
      <c r="P341" s="9" t="s">
        <v>29</v>
      </c>
      <c r="R341" s="9" t="str">
        <f t="shared" si="64"/>
        <v>Unterschrieben</v>
      </c>
      <c r="S341" s="14" t="s">
        <v>31</v>
      </c>
      <c r="U341" s="15">
        <f>IF(YEAR(C341)&lt;=2025,IFERROR(IF(I341="Hauswirtschaft",VLOOKUP($B341,[1]Kundenübersicht!$E$4:$BA$1003,MATCH("Hauswirtschaft [€/Stunde]",[1]Kundenübersicht!$E$3:$BA$3,FALSE),FALSE),VLOOKUP($B341,[1]Kundenübersicht!$E$4:$BA$1003,MATCH("Alltagsbegleitung [€/Stunde]",[1]Kundenübersicht!$E$3:$BA$3,FALSE),FALSE)),0),IFERROR(IF(I341="Hauswirtschaft",VLOOKUP($B341,[1]Kundenübersicht!$E$4:$BA$1003,MATCH("HW ab 2026 [€/Stunde]",[1]Kundenübersicht!$E$3:$BA$3,FALSE),FALSE),VLOOKUP($B341,[1]Kundenübersicht!$E$4:$BA$1003,MATCH("Alltagsbegleitung [€/Stunde]",[1]Kundenübersicht!$E$3:$BA$3,FALSE),FALSE)),0))</f>
        <v>42</v>
      </c>
      <c r="V341" s="16">
        <f t="shared" si="70"/>
        <v>42.000000000000021</v>
      </c>
      <c r="W341" s="16">
        <f t="shared" si="76"/>
        <v>2.4499999999999997</v>
      </c>
      <c r="X341" s="16" t="str">
        <f>VLOOKUP(B341,[1]Kundenübersicht!E:AG,MATCH($X$3,[1]Kundenübersicht!$E$3:$AY$3,0),FALSE)</f>
        <v>Neu</v>
      </c>
      <c r="Z341" s="20" t="s">
        <v>29</v>
      </c>
      <c r="AA341" s="19">
        <v>46062</v>
      </c>
      <c r="AC341" s="19"/>
      <c r="AE341" s="9">
        <f t="shared" si="78"/>
        <v>2025</v>
      </c>
      <c r="AF341" s="17" t="str">
        <f t="shared" si="79"/>
        <v>12.2025</v>
      </c>
      <c r="AG341" s="17" t="str">
        <f t="shared" si="80"/>
        <v>Naji El Ali</v>
      </c>
      <c r="AH341" s="17" t="str">
        <f>IFERROR(VLOOKUP(B341,[1]Kundenübersicht!$E$4:$F$85,2,FALSE),"")</f>
        <v>Jens Wolf</v>
      </c>
      <c r="AI341" s="17" t="str">
        <f t="shared" si="71"/>
        <v>Alltagsbegleitung</v>
      </c>
      <c r="AJ341" s="17" t="str">
        <f t="shared" si="71"/>
        <v>Entlastungsleistung</v>
      </c>
      <c r="AL341" s="18">
        <f t="shared" si="72"/>
        <v>42</v>
      </c>
      <c r="AM341" s="18">
        <f t="shared" si="73"/>
        <v>42.000000000000021</v>
      </c>
      <c r="AN341" s="18">
        <f t="shared" si="74"/>
        <v>2.4499999999999997</v>
      </c>
    </row>
    <row r="342" spans="2:40" x14ac:dyDescent="0.25">
      <c r="B342" s="30" t="s">
        <v>86</v>
      </c>
      <c r="C342" s="31">
        <v>46020</v>
      </c>
      <c r="D342" s="32">
        <v>0.54166666666666663</v>
      </c>
      <c r="E342" s="32">
        <v>0.58333333333333337</v>
      </c>
      <c r="F342" s="12">
        <f t="shared" si="69"/>
        <v>1.0000000000000018</v>
      </c>
      <c r="G342" s="12">
        <v>7</v>
      </c>
      <c r="H342" s="30" t="s">
        <v>85</v>
      </c>
      <c r="I342" s="30" t="s">
        <v>41</v>
      </c>
      <c r="J342" s="30" t="s">
        <v>28</v>
      </c>
      <c r="K342" s="9" t="str">
        <f>IFERROR(VLOOKUP($B342,[1]Kundenübersicht!$E$4:$AC$1003,MATCH(K$3,[1]Kundenübersicht!$E$3:$BA$3,FALSE),FALSE),"")</f>
        <v>KNAPPSCHAFT</v>
      </c>
      <c r="L342" s="13">
        <f>IFERROR(VLOOKUP(B342,[1]Kundenübersicht!$E$4:$AC$1003,MATCH(L$3,[1]Kundenübersicht!$E$3:$BA$3,FALSE),FALSE),"")</f>
        <v>109990508</v>
      </c>
      <c r="M342" s="13" t="str">
        <f>IFERROR(VLOOKUP(B342,[1]Kundenübersicht!$E$4:$AC$1003,MATCH(M$3,[1]Kundenübersicht!$E$3:$BA$3,FALSE),FALSE),"")</f>
        <v>I767390429</v>
      </c>
      <c r="N342" s="13" t="str">
        <f>IFERROR(VLOOKUP(B342,[1]Kundenübersicht!$E$4:$AC$1003,MATCH(N$3,[1]Kundenübersicht!$E$3:$BA$3,FALSE),FALSE),"")</f>
        <v>PG 1</v>
      </c>
      <c r="P342" s="9" t="s">
        <v>29</v>
      </c>
      <c r="R342" s="9" t="str">
        <f t="shared" si="64"/>
        <v>Unterschrieben</v>
      </c>
      <c r="S342" s="14" t="s">
        <v>31</v>
      </c>
      <c r="U342" s="15">
        <f>IF(YEAR(C342)&lt;=2025,IFERROR(IF(I342="Hauswirtschaft",VLOOKUP($B342,[1]Kundenübersicht!$E$4:$BA$1003,MATCH("Hauswirtschaft [€/Stunde]",[1]Kundenübersicht!$E$3:$BA$3,FALSE),FALSE),VLOOKUP($B342,[1]Kundenübersicht!$E$4:$BA$1003,MATCH("Alltagsbegleitung [€/Stunde]",[1]Kundenübersicht!$E$3:$BA$3,FALSE),FALSE)),0),IFERROR(IF(I342="Hauswirtschaft",VLOOKUP($B342,[1]Kundenübersicht!$E$4:$BA$1003,MATCH("HW ab 2026 [€/Stunde]",[1]Kundenübersicht!$E$3:$BA$3,FALSE),FALSE),VLOOKUP($B342,[1]Kundenübersicht!$E$4:$BA$1003,MATCH("Alltagsbegleitung [€/Stunde]",[1]Kundenübersicht!$E$3:$BA$3,FALSE),FALSE)),0))</f>
        <v>42</v>
      </c>
      <c r="V342" s="16">
        <f t="shared" si="70"/>
        <v>42.000000000000071</v>
      </c>
      <c r="W342" s="16">
        <f t="shared" si="76"/>
        <v>2.4499999999999997</v>
      </c>
      <c r="X342" s="16" t="str">
        <f>VLOOKUP(B342,[1]Kundenübersicht!E:AG,MATCH($X$3,[1]Kundenübersicht!$E$3:$AY$3,0),FALSE)</f>
        <v>Neu</v>
      </c>
      <c r="Z342" s="20" t="s">
        <v>29</v>
      </c>
      <c r="AA342" s="19">
        <v>46062</v>
      </c>
      <c r="AC342" s="19"/>
      <c r="AE342" s="9">
        <f t="shared" si="78"/>
        <v>2025</v>
      </c>
      <c r="AF342" s="17" t="str">
        <f t="shared" si="79"/>
        <v>12.2025</v>
      </c>
      <c r="AG342" s="17" t="str">
        <f t="shared" si="80"/>
        <v>Naji El Ali</v>
      </c>
      <c r="AH342" s="17" t="str">
        <f>IFERROR(VLOOKUP(B342,[1]Kundenübersicht!$E$4:$F$85,2,FALSE),"")</f>
        <v>Jens Wolf</v>
      </c>
      <c r="AI342" s="17" t="str">
        <f t="shared" si="71"/>
        <v>Alltagsbegleitung</v>
      </c>
      <c r="AJ342" s="17" t="str">
        <f t="shared" si="71"/>
        <v>Entlastungsleistung</v>
      </c>
      <c r="AL342" s="18">
        <f t="shared" si="72"/>
        <v>42</v>
      </c>
      <c r="AM342" s="18">
        <f t="shared" si="73"/>
        <v>42.000000000000071</v>
      </c>
      <c r="AN342" s="18">
        <f t="shared" si="74"/>
        <v>2.4499999999999997</v>
      </c>
    </row>
    <row r="343" spans="2:40" x14ac:dyDescent="0.25">
      <c r="B343" s="30" t="s">
        <v>39</v>
      </c>
      <c r="C343" s="31">
        <v>45993</v>
      </c>
      <c r="D343" s="32">
        <v>0.64583333333333337</v>
      </c>
      <c r="E343" s="32">
        <v>0.6875</v>
      </c>
      <c r="F343" s="12">
        <f t="shared" si="69"/>
        <v>0.99999999999999911</v>
      </c>
      <c r="G343" s="12"/>
      <c r="H343" s="30" t="s">
        <v>40</v>
      </c>
      <c r="I343" s="30" t="s">
        <v>41</v>
      </c>
      <c r="J343" s="30" t="s">
        <v>28</v>
      </c>
      <c r="K343" s="9" t="str">
        <f>IFERROR(VLOOKUP($B343,[1]Kundenübersicht!$E$4:$AC$1003,MATCH(K$3,[1]Kundenübersicht!$E$3:$BA$3,FALSE),FALSE),"")</f>
        <v>AOK PLUS</v>
      </c>
      <c r="L343" s="13">
        <f>IFERROR(VLOOKUP(B343,[1]Kundenübersicht!$E$4:$AC$1003,MATCH(L$3,[1]Kundenübersicht!$E$3:$BA$3,FALSE),FALSE),"")</f>
        <v>107299005</v>
      </c>
      <c r="M343" s="13" t="str">
        <f>IFERROR(VLOOKUP(B343,[1]Kundenübersicht!$E$4:$AC$1003,MATCH(M$3,[1]Kundenübersicht!$E$3:$BA$3,FALSE),FALSE),"")</f>
        <v>Q445657677</v>
      </c>
      <c r="N343" s="13" t="str">
        <f>IFERROR(VLOOKUP(B343,[1]Kundenübersicht!$E$4:$AC$1003,MATCH(N$3,[1]Kundenübersicht!$E$3:$BA$3,FALSE),FALSE),"")</f>
        <v>PG 2</v>
      </c>
      <c r="P343" s="9" t="s">
        <v>29</v>
      </c>
      <c r="R343" s="9" t="str">
        <f t="shared" si="64"/>
        <v>Unterschrieben</v>
      </c>
      <c r="S343" s="14" t="s">
        <v>31</v>
      </c>
      <c r="U343" s="15">
        <f>IF(YEAR(C343)&lt;=2025,IFERROR(IF(I343="Hauswirtschaft",VLOOKUP($B343,[1]Kundenübersicht!$E$4:$BA$1003,MATCH("Hauswirtschaft [€/Stunde]",[1]Kundenübersicht!$E$3:$BA$3,FALSE),FALSE),VLOOKUP($B343,[1]Kundenübersicht!$E$4:$BA$1003,MATCH("Alltagsbegleitung [€/Stunde]",[1]Kundenübersicht!$E$3:$BA$3,FALSE),FALSE)),0),IFERROR(IF(I343="Hauswirtschaft",VLOOKUP($B343,[1]Kundenübersicht!$E$4:$BA$1003,MATCH("HW ab 2026 [€/Stunde]",[1]Kundenübersicht!$E$3:$BA$3,FALSE),FALSE),VLOOKUP($B343,[1]Kundenübersicht!$E$4:$BA$1003,MATCH("Alltagsbegleitung [€/Stunde]",[1]Kundenübersicht!$E$3:$BA$3,FALSE),FALSE)),0))</f>
        <v>42</v>
      </c>
      <c r="V343" s="16">
        <f t="shared" si="70"/>
        <v>41.999999999999964</v>
      </c>
      <c r="W343" s="16">
        <f>IF(AND(YEAR(C343)&lt;=2025,X343="Alt"),0,G343*0.35)</f>
        <v>0</v>
      </c>
      <c r="X343" s="16" t="str">
        <f>VLOOKUP(B343,[1]Kundenübersicht!E:AG,MATCH($X$3,[1]Kundenübersicht!$E$3:$AY$3,0),FALSE)</f>
        <v>Alt</v>
      </c>
      <c r="Z343" s="20" t="str">
        <f t="shared" ref="Z343:Z346" si="82">IF(AA343="","Nein","Ja")</f>
        <v>Ja</v>
      </c>
      <c r="AA343" s="19">
        <v>46062</v>
      </c>
      <c r="AC343" s="19"/>
      <c r="AE343" s="9">
        <f t="shared" si="78"/>
        <v>2025</v>
      </c>
      <c r="AF343" s="17" t="str">
        <f t="shared" si="79"/>
        <v>12.2025</v>
      </c>
      <c r="AG343" s="17" t="str">
        <f t="shared" si="80"/>
        <v>Franziska Wächtler</v>
      </c>
      <c r="AH343" s="17" t="str">
        <f>IFERROR(VLOOKUP(B343,[1]Kundenübersicht!$E$4:$F$85,2,FALSE),"")</f>
        <v>Helga Dienelt</v>
      </c>
      <c r="AI343" s="17" t="str">
        <f t="shared" si="71"/>
        <v>Alltagsbegleitung</v>
      </c>
      <c r="AJ343" s="17" t="str">
        <f t="shared" si="71"/>
        <v>Entlastungsleistung</v>
      </c>
      <c r="AL343" s="18">
        <f t="shared" si="72"/>
        <v>42</v>
      </c>
      <c r="AM343" s="18">
        <f t="shared" si="73"/>
        <v>41.999999999999964</v>
      </c>
      <c r="AN343" s="18">
        <f t="shared" si="74"/>
        <v>0</v>
      </c>
    </row>
    <row r="344" spans="2:40" x14ac:dyDescent="0.25">
      <c r="B344" s="30" t="s">
        <v>39</v>
      </c>
      <c r="C344" s="31">
        <v>46000</v>
      </c>
      <c r="D344" s="32">
        <v>0.64583333333333337</v>
      </c>
      <c r="E344" s="32">
        <v>0.6875</v>
      </c>
      <c r="F344" s="12">
        <f t="shared" si="69"/>
        <v>0.99999999999999911</v>
      </c>
      <c r="G344" s="12"/>
      <c r="H344" s="30" t="s">
        <v>40</v>
      </c>
      <c r="I344" s="30" t="s">
        <v>27</v>
      </c>
      <c r="J344" s="30" t="s">
        <v>28</v>
      </c>
      <c r="K344" s="9" t="str">
        <f>IFERROR(VLOOKUP($B344,[1]Kundenübersicht!$E$4:$AC$1003,MATCH(K$3,[1]Kundenübersicht!$E$3:$BA$3,FALSE),FALSE),"")</f>
        <v>AOK PLUS</v>
      </c>
      <c r="L344" s="13">
        <f>IFERROR(VLOOKUP(B344,[1]Kundenübersicht!$E$4:$AC$1003,MATCH(L$3,[1]Kundenübersicht!$E$3:$BA$3,FALSE),FALSE),"")</f>
        <v>107299005</v>
      </c>
      <c r="M344" s="13" t="str">
        <f>IFERROR(VLOOKUP(B344,[1]Kundenübersicht!$E$4:$AC$1003,MATCH(M$3,[1]Kundenübersicht!$E$3:$BA$3,FALSE),FALSE),"")</f>
        <v>Q445657677</v>
      </c>
      <c r="N344" s="13" t="str">
        <f>IFERROR(VLOOKUP(B344,[1]Kundenübersicht!$E$4:$AC$1003,MATCH(N$3,[1]Kundenübersicht!$E$3:$BA$3,FALSE),FALSE),"")</f>
        <v>PG 2</v>
      </c>
      <c r="P344" s="9" t="s">
        <v>29</v>
      </c>
      <c r="R344" s="9" t="str">
        <f t="shared" si="64"/>
        <v>Unterschrieben</v>
      </c>
      <c r="S344" s="14" t="s">
        <v>31</v>
      </c>
      <c r="U344" s="15">
        <f>IF(YEAR(C344)&lt;=2025,IFERROR(IF(I344="Hauswirtschaft",VLOOKUP($B344,[1]Kundenübersicht!$E$4:$BA$1003,MATCH("Hauswirtschaft [€/Stunde]",[1]Kundenübersicht!$E$3:$BA$3,FALSE),FALSE),VLOOKUP($B344,[1]Kundenübersicht!$E$4:$BA$1003,MATCH("Alltagsbegleitung [€/Stunde]",[1]Kundenübersicht!$E$3:$BA$3,FALSE),FALSE)),0),IFERROR(IF(I344="Hauswirtschaft",VLOOKUP($B344,[1]Kundenübersicht!$E$4:$BA$1003,MATCH("HW ab 2026 [€/Stunde]",[1]Kundenübersicht!$E$3:$BA$3,FALSE),FALSE),VLOOKUP($B344,[1]Kundenübersicht!$E$4:$BA$1003,MATCH("Alltagsbegleitung [€/Stunde]",[1]Kundenübersicht!$E$3:$BA$3,FALSE),FALSE)),0))</f>
        <v>32.75</v>
      </c>
      <c r="V344" s="16">
        <f t="shared" si="70"/>
        <v>32.749999999999972</v>
      </c>
      <c r="W344" s="16">
        <f t="shared" ref="W344:W407" si="83">IF(AND(YEAR(C344)&lt;=2025,X344="Alt"),0,G344*0.35)</f>
        <v>0</v>
      </c>
      <c r="X344" s="16" t="str">
        <f>VLOOKUP(B344,[1]Kundenübersicht!E:AG,MATCH($X$3,[1]Kundenübersicht!$E$3:$AY$3,0),FALSE)</f>
        <v>Alt</v>
      </c>
      <c r="Z344" s="20" t="str">
        <f t="shared" si="82"/>
        <v>Ja</v>
      </c>
      <c r="AA344" s="19">
        <v>46062</v>
      </c>
      <c r="AC344" s="19"/>
      <c r="AE344" s="9">
        <f t="shared" si="78"/>
        <v>2025</v>
      </c>
      <c r="AF344" s="17" t="str">
        <f t="shared" si="79"/>
        <v>12.2025</v>
      </c>
      <c r="AG344" s="17" t="str">
        <f t="shared" si="80"/>
        <v>Franziska Wächtler</v>
      </c>
      <c r="AH344" s="17" t="str">
        <f>IFERROR(VLOOKUP(B344,[1]Kundenübersicht!$E$4:$F$85,2,FALSE),"")</f>
        <v>Helga Dienelt</v>
      </c>
      <c r="AI344" s="17" t="str">
        <f t="shared" si="71"/>
        <v>Hauswirtschaft</v>
      </c>
      <c r="AJ344" s="17" t="str">
        <f t="shared" si="71"/>
        <v>Entlastungsleistung</v>
      </c>
      <c r="AL344" s="18">
        <f t="shared" si="72"/>
        <v>38</v>
      </c>
      <c r="AM344" s="18">
        <f t="shared" si="73"/>
        <v>37.999999999999964</v>
      </c>
      <c r="AN344" s="18">
        <f t="shared" si="74"/>
        <v>0</v>
      </c>
    </row>
    <row r="345" spans="2:40" x14ac:dyDescent="0.25">
      <c r="B345" s="30" t="s">
        <v>39</v>
      </c>
      <c r="C345" s="31">
        <v>46007</v>
      </c>
      <c r="D345" s="32">
        <v>0.5625</v>
      </c>
      <c r="E345" s="32">
        <v>0.60416666666666663</v>
      </c>
      <c r="F345" s="12">
        <f t="shared" si="69"/>
        <v>0.99999999999999911</v>
      </c>
      <c r="G345" s="12"/>
      <c r="H345" s="30" t="s">
        <v>40</v>
      </c>
      <c r="I345" s="30" t="s">
        <v>41</v>
      </c>
      <c r="J345" s="30" t="s">
        <v>28</v>
      </c>
      <c r="K345" s="9" t="str">
        <f>IFERROR(VLOOKUP($B345,[1]Kundenübersicht!$E$4:$AC$1003,MATCH(K$3,[1]Kundenübersicht!$E$3:$BA$3,FALSE),FALSE),"")</f>
        <v>AOK PLUS</v>
      </c>
      <c r="L345" s="13">
        <f>IFERROR(VLOOKUP(B345,[1]Kundenübersicht!$E$4:$AC$1003,MATCH(L$3,[1]Kundenübersicht!$E$3:$BA$3,FALSE),FALSE),"")</f>
        <v>107299005</v>
      </c>
      <c r="M345" s="13" t="str">
        <f>IFERROR(VLOOKUP(B345,[1]Kundenübersicht!$E$4:$AC$1003,MATCH(M$3,[1]Kundenübersicht!$E$3:$BA$3,FALSE),FALSE),"")</f>
        <v>Q445657677</v>
      </c>
      <c r="N345" s="13" t="str">
        <f>IFERROR(VLOOKUP(B345,[1]Kundenübersicht!$E$4:$AC$1003,MATCH(N$3,[1]Kundenübersicht!$E$3:$BA$3,FALSE),FALSE),"")</f>
        <v>PG 2</v>
      </c>
      <c r="P345" s="9" t="s">
        <v>29</v>
      </c>
      <c r="R345" s="9" t="str">
        <f t="shared" si="64"/>
        <v>Unterschrieben</v>
      </c>
      <c r="S345" s="14" t="s">
        <v>31</v>
      </c>
      <c r="U345" s="15">
        <f>IF(YEAR(C345)&lt;=2025,IFERROR(IF(I345="Hauswirtschaft",VLOOKUP($B345,[1]Kundenübersicht!$E$4:$BA$1003,MATCH("Hauswirtschaft [€/Stunde]",[1]Kundenübersicht!$E$3:$BA$3,FALSE),FALSE),VLOOKUP($B345,[1]Kundenübersicht!$E$4:$BA$1003,MATCH("Alltagsbegleitung [€/Stunde]",[1]Kundenübersicht!$E$3:$BA$3,FALSE),FALSE)),0),IFERROR(IF(I345="Hauswirtschaft",VLOOKUP($B345,[1]Kundenübersicht!$E$4:$BA$1003,MATCH("HW ab 2026 [€/Stunde]",[1]Kundenübersicht!$E$3:$BA$3,FALSE),FALSE),VLOOKUP($B345,[1]Kundenübersicht!$E$4:$BA$1003,MATCH("Alltagsbegleitung [€/Stunde]",[1]Kundenübersicht!$E$3:$BA$3,FALSE),FALSE)),0))</f>
        <v>42</v>
      </c>
      <c r="V345" s="16">
        <f t="shared" si="70"/>
        <v>41.999999999999964</v>
      </c>
      <c r="W345" s="16">
        <f t="shared" si="83"/>
        <v>0</v>
      </c>
      <c r="X345" s="16" t="str">
        <f>VLOOKUP(B345,[1]Kundenübersicht!E:AG,MATCH($X$3,[1]Kundenübersicht!$E$3:$AY$3,0),FALSE)</f>
        <v>Alt</v>
      </c>
      <c r="Z345" s="20" t="str">
        <f t="shared" si="82"/>
        <v>Ja</v>
      </c>
      <c r="AA345" s="19">
        <v>46062</v>
      </c>
      <c r="AC345" s="19"/>
      <c r="AE345" s="9">
        <f t="shared" si="78"/>
        <v>2025</v>
      </c>
      <c r="AF345" s="17" t="str">
        <f t="shared" si="79"/>
        <v>12.2025</v>
      </c>
      <c r="AG345" s="17" t="str">
        <f t="shared" si="80"/>
        <v>Franziska Wächtler</v>
      </c>
      <c r="AH345" s="17" t="str">
        <f>IFERROR(VLOOKUP(B345,[1]Kundenübersicht!$E$4:$F$85,2,FALSE),"")</f>
        <v>Helga Dienelt</v>
      </c>
      <c r="AI345" s="17" t="str">
        <f t="shared" si="71"/>
        <v>Alltagsbegleitung</v>
      </c>
      <c r="AJ345" s="17" t="str">
        <f t="shared" si="71"/>
        <v>Entlastungsleistung</v>
      </c>
      <c r="AL345" s="18">
        <f t="shared" si="72"/>
        <v>42</v>
      </c>
      <c r="AM345" s="18">
        <f t="shared" si="73"/>
        <v>41.999999999999964</v>
      </c>
      <c r="AN345" s="18">
        <f t="shared" si="74"/>
        <v>0</v>
      </c>
    </row>
    <row r="346" spans="2:40" x14ac:dyDescent="0.25">
      <c r="B346" s="30" t="s">
        <v>39</v>
      </c>
      <c r="C346" s="31">
        <v>46021</v>
      </c>
      <c r="D346" s="32">
        <v>0.5625</v>
      </c>
      <c r="E346" s="32">
        <v>0.60416666666666663</v>
      </c>
      <c r="F346" s="12">
        <f t="shared" si="69"/>
        <v>0.99999999999999911</v>
      </c>
      <c r="G346" s="12"/>
      <c r="H346" s="30" t="s">
        <v>40</v>
      </c>
      <c r="I346" s="30" t="s">
        <v>27</v>
      </c>
      <c r="J346" s="30" t="s">
        <v>28</v>
      </c>
      <c r="K346" s="9" t="str">
        <f>IFERROR(VLOOKUP($B346,[1]Kundenübersicht!$E$4:$AC$1003,MATCH(K$3,[1]Kundenübersicht!$E$3:$BA$3,FALSE),FALSE),"")</f>
        <v>AOK PLUS</v>
      </c>
      <c r="L346" s="13">
        <f>IFERROR(VLOOKUP(B346,[1]Kundenübersicht!$E$4:$AC$1003,MATCH(L$3,[1]Kundenübersicht!$E$3:$BA$3,FALSE),FALSE),"")</f>
        <v>107299005</v>
      </c>
      <c r="M346" s="13" t="str">
        <f>IFERROR(VLOOKUP(B346,[1]Kundenübersicht!$E$4:$AC$1003,MATCH(M$3,[1]Kundenübersicht!$E$3:$BA$3,FALSE),FALSE),"")</f>
        <v>Q445657677</v>
      </c>
      <c r="N346" s="13" t="str">
        <f>IFERROR(VLOOKUP(B346,[1]Kundenübersicht!$E$4:$AC$1003,MATCH(N$3,[1]Kundenübersicht!$E$3:$BA$3,FALSE),FALSE),"")</f>
        <v>PG 2</v>
      </c>
      <c r="P346" s="9" t="s">
        <v>29</v>
      </c>
      <c r="R346" s="9" t="str">
        <f t="shared" si="64"/>
        <v>Unterschrieben</v>
      </c>
      <c r="S346" s="14" t="s">
        <v>31</v>
      </c>
      <c r="U346" s="15">
        <f>IF(YEAR(C346)&lt;=2025,IFERROR(IF(I346="Hauswirtschaft",VLOOKUP($B346,[1]Kundenübersicht!$E$4:$BA$1003,MATCH("Hauswirtschaft [€/Stunde]",[1]Kundenübersicht!$E$3:$BA$3,FALSE),FALSE),VLOOKUP($B346,[1]Kundenübersicht!$E$4:$BA$1003,MATCH("Alltagsbegleitung [€/Stunde]",[1]Kundenübersicht!$E$3:$BA$3,FALSE),FALSE)),0),IFERROR(IF(I346="Hauswirtschaft",VLOOKUP($B346,[1]Kundenübersicht!$E$4:$BA$1003,MATCH("HW ab 2026 [€/Stunde]",[1]Kundenübersicht!$E$3:$BA$3,FALSE),FALSE),VLOOKUP($B346,[1]Kundenübersicht!$E$4:$BA$1003,MATCH("Alltagsbegleitung [€/Stunde]",[1]Kundenübersicht!$E$3:$BA$3,FALSE),FALSE)),0))</f>
        <v>32.75</v>
      </c>
      <c r="V346" s="16">
        <f t="shared" si="70"/>
        <v>32.749999999999972</v>
      </c>
      <c r="W346" s="16">
        <f t="shared" si="83"/>
        <v>0</v>
      </c>
      <c r="X346" s="16" t="str">
        <f>VLOOKUP(B346,[1]Kundenübersicht!E:AG,MATCH($X$3,[1]Kundenübersicht!$E$3:$AY$3,0),FALSE)</f>
        <v>Alt</v>
      </c>
      <c r="Z346" s="20" t="str">
        <f t="shared" si="82"/>
        <v>Ja</v>
      </c>
      <c r="AA346" s="19">
        <v>46062</v>
      </c>
      <c r="AC346" s="19"/>
      <c r="AE346" s="9">
        <f t="shared" si="78"/>
        <v>2025</v>
      </c>
      <c r="AF346" s="17" t="str">
        <f t="shared" si="79"/>
        <v>12.2025</v>
      </c>
      <c r="AG346" s="17" t="str">
        <f t="shared" si="80"/>
        <v>Franziska Wächtler</v>
      </c>
      <c r="AH346" s="17" t="str">
        <f>IFERROR(VLOOKUP(B346,[1]Kundenübersicht!$E$4:$F$85,2,FALSE),"")</f>
        <v>Helga Dienelt</v>
      </c>
      <c r="AI346" s="17" t="str">
        <f t="shared" si="71"/>
        <v>Hauswirtschaft</v>
      </c>
      <c r="AJ346" s="17" t="str">
        <f t="shared" si="71"/>
        <v>Entlastungsleistung</v>
      </c>
      <c r="AL346" s="18">
        <f t="shared" si="72"/>
        <v>38</v>
      </c>
      <c r="AM346" s="18">
        <f t="shared" si="73"/>
        <v>37.999999999999964</v>
      </c>
      <c r="AN346" s="18">
        <f t="shared" si="74"/>
        <v>0</v>
      </c>
    </row>
    <row r="347" spans="2:40" x14ac:dyDescent="0.25">
      <c r="B347" s="30" t="s">
        <v>62</v>
      </c>
      <c r="C347" s="31">
        <v>45996</v>
      </c>
      <c r="D347" s="32">
        <v>0.41666666666666669</v>
      </c>
      <c r="E347" s="32">
        <v>0.5</v>
      </c>
      <c r="F347" s="12">
        <f t="shared" si="69"/>
        <v>1.9999999999999996</v>
      </c>
      <c r="G347" s="12">
        <v>4.5</v>
      </c>
      <c r="H347" s="30" t="s">
        <v>64</v>
      </c>
      <c r="I347" s="30" t="s">
        <v>27</v>
      </c>
      <c r="J347" s="30" t="s">
        <v>28</v>
      </c>
      <c r="K347" s="9" t="str">
        <f>IFERROR(VLOOKUP($B347,[1]Kundenübersicht!$E$4:$AC$1003,MATCH(K$3,[1]Kundenübersicht!$E$3:$BA$3,FALSE),FALSE),"")</f>
        <v>IKK Classic</v>
      </c>
      <c r="L347" s="13">
        <f>IFERROR(VLOOKUP(B347,[1]Kundenübersicht!$E$4:$AC$1003,MATCH(L$3,[1]Kundenübersicht!$E$3:$BA$3,FALSE),FALSE),"")</f>
        <v>187202793</v>
      </c>
      <c r="M347" s="13" t="str">
        <f>IFERROR(VLOOKUP(B347,[1]Kundenübersicht!$E$4:$AC$1003,MATCH(M$3,[1]Kundenübersicht!$E$3:$BA$3,FALSE),FALSE),"")</f>
        <v>D629015744</v>
      </c>
      <c r="N347" s="13" t="str">
        <f>IFERROR(VLOOKUP(B347,[1]Kundenübersicht!$E$4:$AC$1003,MATCH(N$3,[1]Kundenübersicht!$E$3:$BA$3,FALSE),FALSE),"")</f>
        <v>PG 2</v>
      </c>
      <c r="P347" s="9" t="s">
        <v>29</v>
      </c>
      <c r="R347" s="9" t="str">
        <f t="shared" si="64"/>
        <v>Unterschrieben</v>
      </c>
      <c r="S347" s="14" t="s">
        <v>31</v>
      </c>
      <c r="U347" s="15">
        <f>IF(YEAR(C347)&lt;=2025,IFERROR(IF(I347="Hauswirtschaft",VLOOKUP($B347,[1]Kundenübersicht!$E$4:$BA$1003,MATCH("Hauswirtschaft [€/Stunde]",[1]Kundenübersicht!$E$3:$BA$3,FALSE),FALSE),VLOOKUP($B347,[1]Kundenübersicht!$E$4:$BA$1003,MATCH("Alltagsbegleitung [€/Stunde]",[1]Kundenübersicht!$E$3:$BA$3,FALSE),FALSE)),0),IFERROR(IF(I347="Hauswirtschaft",VLOOKUP($B347,[1]Kundenübersicht!$E$4:$BA$1003,MATCH("HW ab 2026 [€/Stunde]",[1]Kundenübersicht!$E$3:$BA$3,FALSE),FALSE),VLOOKUP($B347,[1]Kundenübersicht!$E$4:$BA$1003,MATCH("Alltagsbegleitung [€/Stunde]",[1]Kundenübersicht!$E$3:$BA$3,FALSE),FALSE)),0))</f>
        <v>32.75</v>
      </c>
      <c r="V347" s="16">
        <f t="shared" si="70"/>
        <v>65.499999999999986</v>
      </c>
      <c r="W347" s="16">
        <f t="shared" si="83"/>
        <v>0</v>
      </c>
      <c r="X347" s="16" t="str">
        <f>VLOOKUP(B347,[1]Kundenübersicht!E:AG,MATCH($X$3,[1]Kundenübersicht!$E$3:$AY$3,0),FALSE)</f>
        <v>Alt</v>
      </c>
      <c r="Z347" s="20" t="s">
        <v>29</v>
      </c>
      <c r="AA347" s="19">
        <v>46062</v>
      </c>
      <c r="AC347" s="19">
        <v>46076</v>
      </c>
      <c r="AE347" s="9">
        <f t="shared" si="78"/>
        <v>2025</v>
      </c>
      <c r="AF347" s="17" t="str">
        <f t="shared" si="79"/>
        <v>12.2025</v>
      </c>
      <c r="AG347" s="17" t="str">
        <f t="shared" si="80"/>
        <v>Ursula Ullmann</v>
      </c>
      <c r="AH347" s="17" t="str">
        <f>IFERROR(VLOOKUP(B347,[1]Kundenübersicht!$E$4:$F$85,2,FALSE),"")</f>
        <v>Hannelore Köhler</v>
      </c>
      <c r="AI347" s="17" t="str">
        <f t="shared" si="71"/>
        <v>Hauswirtschaft</v>
      </c>
      <c r="AJ347" s="17" t="str">
        <f t="shared" si="71"/>
        <v>Entlastungsleistung</v>
      </c>
      <c r="AL347" s="18">
        <f t="shared" si="72"/>
        <v>38</v>
      </c>
      <c r="AM347" s="18">
        <f t="shared" si="73"/>
        <v>75.999999999999986</v>
      </c>
      <c r="AN347" s="18">
        <f t="shared" si="74"/>
        <v>1.575</v>
      </c>
    </row>
    <row r="348" spans="2:40" x14ac:dyDescent="0.25">
      <c r="B348" s="30" t="s">
        <v>62</v>
      </c>
      <c r="C348" s="31">
        <v>46007</v>
      </c>
      <c r="D348" s="32">
        <v>0.375</v>
      </c>
      <c r="E348" s="32">
        <v>0.4375</v>
      </c>
      <c r="F348" s="12">
        <f t="shared" si="69"/>
        <v>1.5</v>
      </c>
      <c r="G348" s="12">
        <v>4.5</v>
      </c>
      <c r="H348" s="30" t="s">
        <v>64</v>
      </c>
      <c r="I348" s="30" t="s">
        <v>27</v>
      </c>
      <c r="J348" s="30" t="s">
        <v>28</v>
      </c>
      <c r="K348" s="9" t="str">
        <f>IFERROR(VLOOKUP($B348,[1]Kundenübersicht!$E$4:$AC$1003,MATCH(K$3,[1]Kundenübersicht!$E$3:$BA$3,FALSE),FALSE),"")</f>
        <v>IKK Classic</v>
      </c>
      <c r="L348" s="13">
        <f>IFERROR(VLOOKUP(B348,[1]Kundenübersicht!$E$4:$AC$1003,MATCH(L$3,[1]Kundenübersicht!$E$3:$BA$3,FALSE),FALSE),"")</f>
        <v>187202793</v>
      </c>
      <c r="M348" s="13" t="str">
        <f>IFERROR(VLOOKUP(B348,[1]Kundenübersicht!$E$4:$AC$1003,MATCH(M$3,[1]Kundenübersicht!$E$3:$BA$3,FALSE),FALSE),"")</f>
        <v>D629015744</v>
      </c>
      <c r="N348" s="13" t="str">
        <f>IFERROR(VLOOKUP(B348,[1]Kundenübersicht!$E$4:$AC$1003,MATCH(N$3,[1]Kundenübersicht!$E$3:$BA$3,FALSE),FALSE),"")</f>
        <v>PG 2</v>
      </c>
      <c r="P348" s="9" t="s">
        <v>29</v>
      </c>
      <c r="R348" s="9" t="str">
        <f t="shared" si="64"/>
        <v>Unterschrieben</v>
      </c>
      <c r="S348" s="14" t="s">
        <v>31</v>
      </c>
      <c r="U348" s="15">
        <f>IF(YEAR(C348)&lt;=2025,IFERROR(IF(I348="Hauswirtschaft",VLOOKUP($B348,[1]Kundenübersicht!$E$4:$BA$1003,MATCH("Hauswirtschaft [€/Stunde]",[1]Kundenübersicht!$E$3:$BA$3,FALSE),FALSE),VLOOKUP($B348,[1]Kundenübersicht!$E$4:$BA$1003,MATCH("Alltagsbegleitung [€/Stunde]",[1]Kundenübersicht!$E$3:$BA$3,FALSE),FALSE)),0),IFERROR(IF(I348="Hauswirtschaft",VLOOKUP($B348,[1]Kundenübersicht!$E$4:$BA$1003,MATCH("HW ab 2026 [€/Stunde]",[1]Kundenübersicht!$E$3:$BA$3,FALSE),FALSE),VLOOKUP($B348,[1]Kundenübersicht!$E$4:$BA$1003,MATCH("Alltagsbegleitung [€/Stunde]",[1]Kundenübersicht!$E$3:$BA$3,FALSE),FALSE)),0))</f>
        <v>32.75</v>
      </c>
      <c r="V348" s="16">
        <f t="shared" si="70"/>
        <v>49.125</v>
      </c>
      <c r="W348" s="16">
        <f t="shared" si="83"/>
        <v>0</v>
      </c>
      <c r="X348" s="16" t="str">
        <f>VLOOKUP(B348,[1]Kundenübersicht!E:AG,MATCH($X$3,[1]Kundenübersicht!$E$3:$AY$3,0),FALSE)</f>
        <v>Alt</v>
      </c>
      <c r="Z348" s="20" t="s">
        <v>29</v>
      </c>
      <c r="AA348" s="19">
        <v>46062</v>
      </c>
      <c r="AC348" s="19">
        <v>46076</v>
      </c>
      <c r="AE348" s="9">
        <f t="shared" si="78"/>
        <v>2025</v>
      </c>
      <c r="AF348" s="17" t="str">
        <f t="shared" si="79"/>
        <v>12.2025</v>
      </c>
      <c r="AG348" s="17" t="str">
        <f t="shared" si="80"/>
        <v>Ursula Ullmann</v>
      </c>
      <c r="AH348" s="17" t="str">
        <f>IFERROR(VLOOKUP(B348,[1]Kundenübersicht!$E$4:$F$85,2,FALSE),"")</f>
        <v>Hannelore Köhler</v>
      </c>
      <c r="AI348" s="17" t="str">
        <f t="shared" si="71"/>
        <v>Hauswirtschaft</v>
      </c>
      <c r="AJ348" s="17" t="str">
        <f t="shared" si="71"/>
        <v>Entlastungsleistung</v>
      </c>
      <c r="AL348" s="18">
        <f t="shared" si="72"/>
        <v>38</v>
      </c>
      <c r="AM348" s="18">
        <f t="shared" si="73"/>
        <v>57</v>
      </c>
      <c r="AN348" s="18">
        <f t="shared" si="74"/>
        <v>1.575</v>
      </c>
    </row>
    <row r="349" spans="2:40" x14ac:dyDescent="0.25">
      <c r="B349" s="30" t="s">
        <v>56</v>
      </c>
      <c r="C349" s="31">
        <v>45995</v>
      </c>
      <c r="D349" s="32">
        <v>0.58333333333333337</v>
      </c>
      <c r="E349" s="32">
        <v>0.66666666666666663</v>
      </c>
      <c r="F349" s="12">
        <f t="shared" si="69"/>
        <v>1.9999999999999982</v>
      </c>
      <c r="G349" s="12">
        <v>7</v>
      </c>
      <c r="H349" s="30" t="s">
        <v>64</v>
      </c>
      <c r="I349" s="30" t="s">
        <v>27</v>
      </c>
      <c r="J349" s="30" t="s">
        <v>28</v>
      </c>
      <c r="K349" s="9" t="str">
        <f>IFERROR(VLOOKUP($B349,[1]Kundenübersicht!$E$4:$AC$1003,MATCH(K$3,[1]Kundenübersicht!$E$3:$BA$3,FALSE),FALSE),"")</f>
        <v>Barmer Pflegekasse</v>
      </c>
      <c r="L349" s="13">
        <f>IFERROR(VLOOKUP(B349,[1]Kundenübersicht!$E$4:$AC$1003,MATCH(L$3,[1]Kundenübersicht!$E$3:$BA$3,FALSE),FALSE),"")</f>
        <v>184940005</v>
      </c>
      <c r="M349" s="13" t="str">
        <f>IFERROR(VLOOKUP(B349,[1]Kundenübersicht!$E$4:$AC$1003,MATCH(M$3,[1]Kundenübersicht!$E$3:$BA$3,FALSE),FALSE),"")</f>
        <v>F006688944</v>
      </c>
      <c r="N349" s="13" t="str">
        <f>IFERROR(VLOOKUP(B349,[1]Kundenübersicht!$E$4:$AC$1003,MATCH(N$3,[1]Kundenübersicht!$E$3:$BA$3,FALSE),FALSE),"")</f>
        <v>PG 1</v>
      </c>
      <c r="P349" s="9" t="s">
        <v>29</v>
      </c>
      <c r="R349" s="9" t="str">
        <f t="shared" si="64"/>
        <v>Unterschrieben</v>
      </c>
      <c r="S349" s="14" t="s">
        <v>31</v>
      </c>
      <c r="U349" s="15">
        <f>IF(YEAR(C349)&lt;=2025,IFERROR(IF(I349="Hauswirtschaft",VLOOKUP($B349,[1]Kundenübersicht!$E$4:$BA$1003,MATCH("Hauswirtschaft [€/Stunde]",[1]Kundenübersicht!$E$3:$BA$3,FALSE),FALSE),VLOOKUP($B349,[1]Kundenübersicht!$E$4:$BA$1003,MATCH("Alltagsbegleitung [€/Stunde]",[1]Kundenübersicht!$E$3:$BA$3,FALSE),FALSE)),0),IFERROR(IF(I349="Hauswirtschaft",VLOOKUP($B349,[1]Kundenübersicht!$E$4:$BA$1003,MATCH("HW ab 2026 [€/Stunde]",[1]Kundenübersicht!$E$3:$BA$3,FALSE),FALSE),VLOOKUP($B349,[1]Kundenübersicht!$E$4:$BA$1003,MATCH("Alltagsbegleitung [€/Stunde]",[1]Kundenübersicht!$E$3:$BA$3,FALSE),FALSE)),0))</f>
        <v>32.75</v>
      </c>
      <c r="V349" s="16">
        <f t="shared" si="70"/>
        <v>65.499999999999943</v>
      </c>
      <c r="W349" s="16">
        <f t="shared" si="83"/>
        <v>0</v>
      </c>
      <c r="X349" s="16" t="str">
        <f>VLOOKUP(B349,[1]Kundenübersicht!E:AG,MATCH($X$3,[1]Kundenübersicht!$E$3:$AY$3,0),FALSE)</f>
        <v>Alt</v>
      </c>
      <c r="Z349" s="20" t="str">
        <f t="shared" ref="Z349:Z350" si="84">IF(AA349="","Nein","Ja")</f>
        <v>Ja</v>
      </c>
      <c r="AA349" s="19">
        <v>45697</v>
      </c>
      <c r="AC349" s="19"/>
      <c r="AE349" s="9">
        <f t="shared" si="78"/>
        <v>2025</v>
      </c>
      <c r="AF349" s="17" t="str">
        <f t="shared" si="79"/>
        <v>12.2025</v>
      </c>
      <c r="AG349" s="17" t="str">
        <f t="shared" si="80"/>
        <v>Ursula Ullmann</v>
      </c>
      <c r="AH349" s="17" t="str">
        <f>IFERROR(VLOOKUP(B349,[1]Kundenübersicht!$E$4:$F$85,2,FALSE),"")</f>
        <v>Gudrun Hentschel</v>
      </c>
      <c r="AI349" s="17" t="str">
        <f t="shared" si="71"/>
        <v>Hauswirtschaft</v>
      </c>
      <c r="AJ349" s="17" t="str">
        <f t="shared" si="71"/>
        <v>Entlastungsleistung</v>
      </c>
      <c r="AL349" s="18">
        <f t="shared" si="72"/>
        <v>38</v>
      </c>
      <c r="AM349" s="18">
        <f t="shared" si="73"/>
        <v>75.999999999999929</v>
      </c>
      <c r="AN349" s="18">
        <f t="shared" si="74"/>
        <v>2.4499999999999997</v>
      </c>
    </row>
    <row r="350" spans="2:40" x14ac:dyDescent="0.25">
      <c r="B350" s="30" t="s">
        <v>56</v>
      </c>
      <c r="C350" s="31">
        <v>46008</v>
      </c>
      <c r="D350" s="32">
        <v>0.58333333333333337</v>
      </c>
      <c r="E350" s="32">
        <v>0.66666666666666663</v>
      </c>
      <c r="F350" s="12">
        <f t="shared" si="69"/>
        <v>1.9999999999999982</v>
      </c>
      <c r="G350" s="12">
        <v>7</v>
      </c>
      <c r="H350" s="30" t="s">
        <v>64</v>
      </c>
      <c r="I350" s="30" t="s">
        <v>27</v>
      </c>
      <c r="J350" s="30" t="s">
        <v>28</v>
      </c>
      <c r="K350" s="9" t="str">
        <f>IFERROR(VLOOKUP($B350,[1]Kundenübersicht!$E$4:$AC$1003,MATCH(K$3,[1]Kundenübersicht!$E$3:$BA$3,FALSE),FALSE),"")</f>
        <v>Barmer Pflegekasse</v>
      </c>
      <c r="L350" s="13">
        <f>IFERROR(VLOOKUP(B350,[1]Kundenübersicht!$E$4:$AC$1003,MATCH(L$3,[1]Kundenübersicht!$E$3:$BA$3,FALSE),FALSE),"")</f>
        <v>184940005</v>
      </c>
      <c r="M350" s="13" t="str">
        <f>IFERROR(VLOOKUP(B350,[1]Kundenübersicht!$E$4:$AC$1003,MATCH(M$3,[1]Kundenübersicht!$E$3:$BA$3,FALSE),FALSE),"")</f>
        <v>F006688944</v>
      </c>
      <c r="N350" s="13" t="str">
        <f>IFERROR(VLOOKUP(B350,[1]Kundenübersicht!$E$4:$AC$1003,MATCH(N$3,[1]Kundenübersicht!$E$3:$BA$3,FALSE),FALSE),"")</f>
        <v>PG 1</v>
      </c>
      <c r="P350" s="9" t="s">
        <v>29</v>
      </c>
      <c r="R350" s="9" t="str">
        <f t="shared" si="64"/>
        <v>Unterschrieben</v>
      </c>
      <c r="S350" s="14" t="s">
        <v>31</v>
      </c>
      <c r="U350" s="15">
        <f>IF(YEAR(C350)&lt;=2025,IFERROR(IF(I350="Hauswirtschaft",VLOOKUP($B350,[1]Kundenübersicht!$E$4:$BA$1003,MATCH("Hauswirtschaft [€/Stunde]",[1]Kundenübersicht!$E$3:$BA$3,FALSE),FALSE),VLOOKUP($B350,[1]Kundenübersicht!$E$4:$BA$1003,MATCH("Alltagsbegleitung [€/Stunde]",[1]Kundenübersicht!$E$3:$BA$3,FALSE),FALSE)),0),IFERROR(IF(I350="Hauswirtschaft",VLOOKUP($B350,[1]Kundenübersicht!$E$4:$BA$1003,MATCH("HW ab 2026 [€/Stunde]",[1]Kundenübersicht!$E$3:$BA$3,FALSE),FALSE),VLOOKUP($B350,[1]Kundenübersicht!$E$4:$BA$1003,MATCH("Alltagsbegleitung [€/Stunde]",[1]Kundenübersicht!$E$3:$BA$3,FALSE),FALSE)),0))</f>
        <v>32.75</v>
      </c>
      <c r="V350" s="16">
        <f t="shared" si="70"/>
        <v>65.499999999999943</v>
      </c>
      <c r="W350" s="16">
        <f t="shared" si="83"/>
        <v>0</v>
      </c>
      <c r="X350" s="16" t="str">
        <f>VLOOKUP(B350,[1]Kundenübersicht!E:AG,MATCH($X$3,[1]Kundenübersicht!$E$3:$AY$3,0),FALSE)</f>
        <v>Alt</v>
      </c>
      <c r="Z350" s="20" t="str">
        <f t="shared" si="84"/>
        <v>Ja</v>
      </c>
      <c r="AA350" s="19">
        <v>45697</v>
      </c>
      <c r="AC350" s="19"/>
      <c r="AE350" s="9">
        <f t="shared" si="78"/>
        <v>2025</v>
      </c>
      <c r="AF350" s="17" t="str">
        <f t="shared" si="79"/>
        <v>12.2025</v>
      </c>
      <c r="AG350" s="17" t="str">
        <f t="shared" si="80"/>
        <v>Ursula Ullmann</v>
      </c>
      <c r="AH350" s="17" t="str">
        <f>IFERROR(VLOOKUP(B350,[1]Kundenübersicht!$E$4:$F$85,2,FALSE),"")</f>
        <v>Gudrun Hentschel</v>
      </c>
      <c r="AI350" s="17" t="str">
        <f t="shared" si="71"/>
        <v>Hauswirtschaft</v>
      </c>
      <c r="AJ350" s="17" t="str">
        <f t="shared" si="71"/>
        <v>Entlastungsleistung</v>
      </c>
      <c r="AL350" s="18">
        <f t="shared" si="72"/>
        <v>38</v>
      </c>
      <c r="AM350" s="18">
        <f t="shared" si="73"/>
        <v>75.999999999999929</v>
      </c>
      <c r="AN350" s="18">
        <f t="shared" si="74"/>
        <v>2.4499999999999997</v>
      </c>
    </row>
    <row r="351" spans="2:40" x14ac:dyDescent="0.25">
      <c r="B351" s="30" t="s">
        <v>58</v>
      </c>
      <c r="C351" s="31">
        <v>45995</v>
      </c>
      <c r="D351" s="32">
        <v>0.33333333333333331</v>
      </c>
      <c r="E351" s="32">
        <v>0.35416666666666669</v>
      </c>
      <c r="F351" s="12">
        <f t="shared" si="69"/>
        <v>0.50000000000000089</v>
      </c>
      <c r="G351" s="12">
        <v>12.5</v>
      </c>
      <c r="H351" s="30" t="s">
        <v>64</v>
      </c>
      <c r="I351" s="30" t="s">
        <v>27</v>
      </c>
      <c r="J351" s="30" t="s">
        <v>28</v>
      </c>
      <c r="K351" s="9" t="str">
        <f>IFERROR(VLOOKUP($B351,[1]Kundenübersicht!$E$4:$AC$1003,MATCH(K$3,[1]Kundenübersicht!$E$3:$BA$3,FALSE),FALSE),"")</f>
        <v>IKK Classic</v>
      </c>
      <c r="L351" s="13">
        <f>IFERROR(VLOOKUP(B351,[1]Kundenübersicht!$E$4:$AC$1003,MATCH(L$3,[1]Kundenübersicht!$E$3:$BA$3,FALSE),FALSE),"")</f>
        <v>187202793</v>
      </c>
      <c r="M351" s="13" t="str">
        <f>IFERROR(VLOOKUP(B351,[1]Kundenübersicht!$E$4:$AC$1003,MATCH(M$3,[1]Kundenübersicht!$E$3:$BA$3,FALSE),FALSE),"")</f>
        <v>G520510754</v>
      </c>
      <c r="N351" s="13" t="str">
        <f>IFERROR(VLOOKUP(B351,[1]Kundenübersicht!$E$4:$AC$1003,MATCH(N$3,[1]Kundenübersicht!$E$3:$BA$3,FALSE),FALSE),"")</f>
        <v>PG 2</v>
      </c>
      <c r="P351" s="9" t="s">
        <v>29</v>
      </c>
      <c r="R351" s="9" t="str">
        <f t="shared" si="64"/>
        <v>Unterschrieben</v>
      </c>
      <c r="S351" s="14" t="s">
        <v>31</v>
      </c>
      <c r="U351" s="15">
        <f>IF(YEAR(C351)&lt;=2025,IFERROR(IF(I351="Hauswirtschaft",VLOOKUP($B351,[1]Kundenübersicht!$E$4:$BA$1003,MATCH("Hauswirtschaft [€/Stunde]",[1]Kundenübersicht!$E$3:$BA$3,FALSE),FALSE),VLOOKUP($B351,[1]Kundenübersicht!$E$4:$BA$1003,MATCH("Alltagsbegleitung [€/Stunde]",[1]Kundenübersicht!$E$3:$BA$3,FALSE),FALSE)),0),IFERROR(IF(I351="Hauswirtschaft",VLOOKUP($B351,[1]Kundenübersicht!$E$4:$BA$1003,MATCH("HW ab 2026 [€/Stunde]",[1]Kundenübersicht!$E$3:$BA$3,FALSE),FALSE),VLOOKUP($B351,[1]Kundenübersicht!$E$4:$BA$1003,MATCH("Alltagsbegleitung [€/Stunde]",[1]Kundenübersicht!$E$3:$BA$3,FALSE),FALSE)),0))</f>
        <v>32.75</v>
      </c>
      <c r="V351" s="16">
        <f t="shared" si="70"/>
        <v>16.375000000000028</v>
      </c>
      <c r="W351" s="16">
        <f t="shared" si="83"/>
        <v>0</v>
      </c>
      <c r="X351" s="16" t="str">
        <f>VLOOKUP(B351,[1]Kundenübersicht!E:AG,MATCH($X$3,[1]Kundenübersicht!$E$3:$AY$3,0),FALSE)</f>
        <v>Alt</v>
      </c>
      <c r="Z351" s="20" t="s">
        <v>29</v>
      </c>
      <c r="AA351" s="19">
        <v>46062</v>
      </c>
      <c r="AC351" s="19">
        <v>46076</v>
      </c>
      <c r="AE351" s="9">
        <f t="shared" si="78"/>
        <v>2025</v>
      </c>
      <c r="AF351" s="17" t="str">
        <f t="shared" si="79"/>
        <v>12.2025</v>
      </c>
      <c r="AG351" s="17" t="str">
        <f t="shared" si="80"/>
        <v>Ursula Ullmann</v>
      </c>
      <c r="AH351" s="17" t="str">
        <f>IFERROR(VLOOKUP(B351,[1]Kundenübersicht!$E$4:$F$85,2,FALSE),"")</f>
        <v>Bernd Fischer</v>
      </c>
      <c r="AI351" s="17" t="str">
        <f t="shared" si="71"/>
        <v>Hauswirtschaft</v>
      </c>
      <c r="AJ351" s="17" t="str">
        <f t="shared" si="71"/>
        <v>Entlastungsleistung</v>
      </c>
      <c r="AL351" s="18">
        <f t="shared" si="72"/>
        <v>38</v>
      </c>
      <c r="AM351" s="18">
        <f t="shared" si="73"/>
        <v>19.000000000000036</v>
      </c>
      <c r="AN351" s="18">
        <f t="shared" si="74"/>
        <v>4.375</v>
      </c>
    </row>
    <row r="352" spans="2:40" x14ac:dyDescent="0.25">
      <c r="B352" s="30" t="s">
        <v>58</v>
      </c>
      <c r="C352" s="31">
        <v>45999</v>
      </c>
      <c r="D352" s="32">
        <v>0.41666666666666669</v>
      </c>
      <c r="E352" s="32">
        <v>0.45833333333333331</v>
      </c>
      <c r="F352" s="12">
        <f t="shared" si="69"/>
        <v>0.99999999999999911</v>
      </c>
      <c r="G352" s="12">
        <v>7</v>
      </c>
      <c r="H352" s="30" t="s">
        <v>64</v>
      </c>
      <c r="I352" s="30" t="s">
        <v>27</v>
      </c>
      <c r="J352" s="30" t="s">
        <v>28</v>
      </c>
      <c r="K352" s="9" t="str">
        <f>IFERROR(VLOOKUP($B352,[1]Kundenübersicht!$E$4:$AC$1003,MATCH(K$3,[1]Kundenübersicht!$E$3:$BA$3,FALSE),FALSE),"")</f>
        <v>IKK Classic</v>
      </c>
      <c r="L352" s="13">
        <f>IFERROR(VLOOKUP(B352,[1]Kundenübersicht!$E$4:$AC$1003,MATCH(L$3,[1]Kundenübersicht!$E$3:$BA$3,FALSE),FALSE),"")</f>
        <v>187202793</v>
      </c>
      <c r="M352" s="13" t="str">
        <f>IFERROR(VLOOKUP(B352,[1]Kundenübersicht!$E$4:$AC$1003,MATCH(M$3,[1]Kundenübersicht!$E$3:$BA$3,FALSE),FALSE),"")</f>
        <v>G520510754</v>
      </c>
      <c r="N352" s="13" t="str">
        <f>IFERROR(VLOOKUP(B352,[1]Kundenübersicht!$E$4:$AC$1003,MATCH(N$3,[1]Kundenübersicht!$E$3:$BA$3,FALSE),FALSE),"")</f>
        <v>PG 2</v>
      </c>
      <c r="P352" s="9" t="s">
        <v>29</v>
      </c>
      <c r="R352" s="9" t="str">
        <f t="shared" si="64"/>
        <v>Unterschrieben</v>
      </c>
      <c r="S352" s="14" t="s">
        <v>31</v>
      </c>
      <c r="U352" s="15">
        <f>IF(YEAR(C352)&lt;=2025,IFERROR(IF(I352="Hauswirtschaft",VLOOKUP($B352,[1]Kundenübersicht!$E$4:$BA$1003,MATCH("Hauswirtschaft [€/Stunde]",[1]Kundenübersicht!$E$3:$BA$3,FALSE),FALSE),VLOOKUP($B352,[1]Kundenübersicht!$E$4:$BA$1003,MATCH("Alltagsbegleitung [€/Stunde]",[1]Kundenübersicht!$E$3:$BA$3,FALSE),FALSE)),0),IFERROR(IF(I352="Hauswirtschaft",VLOOKUP($B352,[1]Kundenübersicht!$E$4:$BA$1003,MATCH("HW ab 2026 [€/Stunde]",[1]Kundenübersicht!$E$3:$BA$3,FALSE),FALSE),VLOOKUP($B352,[1]Kundenübersicht!$E$4:$BA$1003,MATCH("Alltagsbegleitung [€/Stunde]",[1]Kundenübersicht!$E$3:$BA$3,FALSE),FALSE)),0))</f>
        <v>32.75</v>
      </c>
      <c r="V352" s="16">
        <f t="shared" si="70"/>
        <v>32.749999999999972</v>
      </c>
      <c r="W352" s="16">
        <f t="shared" si="83"/>
        <v>0</v>
      </c>
      <c r="X352" s="16" t="str">
        <f>VLOOKUP(B352,[1]Kundenübersicht!E:AG,MATCH($X$3,[1]Kundenübersicht!$E$3:$AY$3,0),FALSE)</f>
        <v>Alt</v>
      </c>
      <c r="Z352" s="20" t="s">
        <v>29</v>
      </c>
      <c r="AA352" s="19">
        <v>46062</v>
      </c>
      <c r="AC352" s="19">
        <v>46076</v>
      </c>
      <c r="AE352" s="9">
        <f t="shared" si="78"/>
        <v>2025</v>
      </c>
      <c r="AF352" s="17" t="str">
        <f t="shared" si="79"/>
        <v>12.2025</v>
      </c>
      <c r="AG352" s="17" t="str">
        <f t="shared" si="80"/>
        <v>Ursula Ullmann</v>
      </c>
      <c r="AH352" s="17" t="str">
        <f>IFERROR(VLOOKUP(B352,[1]Kundenübersicht!$E$4:$F$85,2,FALSE),"")</f>
        <v>Bernd Fischer</v>
      </c>
      <c r="AI352" s="17" t="str">
        <f t="shared" si="71"/>
        <v>Hauswirtschaft</v>
      </c>
      <c r="AJ352" s="17" t="str">
        <f t="shared" si="71"/>
        <v>Entlastungsleistung</v>
      </c>
      <c r="AL352" s="18">
        <f t="shared" si="72"/>
        <v>38</v>
      </c>
      <c r="AM352" s="18">
        <f t="shared" si="73"/>
        <v>37.999999999999964</v>
      </c>
      <c r="AN352" s="18">
        <f t="shared" si="74"/>
        <v>2.4499999999999997</v>
      </c>
    </row>
    <row r="353" spans="2:40" x14ac:dyDescent="0.25">
      <c r="B353" s="30" t="s">
        <v>58</v>
      </c>
      <c r="C353" s="31">
        <v>46004</v>
      </c>
      <c r="D353" s="32">
        <v>0.41666666666666669</v>
      </c>
      <c r="E353" s="32">
        <v>0.47916666666666669</v>
      </c>
      <c r="F353" s="12">
        <f t="shared" si="69"/>
        <v>1.5</v>
      </c>
      <c r="G353" s="12">
        <v>7</v>
      </c>
      <c r="H353" s="30" t="s">
        <v>64</v>
      </c>
      <c r="I353" s="30" t="s">
        <v>27</v>
      </c>
      <c r="J353" s="30" t="s">
        <v>28</v>
      </c>
      <c r="K353" s="9" t="str">
        <f>IFERROR(VLOOKUP($B353,[1]Kundenübersicht!$E$4:$AC$1003,MATCH(K$3,[1]Kundenübersicht!$E$3:$BA$3,FALSE),FALSE),"")</f>
        <v>IKK Classic</v>
      </c>
      <c r="L353" s="13">
        <f>IFERROR(VLOOKUP(B353,[1]Kundenübersicht!$E$4:$AC$1003,MATCH(L$3,[1]Kundenübersicht!$E$3:$BA$3,FALSE),FALSE),"")</f>
        <v>187202793</v>
      </c>
      <c r="M353" s="13" t="str">
        <f>IFERROR(VLOOKUP(B353,[1]Kundenübersicht!$E$4:$AC$1003,MATCH(M$3,[1]Kundenübersicht!$E$3:$BA$3,FALSE),FALSE),"")</f>
        <v>G520510754</v>
      </c>
      <c r="N353" s="13" t="str">
        <f>IFERROR(VLOOKUP(B353,[1]Kundenübersicht!$E$4:$AC$1003,MATCH(N$3,[1]Kundenübersicht!$E$3:$BA$3,FALSE),FALSE),"")</f>
        <v>PG 2</v>
      </c>
      <c r="P353" s="9" t="s">
        <v>29</v>
      </c>
      <c r="R353" s="9" t="str">
        <f t="shared" si="64"/>
        <v>Unterschrieben</v>
      </c>
      <c r="S353" s="14" t="s">
        <v>31</v>
      </c>
      <c r="U353" s="15">
        <f>IF(YEAR(C353)&lt;=2025,IFERROR(IF(I353="Hauswirtschaft",VLOOKUP($B353,[1]Kundenübersicht!$E$4:$BA$1003,MATCH("Hauswirtschaft [€/Stunde]",[1]Kundenübersicht!$E$3:$BA$3,FALSE),FALSE),VLOOKUP($B353,[1]Kundenübersicht!$E$4:$BA$1003,MATCH("Alltagsbegleitung [€/Stunde]",[1]Kundenübersicht!$E$3:$BA$3,FALSE),FALSE)),0),IFERROR(IF(I353="Hauswirtschaft",VLOOKUP($B353,[1]Kundenübersicht!$E$4:$BA$1003,MATCH("HW ab 2026 [€/Stunde]",[1]Kundenübersicht!$E$3:$BA$3,FALSE),FALSE),VLOOKUP($B353,[1]Kundenübersicht!$E$4:$BA$1003,MATCH("Alltagsbegleitung [€/Stunde]",[1]Kundenübersicht!$E$3:$BA$3,FALSE),FALSE)),0))</f>
        <v>32.75</v>
      </c>
      <c r="V353" s="16">
        <f t="shared" si="70"/>
        <v>49.125</v>
      </c>
      <c r="W353" s="16">
        <f t="shared" si="83"/>
        <v>0</v>
      </c>
      <c r="X353" s="16" t="str">
        <f>VLOOKUP(B353,[1]Kundenübersicht!E:AG,MATCH($X$3,[1]Kundenübersicht!$E$3:$AY$3,0),FALSE)</f>
        <v>Alt</v>
      </c>
      <c r="Z353" s="20" t="s">
        <v>29</v>
      </c>
      <c r="AA353" s="19">
        <v>46062</v>
      </c>
      <c r="AC353" s="19">
        <v>46076</v>
      </c>
      <c r="AE353" s="9">
        <f t="shared" si="78"/>
        <v>2025</v>
      </c>
      <c r="AF353" s="17" t="str">
        <f t="shared" si="79"/>
        <v>12.2025</v>
      </c>
      <c r="AG353" s="17" t="str">
        <f t="shared" si="80"/>
        <v>Ursula Ullmann</v>
      </c>
      <c r="AH353" s="17" t="str">
        <f>IFERROR(VLOOKUP(B353,[1]Kundenübersicht!$E$4:$F$85,2,FALSE),"")</f>
        <v>Bernd Fischer</v>
      </c>
      <c r="AI353" s="17" t="str">
        <f t="shared" ref="AI353:AJ397" si="85">IF(I353="","",I353)</f>
        <v>Hauswirtschaft</v>
      </c>
      <c r="AJ353" s="17" t="str">
        <f t="shared" si="85"/>
        <v>Entlastungsleistung</v>
      </c>
      <c r="AL353" s="18">
        <f t="shared" si="72"/>
        <v>38</v>
      </c>
      <c r="AM353" s="18">
        <f t="shared" si="73"/>
        <v>57</v>
      </c>
      <c r="AN353" s="18">
        <f t="shared" si="74"/>
        <v>2.4499999999999997</v>
      </c>
    </row>
    <row r="354" spans="2:40" x14ac:dyDescent="0.25">
      <c r="B354" s="30" t="s">
        <v>67</v>
      </c>
      <c r="C354" s="31">
        <v>45996</v>
      </c>
      <c r="D354" s="32">
        <v>0.35416666666666669</v>
      </c>
      <c r="E354" s="32">
        <v>0.39583333333333331</v>
      </c>
      <c r="F354" s="12">
        <f t="shared" si="69"/>
        <v>0.99999999999999911</v>
      </c>
      <c r="G354" s="12">
        <v>3.5</v>
      </c>
      <c r="H354" s="30" t="s">
        <v>64</v>
      </c>
      <c r="I354" s="30" t="s">
        <v>27</v>
      </c>
      <c r="J354" s="30" t="s">
        <v>28</v>
      </c>
      <c r="K354" s="9" t="str">
        <f>IFERROR(VLOOKUP($B354,[1]Kundenübersicht!$E$4:$AC$1003,MATCH(K$3,[1]Kundenübersicht!$E$3:$BA$3,FALSE),FALSE),"")</f>
        <v>Barmer Pflegekasse</v>
      </c>
      <c r="L354" s="13">
        <f>IFERROR(VLOOKUP(B354,[1]Kundenübersicht!$E$4:$AC$1003,MATCH(L$3,[1]Kundenübersicht!$E$3:$BA$3,FALSE),FALSE),"")</f>
        <v>184940005</v>
      </c>
      <c r="M354" s="13" t="str">
        <f>IFERROR(VLOOKUP(B354,[1]Kundenübersicht!$E$4:$AC$1003,MATCH(M$3,[1]Kundenübersicht!$E$3:$BA$3,FALSE),FALSE),"")</f>
        <v>K535388327</v>
      </c>
      <c r="N354" s="13" t="str">
        <f>IFERROR(VLOOKUP(B354,[1]Kundenübersicht!$E$4:$AC$1003,MATCH(N$3,[1]Kundenübersicht!$E$3:$BA$3,FALSE),FALSE),"")</f>
        <v>PG 2</v>
      </c>
      <c r="P354" s="9" t="s">
        <v>29</v>
      </c>
      <c r="R354" s="9" t="str">
        <f t="shared" si="64"/>
        <v>Unterschrieben</v>
      </c>
      <c r="S354" s="14" t="s">
        <v>31</v>
      </c>
      <c r="U354" s="15">
        <f>IF(YEAR(C354)&lt;=2025,IFERROR(IF(I354="Hauswirtschaft",VLOOKUP($B354,[1]Kundenübersicht!$E$4:$BA$1003,MATCH("Hauswirtschaft [€/Stunde]",[1]Kundenübersicht!$E$3:$BA$3,FALSE),FALSE),VLOOKUP($B354,[1]Kundenübersicht!$E$4:$BA$1003,MATCH("Alltagsbegleitung [€/Stunde]",[1]Kundenübersicht!$E$3:$BA$3,FALSE),FALSE)),0),IFERROR(IF(I354="Hauswirtschaft",VLOOKUP($B354,[1]Kundenübersicht!$E$4:$BA$1003,MATCH("HW ab 2026 [€/Stunde]",[1]Kundenübersicht!$E$3:$BA$3,FALSE),FALSE),VLOOKUP($B354,[1]Kundenübersicht!$E$4:$BA$1003,MATCH("Alltagsbegleitung [€/Stunde]",[1]Kundenübersicht!$E$3:$BA$3,FALSE),FALSE)),0))</f>
        <v>32.75</v>
      </c>
      <c r="V354" s="16">
        <f t="shared" si="70"/>
        <v>32.749999999999972</v>
      </c>
      <c r="W354" s="16">
        <f t="shared" si="83"/>
        <v>0</v>
      </c>
      <c r="X354" s="16" t="str">
        <f>VLOOKUP(B354,[1]Kundenübersicht!E:AG,MATCH($X$3,[1]Kundenübersicht!$E$3:$AY$3,0),FALSE)</f>
        <v>Alt</v>
      </c>
      <c r="Z354" s="20" t="str">
        <f t="shared" ref="Z354:Z356" si="86">IF(AA354="","Nein","Ja")</f>
        <v>Ja</v>
      </c>
      <c r="AA354" s="19">
        <v>45697</v>
      </c>
      <c r="AC354" s="19"/>
      <c r="AE354" s="9">
        <f t="shared" si="78"/>
        <v>2025</v>
      </c>
      <c r="AF354" s="17" t="str">
        <f t="shared" si="79"/>
        <v>12.2025</v>
      </c>
      <c r="AG354" s="17" t="str">
        <f t="shared" si="80"/>
        <v>Ursula Ullmann</v>
      </c>
      <c r="AH354" s="17" t="str">
        <f>IFERROR(VLOOKUP(B354,[1]Kundenübersicht!$E$4:$F$85,2,FALSE),"")</f>
        <v>Luzia Pohlers</v>
      </c>
      <c r="AI354" s="17" t="str">
        <f t="shared" si="85"/>
        <v>Hauswirtschaft</v>
      </c>
      <c r="AJ354" s="17" t="str">
        <f t="shared" si="85"/>
        <v>Entlastungsleistung</v>
      </c>
      <c r="AL354" s="18">
        <f t="shared" si="72"/>
        <v>38</v>
      </c>
      <c r="AM354" s="18">
        <f t="shared" si="73"/>
        <v>37.999999999999964</v>
      </c>
      <c r="AN354" s="18">
        <f t="shared" si="74"/>
        <v>1.2249999999999999</v>
      </c>
    </row>
    <row r="355" spans="2:40" x14ac:dyDescent="0.25">
      <c r="B355" s="30" t="s">
        <v>67</v>
      </c>
      <c r="C355" s="31">
        <v>46003</v>
      </c>
      <c r="D355" s="32">
        <v>0.35416666666666669</v>
      </c>
      <c r="E355" s="32">
        <v>0.39583333333333331</v>
      </c>
      <c r="F355" s="12">
        <f t="shared" si="69"/>
        <v>0.99999999999999911</v>
      </c>
      <c r="G355" s="12">
        <v>3.5</v>
      </c>
      <c r="H355" s="30" t="s">
        <v>64</v>
      </c>
      <c r="I355" s="30" t="s">
        <v>27</v>
      </c>
      <c r="J355" s="30" t="s">
        <v>28</v>
      </c>
      <c r="K355" s="9" t="str">
        <f>IFERROR(VLOOKUP($B355,[1]Kundenübersicht!$E$4:$AC$1003,MATCH(K$3,[1]Kundenübersicht!$E$3:$BA$3,FALSE),FALSE),"")</f>
        <v>Barmer Pflegekasse</v>
      </c>
      <c r="L355" s="13">
        <f>IFERROR(VLOOKUP(B355,[1]Kundenübersicht!$E$4:$AC$1003,MATCH(L$3,[1]Kundenübersicht!$E$3:$BA$3,FALSE),FALSE),"")</f>
        <v>184940005</v>
      </c>
      <c r="M355" s="13" t="str">
        <f>IFERROR(VLOOKUP(B355,[1]Kundenübersicht!$E$4:$AC$1003,MATCH(M$3,[1]Kundenübersicht!$E$3:$BA$3,FALSE),FALSE),"")</f>
        <v>K535388327</v>
      </c>
      <c r="N355" s="13" t="str">
        <f>IFERROR(VLOOKUP(B355,[1]Kundenübersicht!$E$4:$AC$1003,MATCH(N$3,[1]Kundenübersicht!$E$3:$BA$3,FALSE),FALSE),"")</f>
        <v>PG 2</v>
      </c>
      <c r="P355" s="9" t="s">
        <v>29</v>
      </c>
      <c r="R355" s="9" t="str">
        <f t="shared" si="64"/>
        <v>Unterschrieben</v>
      </c>
      <c r="S355" s="14" t="s">
        <v>31</v>
      </c>
      <c r="U355" s="15">
        <f>IF(YEAR(C355)&lt;=2025,IFERROR(IF(I355="Hauswirtschaft",VLOOKUP($B355,[1]Kundenübersicht!$E$4:$BA$1003,MATCH("Hauswirtschaft [€/Stunde]",[1]Kundenübersicht!$E$3:$BA$3,FALSE),FALSE),VLOOKUP($B355,[1]Kundenübersicht!$E$4:$BA$1003,MATCH("Alltagsbegleitung [€/Stunde]",[1]Kundenübersicht!$E$3:$BA$3,FALSE),FALSE)),0),IFERROR(IF(I355="Hauswirtschaft",VLOOKUP($B355,[1]Kundenübersicht!$E$4:$BA$1003,MATCH("HW ab 2026 [€/Stunde]",[1]Kundenübersicht!$E$3:$BA$3,FALSE),FALSE),VLOOKUP($B355,[1]Kundenübersicht!$E$4:$BA$1003,MATCH("Alltagsbegleitung [€/Stunde]",[1]Kundenübersicht!$E$3:$BA$3,FALSE),FALSE)),0))</f>
        <v>32.75</v>
      </c>
      <c r="V355" s="16">
        <f t="shared" si="70"/>
        <v>32.749999999999972</v>
      </c>
      <c r="W355" s="16">
        <f t="shared" si="83"/>
        <v>0</v>
      </c>
      <c r="X355" s="16" t="str">
        <f>VLOOKUP(B355,[1]Kundenübersicht!E:AG,MATCH($X$3,[1]Kundenübersicht!$E$3:$AY$3,0),FALSE)</f>
        <v>Alt</v>
      </c>
      <c r="Z355" s="20" t="str">
        <f t="shared" si="86"/>
        <v>Ja</v>
      </c>
      <c r="AA355" s="19">
        <v>45697</v>
      </c>
      <c r="AC355" s="19"/>
      <c r="AE355" s="9">
        <f t="shared" si="78"/>
        <v>2025</v>
      </c>
      <c r="AF355" s="17" t="str">
        <f t="shared" si="79"/>
        <v>12.2025</v>
      </c>
      <c r="AG355" s="17" t="str">
        <f t="shared" si="80"/>
        <v>Ursula Ullmann</v>
      </c>
      <c r="AH355" s="17" t="str">
        <f>IFERROR(VLOOKUP(B355,[1]Kundenübersicht!$E$4:$F$85,2,FALSE),"")</f>
        <v>Luzia Pohlers</v>
      </c>
      <c r="AI355" s="17" t="str">
        <f t="shared" si="85"/>
        <v>Hauswirtschaft</v>
      </c>
      <c r="AJ355" s="17" t="str">
        <f t="shared" si="85"/>
        <v>Entlastungsleistung</v>
      </c>
      <c r="AL355" s="18">
        <f t="shared" si="72"/>
        <v>38</v>
      </c>
      <c r="AM355" s="18">
        <f t="shared" si="73"/>
        <v>37.999999999999964</v>
      </c>
      <c r="AN355" s="18">
        <f t="shared" si="74"/>
        <v>1.2249999999999999</v>
      </c>
    </row>
    <row r="356" spans="2:40" x14ac:dyDescent="0.25">
      <c r="B356" s="30" t="s">
        <v>67</v>
      </c>
      <c r="C356" s="31">
        <v>46010</v>
      </c>
      <c r="D356" s="32">
        <v>0.35416666666666669</v>
      </c>
      <c r="E356" s="32">
        <v>0.39583333333333331</v>
      </c>
      <c r="F356" s="12">
        <f t="shared" si="69"/>
        <v>0.99999999999999911</v>
      </c>
      <c r="G356" s="12">
        <v>3.5</v>
      </c>
      <c r="H356" s="30" t="s">
        <v>64</v>
      </c>
      <c r="I356" s="30" t="s">
        <v>27</v>
      </c>
      <c r="J356" s="30" t="s">
        <v>28</v>
      </c>
      <c r="K356" s="9" t="str">
        <f>IFERROR(VLOOKUP($B356,[1]Kundenübersicht!$E$4:$AC$1003,MATCH(K$3,[1]Kundenübersicht!$E$3:$BA$3,FALSE),FALSE),"")</f>
        <v>Barmer Pflegekasse</v>
      </c>
      <c r="L356" s="13">
        <f>IFERROR(VLOOKUP(B356,[1]Kundenübersicht!$E$4:$AC$1003,MATCH(L$3,[1]Kundenübersicht!$E$3:$BA$3,FALSE),FALSE),"")</f>
        <v>184940005</v>
      </c>
      <c r="M356" s="13" t="str">
        <f>IFERROR(VLOOKUP(B356,[1]Kundenübersicht!$E$4:$AC$1003,MATCH(M$3,[1]Kundenübersicht!$E$3:$BA$3,FALSE),FALSE),"")</f>
        <v>K535388327</v>
      </c>
      <c r="N356" s="13" t="str">
        <f>IFERROR(VLOOKUP(B356,[1]Kundenübersicht!$E$4:$AC$1003,MATCH(N$3,[1]Kundenübersicht!$E$3:$BA$3,FALSE),FALSE),"")</f>
        <v>PG 2</v>
      </c>
      <c r="P356" s="9" t="s">
        <v>29</v>
      </c>
      <c r="R356" s="9" t="str">
        <f t="shared" si="64"/>
        <v>Unterschrieben</v>
      </c>
      <c r="S356" s="14" t="s">
        <v>31</v>
      </c>
      <c r="U356" s="15">
        <f>IF(YEAR(C356)&lt;=2025,IFERROR(IF(I356="Hauswirtschaft",VLOOKUP($B356,[1]Kundenübersicht!$E$4:$BA$1003,MATCH("Hauswirtschaft [€/Stunde]",[1]Kundenübersicht!$E$3:$BA$3,FALSE),FALSE),VLOOKUP($B356,[1]Kundenübersicht!$E$4:$BA$1003,MATCH("Alltagsbegleitung [€/Stunde]",[1]Kundenübersicht!$E$3:$BA$3,FALSE),FALSE)),0),IFERROR(IF(I356="Hauswirtschaft",VLOOKUP($B356,[1]Kundenübersicht!$E$4:$BA$1003,MATCH("HW ab 2026 [€/Stunde]",[1]Kundenübersicht!$E$3:$BA$3,FALSE),FALSE),VLOOKUP($B356,[1]Kundenübersicht!$E$4:$BA$1003,MATCH("Alltagsbegleitung [€/Stunde]",[1]Kundenübersicht!$E$3:$BA$3,FALSE),FALSE)),0))</f>
        <v>32.75</v>
      </c>
      <c r="V356" s="16">
        <f t="shared" si="70"/>
        <v>32.749999999999972</v>
      </c>
      <c r="W356" s="16">
        <f t="shared" si="83"/>
        <v>0</v>
      </c>
      <c r="X356" s="16" t="str">
        <f>VLOOKUP(B356,[1]Kundenübersicht!E:AG,MATCH($X$3,[1]Kundenübersicht!$E$3:$AY$3,0),FALSE)</f>
        <v>Alt</v>
      </c>
      <c r="Z356" s="20" t="str">
        <f t="shared" si="86"/>
        <v>Ja</v>
      </c>
      <c r="AA356" s="19">
        <v>45697</v>
      </c>
      <c r="AC356" s="19"/>
      <c r="AE356" s="9">
        <f t="shared" si="78"/>
        <v>2025</v>
      </c>
      <c r="AF356" s="17" t="str">
        <f t="shared" si="79"/>
        <v>12.2025</v>
      </c>
      <c r="AG356" s="17" t="str">
        <f t="shared" si="80"/>
        <v>Ursula Ullmann</v>
      </c>
      <c r="AH356" s="17" t="str">
        <f>IFERROR(VLOOKUP(B356,[1]Kundenübersicht!$E$4:$F$85,2,FALSE),"")</f>
        <v>Luzia Pohlers</v>
      </c>
      <c r="AI356" s="17" t="str">
        <f t="shared" si="85"/>
        <v>Hauswirtschaft</v>
      </c>
      <c r="AJ356" s="17" t="str">
        <f t="shared" si="85"/>
        <v>Entlastungsleistung</v>
      </c>
      <c r="AL356" s="18">
        <f t="shared" si="72"/>
        <v>38</v>
      </c>
      <c r="AM356" s="18">
        <f t="shared" si="73"/>
        <v>37.999999999999964</v>
      </c>
      <c r="AN356" s="18">
        <f t="shared" si="74"/>
        <v>1.2249999999999999</v>
      </c>
    </row>
    <row r="357" spans="2:40" x14ac:dyDescent="0.25">
      <c r="B357" s="30" t="s">
        <v>59</v>
      </c>
      <c r="C357" s="31">
        <v>45993</v>
      </c>
      <c r="D357" s="32">
        <v>0.39583333333333331</v>
      </c>
      <c r="E357" s="32">
        <v>0.45833333333333331</v>
      </c>
      <c r="F357" s="12">
        <f t="shared" si="69"/>
        <v>1.5</v>
      </c>
      <c r="G357" s="12">
        <v>7</v>
      </c>
      <c r="H357" s="30" t="s">
        <v>64</v>
      </c>
      <c r="I357" s="30" t="s">
        <v>27</v>
      </c>
      <c r="J357" s="30" t="s">
        <v>28</v>
      </c>
      <c r="K357" s="9" t="str">
        <f>IFERROR(VLOOKUP($B357,[1]Kundenübersicht!$E$4:$AC$1003,MATCH(K$3,[1]Kundenübersicht!$E$3:$BA$3,FALSE),FALSE),"")</f>
        <v>IKK Classic</v>
      </c>
      <c r="L357" s="13">
        <f>IFERROR(VLOOKUP(B357,[1]Kundenübersicht!$E$4:$AC$1003,MATCH(L$3,[1]Kundenübersicht!$E$3:$BA$3,FALSE),FALSE),"")</f>
        <v>187202793</v>
      </c>
      <c r="M357" s="13" t="str">
        <f>IFERROR(VLOOKUP(B357,[1]Kundenübersicht!$E$4:$AC$1003,MATCH(M$3,[1]Kundenübersicht!$E$3:$BA$3,FALSE),FALSE),"")</f>
        <v>E747849508</v>
      </c>
      <c r="N357" s="13" t="str">
        <f>IFERROR(VLOOKUP(B357,[1]Kundenübersicht!$E$4:$AC$1003,MATCH(N$3,[1]Kundenübersicht!$E$3:$BA$3,FALSE),FALSE),"")</f>
        <v>PG 3</v>
      </c>
      <c r="P357" s="9" t="s">
        <v>29</v>
      </c>
      <c r="R357" s="9" t="str">
        <f t="shared" si="64"/>
        <v>Unterschrieben</v>
      </c>
      <c r="S357" s="14" t="s">
        <v>31</v>
      </c>
      <c r="U357" s="15">
        <f>IF(YEAR(C357)&lt;=2025,IFERROR(IF(I357="Hauswirtschaft",VLOOKUP($B357,[1]Kundenübersicht!$E$4:$BA$1003,MATCH("Hauswirtschaft [€/Stunde]",[1]Kundenübersicht!$E$3:$BA$3,FALSE),FALSE),VLOOKUP($B357,[1]Kundenübersicht!$E$4:$BA$1003,MATCH("Alltagsbegleitung [€/Stunde]",[1]Kundenübersicht!$E$3:$BA$3,FALSE),FALSE)),0),IFERROR(IF(I357="Hauswirtschaft",VLOOKUP($B357,[1]Kundenübersicht!$E$4:$BA$1003,MATCH("HW ab 2026 [€/Stunde]",[1]Kundenübersicht!$E$3:$BA$3,FALSE),FALSE),VLOOKUP($B357,[1]Kundenübersicht!$E$4:$BA$1003,MATCH("Alltagsbegleitung [€/Stunde]",[1]Kundenübersicht!$E$3:$BA$3,FALSE),FALSE)),0))</f>
        <v>32.75</v>
      </c>
      <c r="V357" s="16">
        <f t="shared" si="70"/>
        <v>49.125</v>
      </c>
      <c r="W357" s="16">
        <f t="shared" si="83"/>
        <v>0</v>
      </c>
      <c r="X357" s="16" t="str">
        <f>VLOOKUP(B357,[1]Kundenübersicht!E:AG,MATCH($X$3,[1]Kundenübersicht!$E$3:$AY$3,0),FALSE)</f>
        <v>Alt</v>
      </c>
      <c r="Z357" s="20" t="s">
        <v>29</v>
      </c>
      <c r="AA357" s="19">
        <v>46062</v>
      </c>
      <c r="AC357" s="19">
        <v>46076</v>
      </c>
      <c r="AE357" s="9">
        <f t="shared" si="78"/>
        <v>2025</v>
      </c>
      <c r="AF357" s="17" t="str">
        <f t="shared" si="79"/>
        <v>12.2025</v>
      </c>
      <c r="AG357" s="17" t="str">
        <f t="shared" si="80"/>
        <v>Ursula Ullmann</v>
      </c>
      <c r="AH357" s="17" t="str">
        <f>IFERROR(VLOOKUP(B357,[1]Kundenübersicht!$E$4:$F$85,2,FALSE),"")</f>
        <v>Anita Fischer</v>
      </c>
      <c r="AI357" s="17" t="str">
        <f t="shared" si="85"/>
        <v>Hauswirtschaft</v>
      </c>
      <c r="AJ357" s="17" t="str">
        <f t="shared" si="85"/>
        <v>Entlastungsleistung</v>
      </c>
      <c r="AL357" s="18">
        <f t="shared" si="72"/>
        <v>38</v>
      </c>
      <c r="AM357" s="18">
        <f t="shared" si="73"/>
        <v>57</v>
      </c>
      <c r="AN357" s="18">
        <f t="shared" si="74"/>
        <v>2.4499999999999997</v>
      </c>
    </row>
    <row r="358" spans="2:40" x14ac:dyDescent="0.25">
      <c r="B358" s="30" t="s">
        <v>66</v>
      </c>
      <c r="C358" s="31">
        <v>45994</v>
      </c>
      <c r="D358" s="32">
        <v>0.41666666666666669</v>
      </c>
      <c r="E358" s="32">
        <v>0.5</v>
      </c>
      <c r="F358" s="12">
        <f t="shared" si="69"/>
        <v>1.9999999999999996</v>
      </c>
      <c r="G358" s="12">
        <v>6</v>
      </c>
      <c r="H358" s="30" t="s">
        <v>64</v>
      </c>
      <c r="I358" s="30" t="s">
        <v>27</v>
      </c>
      <c r="J358" s="30" t="s">
        <v>28</v>
      </c>
      <c r="K358" s="9" t="str">
        <f>IFERROR(VLOOKUP($B358,[1]Kundenübersicht!$E$4:$AC$1003,MATCH(K$3,[1]Kundenübersicht!$E$3:$BA$3,FALSE),FALSE),"")</f>
        <v>KNAPPSCHAFT</v>
      </c>
      <c r="L358" s="13">
        <f>IFERROR(VLOOKUP(B358,[1]Kundenübersicht!$E$4:$AC$1003,MATCH(L$3,[1]Kundenübersicht!$E$3:$BA$3,FALSE),FALSE),"")</f>
        <v>109990508</v>
      </c>
      <c r="M358" s="13" t="str">
        <f>IFERROR(VLOOKUP(B358,[1]Kundenübersicht!$E$4:$AC$1003,MATCH(M$3,[1]Kundenübersicht!$E$3:$BA$3,FALSE),FALSE),"")</f>
        <v>F167156079</v>
      </c>
      <c r="N358" s="13" t="str">
        <f>IFERROR(VLOOKUP(B358,[1]Kundenübersicht!$E$4:$AC$1003,MATCH(N$3,[1]Kundenübersicht!$E$3:$BA$3,FALSE),FALSE),"")</f>
        <v>PG 2</v>
      </c>
      <c r="P358" s="9" t="s">
        <v>29</v>
      </c>
      <c r="R358" s="9" t="str">
        <f t="shared" si="64"/>
        <v>Unterschrieben</v>
      </c>
      <c r="S358" s="14" t="s">
        <v>31</v>
      </c>
      <c r="U358" s="15">
        <f>IF(YEAR(C358)&lt;=2025,IFERROR(IF(I358="Hauswirtschaft",VLOOKUP($B358,[1]Kundenübersicht!$E$4:$BA$1003,MATCH("Hauswirtschaft [€/Stunde]",[1]Kundenübersicht!$E$3:$BA$3,FALSE),FALSE),VLOOKUP($B358,[1]Kundenübersicht!$E$4:$BA$1003,MATCH("Alltagsbegleitung [€/Stunde]",[1]Kundenübersicht!$E$3:$BA$3,FALSE),FALSE)),0),IFERROR(IF(I358="Hauswirtschaft",VLOOKUP($B358,[1]Kundenübersicht!$E$4:$BA$1003,MATCH("HW ab 2026 [€/Stunde]",[1]Kundenübersicht!$E$3:$BA$3,FALSE),FALSE),VLOOKUP($B358,[1]Kundenübersicht!$E$4:$BA$1003,MATCH("Alltagsbegleitung [€/Stunde]",[1]Kundenübersicht!$E$3:$BA$3,FALSE),FALSE)),0))</f>
        <v>38</v>
      </c>
      <c r="V358" s="16">
        <f t="shared" si="70"/>
        <v>75.999999999999986</v>
      </c>
      <c r="W358" s="16">
        <f t="shared" si="83"/>
        <v>2.0999999999999996</v>
      </c>
      <c r="X358" s="16" t="str">
        <f>VLOOKUP(B358,[1]Kundenübersicht!E:AG,MATCH($X$3,[1]Kundenübersicht!$E$3:$AY$3,0),FALSE)</f>
        <v>Neu</v>
      </c>
      <c r="Z358" s="20" t="s">
        <v>29</v>
      </c>
      <c r="AA358" s="19">
        <v>46062</v>
      </c>
      <c r="AC358" s="19"/>
      <c r="AE358" s="9">
        <f t="shared" si="78"/>
        <v>2025</v>
      </c>
      <c r="AF358" s="17" t="str">
        <f t="shared" si="79"/>
        <v>12.2025</v>
      </c>
      <c r="AG358" s="17" t="str">
        <f t="shared" si="80"/>
        <v>Ursula Ullmann</v>
      </c>
      <c r="AH358" s="17" t="str">
        <f>IFERROR(VLOOKUP(B358,[1]Kundenübersicht!$E$4:$F$85,2,FALSE),"")</f>
        <v>Sigrid Müller</v>
      </c>
      <c r="AI358" s="17" t="str">
        <f t="shared" si="85"/>
        <v>Hauswirtschaft</v>
      </c>
      <c r="AJ358" s="17" t="str">
        <f t="shared" si="85"/>
        <v>Entlastungsleistung</v>
      </c>
      <c r="AL358" s="18">
        <f t="shared" si="72"/>
        <v>38</v>
      </c>
      <c r="AM358" s="18">
        <f t="shared" si="73"/>
        <v>75.999999999999986</v>
      </c>
      <c r="AN358" s="18">
        <f t="shared" si="74"/>
        <v>2.0999999999999996</v>
      </c>
    </row>
    <row r="359" spans="2:40" x14ac:dyDescent="0.25">
      <c r="B359" s="30" t="s">
        <v>66</v>
      </c>
      <c r="C359" s="31">
        <v>46010</v>
      </c>
      <c r="D359" s="32">
        <v>0.41666666666666669</v>
      </c>
      <c r="E359" s="32">
        <v>0.45833333333333331</v>
      </c>
      <c r="F359" s="12">
        <f t="shared" si="69"/>
        <v>0.99999999999999911</v>
      </c>
      <c r="G359" s="12">
        <v>6</v>
      </c>
      <c r="H359" s="30" t="s">
        <v>64</v>
      </c>
      <c r="I359" s="30" t="s">
        <v>27</v>
      </c>
      <c r="J359" s="30" t="s">
        <v>28</v>
      </c>
      <c r="K359" s="9" t="str">
        <f>IFERROR(VLOOKUP($B359,[1]Kundenübersicht!$E$4:$AC$1003,MATCH(K$3,[1]Kundenübersicht!$E$3:$BA$3,FALSE),FALSE),"")</f>
        <v>KNAPPSCHAFT</v>
      </c>
      <c r="L359" s="13">
        <f>IFERROR(VLOOKUP(B359,[1]Kundenübersicht!$E$4:$AC$1003,MATCH(L$3,[1]Kundenübersicht!$E$3:$BA$3,FALSE),FALSE),"")</f>
        <v>109990508</v>
      </c>
      <c r="M359" s="13" t="str">
        <f>IFERROR(VLOOKUP(B359,[1]Kundenübersicht!$E$4:$AC$1003,MATCH(M$3,[1]Kundenübersicht!$E$3:$BA$3,FALSE),FALSE),"")</f>
        <v>F167156079</v>
      </c>
      <c r="N359" s="13" t="str">
        <f>IFERROR(VLOOKUP(B359,[1]Kundenübersicht!$E$4:$AC$1003,MATCH(N$3,[1]Kundenübersicht!$E$3:$BA$3,FALSE),FALSE),"")</f>
        <v>PG 2</v>
      </c>
      <c r="P359" s="9" t="s">
        <v>29</v>
      </c>
      <c r="R359" s="9" t="str">
        <f t="shared" si="64"/>
        <v>Unterschrieben</v>
      </c>
      <c r="S359" s="14" t="s">
        <v>31</v>
      </c>
      <c r="U359" s="15">
        <f>IF(YEAR(C359)&lt;=2025,IFERROR(IF(I359="Hauswirtschaft",VLOOKUP($B359,[1]Kundenübersicht!$E$4:$BA$1003,MATCH("Hauswirtschaft [€/Stunde]",[1]Kundenübersicht!$E$3:$BA$3,FALSE),FALSE),VLOOKUP($B359,[1]Kundenübersicht!$E$4:$BA$1003,MATCH("Alltagsbegleitung [€/Stunde]",[1]Kundenübersicht!$E$3:$BA$3,FALSE),FALSE)),0),IFERROR(IF(I359="Hauswirtschaft",VLOOKUP($B359,[1]Kundenübersicht!$E$4:$BA$1003,MATCH("HW ab 2026 [€/Stunde]",[1]Kundenübersicht!$E$3:$BA$3,FALSE),FALSE),VLOOKUP($B359,[1]Kundenübersicht!$E$4:$BA$1003,MATCH("Alltagsbegleitung [€/Stunde]",[1]Kundenübersicht!$E$3:$BA$3,FALSE),FALSE)),0))</f>
        <v>38</v>
      </c>
      <c r="V359" s="16">
        <f t="shared" si="70"/>
        <v>37.999999999999964</v>
      </c>
      <c r="W359" s="16">
        <f t="shared" si="83"/>
        <v>2.0999999999999996</v>
      </c>
      <c r="X359" s="16" t="str">
        <f>VLOOKUP(B359,[1]Kundenübersicht!E:AG,MATCH($X$3,[1]Kundenübersicht!$E$3:$AY$3,0),FALSE)</f>
        <v>Neu</v>
      </c>
      <c r="Z359" s="20" t="s">
        <v>29</v>
      </c>
      <c r="AA359" s="19">
        <v>46062</v>
      </c>
      <c r="AC359" s="19"/>
      <c r="AE359" s="9">
        <f t="shared" si="78"/>
        <v>2025</v>
      </c>
      <c r="AF359" s="17" t="str">
        <f t="shared" si="79"/>
        <v>12.2025</v>
      </c>
      <c r="AG359" s="17" t="str">
        <f t="shared" si="80"/>
        <v>Ursula Ullmann</v>
      </c>
      <c r="AH359" s="17" t="str">
        <f>IFERROR(VLOOKUP(B359,[1]Kundenübersicht!$E$4:$F$85,2,FALSE),"")</f>
        <v>Sigrid Müller</v>
      </c>
      <c r="AI359" s="17" t="str">
        <f t="shared" si="85"/>
        <v>Hauswirtschaft</v>
      </c>
      <c r="AJ359" s="17" t="str">
        <f t="shared" si="85"/>
        <v>Entlastungsleistung</v>
      </c>
      <c r="AL359" s="18">
        <f t="shared" si="72"/>
        <v>38</v>
      </c>
      <c r="AM359" s="18">
        <f t="shared" si="73"/>
        <v>37.999999999999964</v>
      </c>
      <c r="AN359" s="18">
        <f t="shared" si="74"/>
        <v>2.0999999999999996</v>
      </c>
    </row>
    <row r="360" spans="2:40" x14ac:dyDescent="0.25">
      <c r="B360" s="30" t="s">
        <v>60</v>
      </c>
      <c r="C360" s="31">
        <v>45992</v>
      </c>
      <c r="D360" s="32">
        <v>0.46875</v>
      </c>
      <c r="E360" s="32">
        <v>0.53125</v>
      </c>
      <c r="F360" s="12">
        <f t="shared" si="69"/>
        <v>1.5</v>
      </c>
      <c r="G360" s="12">
        <v>7.5</v>
      </c>
      <c r="H360" s="30" t="s">
        <v>64</v>
      </c>
      <c r="I360" s="30" t="s">
        <v>41</v>
      </c>
      <c r="J360" s="30" t="s">
        <v>28</v>
      </c>
      <c r="K360" s="9" t="str">
        <f>IFERROR(VLOOKUP($B360,[1]Kundenübersicht!$E$4:$AC$1003,MATCH(K$3,[1]Kundenübersicht!$E$3:$BA$3,FALSE),FALSE),"")</f>
        <v>Techniker Krankenkasse</v>
      </c>
      <c r="L360" s="13">
        <f>IFERROR(VLOOKUP(B360,[1]Kundenübersicht!$E$4:$AC$1003,MATCH(L$3,[1]Kundenübersicht!$E$3:$BA$3,FALSE),FALSE),"")</f>
        <v>101575519</v>
      </c>
      <c r="M360" s="13" t="str">
        <f>IFERROR(VLOOKUP(B360,[1]Kundenübersicht!$E$4:$AC$1003,MATCH(M$3,[1]Kundenübersicht!$E$3:$BA$3,FALSE),FALSE),"")</f>
        <v>O824144952</v>
      </c>
      <c r="N360" s="13" t="str">
        <f>IFERROR(VLOOKUP(B360,[1]Kundenübersicht!$E$4:$AC$1003,MATCH(N$3,[1]Kundenübersicht!$E$3:$BA$3,FALSE),FALSE),"")</f>
        <v>PG 2</v>
      </c>
      <c r="P360" s="9" t="s">
        <v>29</v>
      </c>
      <c r="R360" s="9" t="str">
        <f t="shared" si="64"/>
        <v>Unterschrieben</v>
      </c>
      <c r="S360" s="14" t="s">
        <v>31</v>
      </c>
      <c r="U360" s="15">
        <f>IF(YEAR(C360)&lt;=2025,IFERROR(IF(I360="Hauswirtschaft",VLOOKUP($B360,[1]Kundenübersicht!$E$4:$BA$1003,MATCH("Hauswirtschaft [€/Stunde]",[1]Kundenübersicht!$E$3:$BA$3,FALSE),FALSE),VLOOKUP($B360,[1]Kundenübersicht!$E$4:$BA$1003,MATCH("Alltagsbegleitung [€/Stunde]",[1]Kundenübersicht!$E$3:$BA$3,FALSE),FALSE)),0),IFERROR(IF(I360="Hauswirtschaft",VLOOKUP($B360,[1]Kundenübersicht!$E$4:$BA$1003,MATCH("HW ab 2026 [€/Stunde]",[1]Kundenübersicht!$E$3:$BA$3,FALSE),FALSE),VLOOKUP($B360,[1]Kundenübersicht!$E$4:$BA$1003,MATCH("Alltagsbegleitung [€/Stunde]",[1]Kundenübersicht!$E$3:$BA$3,FALSE),FALSE)),0))</f>
        <v>42</v>
      </c>
      <c r="V360" s="16">
        <f t="shared" si="70"/>
        <v>63</v>
      </c>
      <c r="W360" s="16">
        <f t="shared" si="83"/>
        <v>0</v>
      </c>
      <c r="X360" s="16" t="str">
        <f>VLOOKUP(B360,[1]Kundenübersicht!E:AG,MATCH($X$3,[1]Kundenübersicht!$E$3:$AY$3,0),FALSE)</f>
        <v>Alt</v>
      </c>
      <c r="Z360" s="20" t="s">
        <v>29</v>
      </c>
      <c r="AA360" s="19">
        <v>46062</v>
      </c>
      <c r="AC360" s="19"/>
      <c r="AE360" s="9">
        <f t="shared" si="78"/>
        <v>2025</v>
      </c>
      <c r="AF360" s="17" t="str">
        <f t="shared" si="79"/>
        <v>12.2025</v>
      </c>
      <c r="AG360" s="17" t="str">
        <f t="shared" si="80"/>
        <v>Ursula Ullmann</v>
      </c>
      <c r="AH360" s="17" t="str">
        <f>IFERROR(VLOOKUP(B360,[1]Kundenübersicht!$E$4:$F$85,2,FALSE),"")</f>
        <v>Ellenore Lein</v>
      </c>
      <c r="AI360" s="17" t="str">
        <f t="shared" si="85"/>
        <v>Alltagsbegleitung</v>
      </c>
      <c r="AJ360" s="17" t="str">
        <f t="shared" si="85"/>
        <v>Entlastungsleistung</v>
      </c>
      <c r="AL360" s="18">
        <f t="shared" si="72"/>
        <v>42</v>
      </c>
      <c r="AM360" s="18">
        <f t="shared" si="73"/>
        <v>63</v>
      </c>
      <c r="AN360" s="18">
        <f t="shared" si="74"/>
        <v>2.625</v>
      </c>
    </row>
    <row r="361" spans="2:40" x14ac:dyDescent="0.25">
      <c r="B361" s="30" t="s">
        <v>60</v>
      </c>
      <c r="C361" s="31">
        <v>46009</v>
      </c>
      <c r="D361" s="32">
        <v>0.625</v>
      </c>
      <c r="E361" s="32">
        <v>0.66666666666666663</v>
      </c>
      <c r="F361" s="12">
        <f t="shared" si="69"/>
        <v>0.99999999999999911</v>
      </c>
      <c r="G361" s="12">
        <v>4</v>
      </c>
      <c r="H361" s="30" t="s">
        <v>64</v>
      </c>
      <c r="I361" s="30" t="s">
        <v>41</v>
      </c>
      <c r="J361" s="30" t="s">
        <v>28</v>
      </c>
      <c r="K361" s="9" t="str">
        <f>IFERROR(VLOOKUP($B361,[1]Kundenübersicht!$E$4:$AC$1003,MATCH(K$3,[1]Kundenübersicht!$E$3:$BA$3,FALSE),FALSE),"")</f>
        <v>Techniker Krankenkasse</v>
      </c>
      <c r="L361" s="13">
        <f>IFERROR(VLOOKUP(B361,[1]Kundenübersicht!$E$4:$AC$1003,MATCH(L$3,[1]Kundenübersicht!$E$3:$BA$3,FALSE),FALSE),"")</f>
        <v>101575519</v>
      </c>
      <c r="M361" s="13" t="str">
        <f>IFERROR(VLOOKUP(B361,[1]Kundenübersicht!$E$4:$AC$1003,MATCH(M$3,[1]Kundenübersicht!$E$3:$BA$3,FALSE),FALSE),"")</f>
        <v>O824144952</v>
      </c>
      <c r="N361" s="13" t="str">
        <f>IFERROR(VLOOKUP(B361,[1]Kundenübersicht!$E$4:$AC$1003,MATCH(N$3,[1]Kundenübersicht!$E$3:$BA$3,FALSE),FALSE),"")</f>
        <v>PG 2</v>
      </c>
      <c r="P361" s="9" t="s">
        <v>29</v>
      </c>
      <c r="R361" s="9" t="str">
        <f t="shared" si="64"/>
        <v>Unterschrieben</v>
      </c>
      <c r="S361" s="14" t="s">
        <v>31</v>
      </c>
      <c r="U361" s="15">
        <f>IF(YEAR(C361)&lt;=2025,IFERROR(IF(I361="Hauswirtschaft",VLOOKUP($B361,[1]Kundenübersicht!$E$4:$BA$1003,MATCH("Hauswirtschaft [€/Stunde]",[1]Kundenübersicht!$E$3:$BA$3,FALSE),FALSE),VLOOKUP($B361,[1]Kundenübersicht!$E$4:$BA$1003,MATCH("Alltagsbegleitung [€/Stunde]",[1]Kundenübersicht!$E$3:$BA$3,FALSE),FALSE)),0),IFERROR(IF(I361="Hauswirtschaft",VLOOKUP($B361,[1]Kundenübersicht!$E$4:$BA$1003,MATCH("HW ab 2026 [€/Stunde]",[1]Kundenübersicht!$E$3:$BA$3,FALSE),FALSE),VLOOKUP($B361,[1]Kundenübersicht!$E$4:$BA$1003,MATCH("Alltagsbegleitung [€/Stunde]",[1]Kundenübersicht!$E$3:$BA$3,FALSE),FALSE)),0))</f>
        <v>42</v>
      </c>
      <c r="V361" s="16">
        <f t="shared" si="70"/>
        <v>41.999999999999964</v>
      </c>
      <c r="W361" s="16">
        <f t="shared" si="83"/>
        <v>0</v>
      </c>
      <c r="X361" s="16" t="str">
        <f>VLOOKUP(B361,[1]Kundenübersicht!E:AG,MATCH($X$3,[1]Kundenübersicht!$E$3:$AY$3,0),FALSE)</f>
        <v>Alt</v>
      </c>
      <c r="Z361" s="20" t="s">
        <v>29</v>
      </c>
      <c r="AA361" s="19">
        <v>46062</v>
      </c>
      <c r="AC361" s="19"/>
      <c r="AE361" s="9">
        <f t="shared" si="78"/>
        <v>2025</v>
      </c>
      <c r="AF361" s="17" t="str">
        <f t="shared" si="79"/>
        <v>12.2025</v>
      </c>
      <c r="AG361" s="17" t="str">
        <f t="shared" si="80"/>
        <v>Ursula Ullmann</v>
      </c>
      <c r="AH361" s="17" t="str">
        <f>IFERROR(VLOOKUP(B361,[1]Kundenübersicht!$E$4:$F$85,2,FALSE),"")</f>
        <v>Ellenore Lein</v>
      </c>
      <c r="AI361" s="17" t="str">
        <f t="shared" si="85"/>
        <v>Alltagsbegleitung</v>
      </c>
      <c r="AJ361" s="17" t="str">
        <f t="shared" si="85"/>
        <v>Entlastungsleistung</v>
      </c>
      <c r="AL361" s="18">
        <f t="shared" si="72"/>
        <v>42</v>
      </c>
      <c r="AM361" s="18">
        <f t="shared" si="73"/>
        <v>41.999999999999964</v>
      </c>
      <c r="AN361" s="18">
        <f t="shared" si="74"/>
        <v>1.4</v>
      </c>
    </row>
    <row r="362" spans="2:40" x14ac:dyDescent="0.25">
      <c r="B362" s="30" t="s">
        <v>60</v>
      </c>
      <c r="C362" s="31">
        <v>46013</v>
      </c>
      <c r="D362" s="32">
        <v>0.66666666666666663</v>
      </c>
      <c r="E362" s="32">
        <v>0.70833333333333337</v>
      </c>
      <c r="F362" s="12">
        <f t="shared" si="69"/>
        <v>1.0000000000000018</v>
      </c>
      <c r="G362" s="12">
        <v>4</v>
      </c>
      <c r="H362" s="30" t="s">
        <v>64</v>
      </c>
      <c r="I362" s="30" t="s">
        <v>27</v>
      </c>
      <c r="J362" s="30" t="s">
        <v>28</v>
      </c>
      <c r="K362" s="9" t="str">
        <f>IFERROR(VLOOKUP($B362,[1]Kundenübersicht!$E$4:$AC$1003,MATCH(K$3,[1]Kundenübersicht!$E$3:$BA$3,FALSE),FALSE),"")</f>
        <v>Techniker Krankenkasse</v>
      </c>
      <c r="L362" s="13">
        <f>IFERROR(VLOOKUP(B362,[1]Kundenübersicht!$E$4:$AC$1003,MATCH(L$3,[1]Kundenübersicht!$E$3:$BA$3,FALSE),FALSE),"")</f>
        <v>101575519</v>
      </c>
      <c r="M362" s="13" t="str">
        <f>IFERROR(VLOOKUP(B362,[1]Kundenübersicht!$E$4:$AC$1003,MATCH(M$3,[1]Kundenübersicht!$E$3:$BA$3,FALSE),FALSE),"")</f>
        <v>O824144952</v>
      </c>
      <c r="N362" s="13" t="str">
        <f>IFERROR(VLOOKUP(B362,[1]Kundenübersicht!$E$4:$AC$1003,MATCH(N$3,[1]Kundenübersicht!$E$3:$BA$3,FALSE),FALSE),"")</f>
        <v>PG 2</v>
      </c>
      <c r="P362" s="9" t="s">
        <v>29</v>
      </c>
      <c r="R362" s="9" t="str">
        <f t="shared" si="64"/>
        <v>Unterschrieben</v>
      </c>
      <c r="S362" s="14" t="s">
        <v>31</v>
      </c>
      <c r="U362" s="15">
        <f>IF(YEAR(C362)&lt;=2025,IFERROR(IF(I362="Hauswirtschaft",VLOOKUP($B362,[1]Kundenübersicht!$E$4:$BA$1003,MATCH("Hauswirtschaft [€/Stunde]",[1]Kundenübersicht!$E$3:$BA$3,FALSE),FALSE),VLOOKUP($B362,[1]Kundenübersicht!$E$4:$BA$1003,MATCH("Alltagsbegleitung [€/Stunde]",[1]Kundenübersicht!$E$3:$BA$3,FALSE),FALSE)),0),IFERROR(IF(I362="Hauswirtschaft",VLOOKUP($B362,[1]Kundenübersicht!$E$4:$BA$1003,MATCH("HW ab 2026 [€/Stunde]",[1]Kundenübersicht!$E$3:$BA$3,FALSE),FALSE),VLOOKUP($B362,[1]Kundenübersicht!$E$4:$BA$1003,MATCH("Alltagsbegleitung [€/Stunde]",[1]Kundenübersicht!$E$3:$BA$3,FALSE),FALSE)),0))</f>
        <v>32.75</v>
      </c>
      <c r="V362" s="16">
        <f t="shared" si="70"/>
        <v>32.750000000000057</v>
      </c>
      <c r="W362" s="16">
        <f t="shared" si="83"/>
        <v>0</v>
      </c>
      <c r="X362" s="16" t="str">
        <f>VLOOKUP(B362,[1]Kundenübersicht!E:AG,MATCH($X$3,[1]Kundenübersicht!$E$3:$AY$3,0),FALSE)</f>
        <v>Alt</v>
      </c>
      <c r="Z362" s="20" t="s">
        <v>29</v>
      </c>
      <c r="AA362" s="19">
        <v>46062</v>
      </c>
      <c r="AC362" s="19"/>
      <c r="AE362" s="9">
        <f t="shared" si="78"/>
        <v>2025</v>
      </c>
      <c r="AF362" s="17" t="str">
        <f t="shared" si="79"/>
        <v>12.2025</v>
      </c>
      <c r="AG362" s="17" t="str">
        <f t="shared" si="80"/>
        <v>Ursula Ullmann</v>
      </c>
      <c r="AH362" s="17" t="str">
        <f>IFERROR(VLOOKUP(B362,[1]Kundenübersicht!$E$4:$F$85,2,FALSE),"")</f>
        <v>Ellenore Lein</v>
      </c>
      <c r="AI362" s="17" t="str">
        <f t="shared" si="85"/>
        <v>Hauswirtschaft</v>
      </c>
      <c r="AJ362" s="17" t="str">
        <f t="shared" si="85"/>
        <v>Entlastungsleistung</v>
      </c>
      <c r="AL362" s="18">
        <f t="shared" si="72"/>
        <v>38</v>
      </c>
      <c r="AM362" s="18">
        <f t="shared" si="73"/>
        <v>38.000000000000071</v>
      </c>
      <c r="AN362" s="18">
        <f t="shared" si="74"/>
        <v>1.4</v>
      </c>
    </row>
    <row r="363" spans="2:40" x14ac:dyDescent="0.25">
      <c r="B363" s="30" t="s">
        <v>57</v>
      </c>
      <c r="C363" s="31">
        <v>46009</v>
      </c>
      <c r="D363" s="32">
        <v>0.41666666666666669</v>
      </c>
      <c r="E363" s="32">
        <v>0.47916666666666669</v>
      </c>
      <c r="F363" s="12">
        <f t="shared" si="69"/>
        <v>1.5</v>
      </c>
      <c r="G363" s="12">
        <v>6.5</v>
      </c>
      <c r="H363" s="30" t="s">
        <v>64</v>
      </c>
      <c r="I363" s="30" t="s">
        <v>41</v>
      </c>
      <c r="J363" s="30" t="s">
        <v>28</v>
      </c>
      <c r="K363" s="9" t="str">
        <f>IFERROR(VLOOKUP($B363,[1]Kundenübersicht!$E$4:$AC$1003,MATCH(K$3,[1]Kundenübersicht!$E$3:$BA$3,FALSE),FALSE),"")</f>
        <v>AOK PLUS</v>
      </c>
      <c r="L363" s="13">
        <f>IFERROR(VLOOKUP(B363,[1]Kundenübersicht!$E$4:$AC$1003,MATCH(L$3,[1]Kundenübersicht!$E$3:$BA$3,FALSE),FALSE),"")</f>
        <v>107299005</v>
      </c>
      <c r="M363" s="13" t="str">
        <f>IFERROR(VLOOKUP(B363,[1]Kundenübersicht!$E$4:$AC$1003,MATCH(M$3,[1]Kundenübersicht!$E$3:$BA$3,FALSE),FALSE),"")</f>
        <v>N303904545</v>
      </c>
      <c r="N363" s="13" t="str">
        <f>IFERROR(VLOOKUP(B363,[1]Kundenübersicht!$E$4:$AC$1003,MATCH(N$3,[1]Kundenübersicht!$E$3:$BA$3,FALSE),FALSE),"")</f>
        <v>PG 1</v>
      </c>
      <c r="P363" s="9" t="s">
        <v>29</v>
      </c>
      <c r="R363" s="9" t="str">
        <f t="shared" si="64"/>
        <v>Unterschrieben</v>
      </c>
      <c r="S363" s="14" t="s">
        <v>31</v>
      </c>
      <c r="U363" s="15">
        <f>IF(YEAR(C363)&lt;=2025,IFERROR(IF(I363="Hauswirtschaft",VLOOKUP($B363,[1]Kundenübersicht!$E$4:$BA$1003,MATCH("Hauswirtschaft [€/Stunde]",[1]Kundenübersicht!$E$3:$BA$3,FALSE),FALSE),VLOOKUP($B363,[1]Kundenübersicht!$E$4:$BA$1003,MATCH("Alltagsbegleitung [€/Stunde]",[1]Kundenübersicht!$E$3:$BA$3,FALSE),FALSE)),0),IFERROR(IF(I363="Hauswirtschaft",VLOOKUP($B363,[1]Kundenübersicht!$E$4:$BA$1003,MATCH("HW ab 2026 [€/Stunde]",[1]Kundenübersicht!$E$3:$BA$3,FALSE),FALSE),VLOOKUP($B363,[1]Kundenübersicht!$E$4:$BA$1003,MATCH("Alltagsbegleitung [€/Stunde]",[1]Kundenübersicht!$E$3:$BA$3,FALSE),FALSE)),0))</f>
        <v>42</v>
      </c>
      <c r="V363" s="16">
        <f t="shared" si="70"/>
        <v>63</v>
      </c>
      <c r="W363" s="16">
        <f t="shared" si="83"/>
        <v>0</v>
      </c>
      <c r="X363" s="16" t="str">
        <f>VLOOKUP(B363,[1]Kundenübersicht!E:AG,MATCH($X$3,[1]Kundenübersicht!$E$3:$AY$3,0),FALSE)</f>
        <v>Alt</v>
      </c>
      <c r="Z363" s="20" t="str">
        <f t="shared" ref="Z363:Z366" si="87">IF(AA363="","Nein","Ja")</f>
        <v>Ja</v>
      </c>
      <c r="AA363" s="19">
        <v>46062</v>
      </c>
      <c r="AC363" s="19"/>
      <c r="AE363" s="9">
        <f t="shared" si="78"/>
        <v>2025</v>
      </c>
      <c r="AF363" s="17" t="str">
        <f t="shared" si="79"/>
        <v>12.2025</v>
      </c>
      <c r="AG363" s="17" t="str">
        <f t="shared" si="80"/>
        <v>Ursula Ullmann</v>
      </c>
      <c r="AH363" s="17" t="str">
        <f>IFERROR(VLOOKUP(B363,[1]Kundenübersicht!$E$4:$F$85,2,FALSE),"")</f>
        <v>Egon Bochmann</v>
      </c>
      <c r="AI363" s="17" t="str">
        <f t="shared" si="85"/>
        <v>Alltagsbegleitung</v>
      </c>
      <c r="AJ363" s="17" t="str">
        <f t="shared" si="85"/>
        <v>Entlastungsleistung</v>
      </c>
      <c r="AL363" s="18">
        <f t="shared" si="72"/>
        <v>42</v>
      </c>
      <c r="AM363" s="18">
        <f t="shared" si="73"/>
        <v>63</v>
      </c>
      <c r="AN363" s="18">
        <f t="shared" si="74"/>
        <v>2.2749999999999999</v>
      </c>
    </row>
    <row r="364" spans="2:40" x14ac:dyDescent="0.25">
      <c r="B364" s="30" t="s">
        <v>57</v>
      </c>
      <c r="C364" s="31">
        <v>46013</v>
      </c>
      <c r="D364" s="32">
        <v>0.45833333333333331</v>
      </c>
      <c r="E364" s="32">
        <v>0.5</v>
      </c>
      <c r="F364" s="12">
        <f t="shared" si="69"/>
        <v>1.0000000000000004</v>
      </c>
      <c r="G364" s="12">
        <v>6.5</v>
      </c>
      <c r="H364" s="30" t="s">
        <v>64</v>
      </c>
      <c r="I364" s="30" t="s">
        <v>27</v>
      </c>
      <c r="J364" s="30" t="s">
        <v>28</v>
      </c>
      <c r="K364" s="9" t="str">
        <f>IFERROR(VLOOKUP($B364,[1]Kundenübersicht!$E$4:$AC$1003,MATCH(K$3,[1]Kundenübersicht!$E$3:$BA$3,FALSE),FALSE),"")</f>
        <v>AOK PLUS</v>
      </c>
      <c r="L364" s="13">
        <f>IFERROR(VLOOKUP(B364,[1]Kundenübersicht!$E$4:$AC$1003,MATCH(L$3,[1]Kundenübersicht!$E$3:$BA$3,FALSE),FALSE),"")</f>
        <v>107299005</v>
      </c>
      <c r="M364" s="13" t="str">
        <f>IFERROR(VLOOKUP(B364,[1]Kundenübersicht!$E$4:$AC$1003,MATCH(M$3,[1]Kundenübersicht!$E$3:$BA$3,FALSE),FALSE),"")</f>
        <v>N303904545</v>
      </c>
      <c r="N364" s="13" t="str">
        <f>IFERROR(VLOOKUP(B364,[1]Kundenübersicht!$E$4:$AC$1003,MATCH(N$3,[1]Kundenübersicht!$E$3:$BA$3,FALSE),FALSE),"")</f>
        <v>PG 1</v>
      </c>
      <c r="P364" s="9" t="s">
        <v>29</v>
      </c>
      <c r="R364" s="9" t="str">
        <f t="shared" si="64"/>
        <v>Unterschrieben</v>
      </c>
      <c r="S364" s="14" t="s">
        <v>31</v>
      </c>
      <c r="U364" s="15">
        <f>IF(YEAR(C364)&lt;=2025,IFERROR(IF(I364="Hauswirtschaft",VLOOKUP($B364,[1]Kundenübersicht!$E$4:$BA$1003,MATCH("Hauswirtschaft [€/Stunde]",[1]Kundenübersicht!$E$3:$BA$3,FALSE),FALSE),VLOOKUP($B364,[1]Kundenübersicht!$E$4:$BA$1003,MATCH("Alltagsbegleitung [€/Stunde]",[1]Kundenübersicht!$E$3:$BA$3,FALSE),FALSE)),0),IFERROR(IF(I364="Hauswirtschaft",VLOOKUP($B364,[1]Kundenübersicht!$E$4:$BA$1003,MATCH("HW ab 2026 [€/Stunde]",[1]Kundenübersicht!$E$3:$BA$3,FALSE),FALSE),VLOOKUP($B364,[1]Kundenübersicht!$E$4:$BA$1003,MATCH("Alltagsbegleitung [€/Stunde]",[1]Kundenübersicht!$E$3:$BA$3,FALSE),FALSE)),0))</f>
        <v>32.75</v>
      </c>
      <c r="V364" s="16">
        <f t="shared" si="70"/>
        <v>32.750000000000014</v>
      </c>
      <c r="W364" s="16">
        <f t="shared" si="83"/>
        <v>0</v>
      </c>
      <c r="X364" s="16" t="str">
        <f>VLOOKUP(B364,[1]Kundenübersicht!E:AG,MATCH($X$3,[1]Kundenübersicht!$E$3:$AY$3,0),FALSE)</f>
        <v>Alt</v>
      </c>
      <c r="Z364" s="20" t="str">
        <f t="shared" si="87"/>
        <v>Ja</v>
      </c>
      <c r="AA364" s="19">
        <v>46062</v>
      </c>
      <c r="AC364" s="19"/>
      <c r="AE364" s="9">
        <f t="shared" si="78"/>
        <v>2025</v>
      </c>
      <c r="AF364" s="17" t="str">
        <f t="shared" si="79"/>
        <v>12.2025</v>
      </c>
      <c r="AG364" s="17" t="str">
        <f t="shared" si="80"/>
        <v>Ursula Ullmann</v>
      </c>
      <c r="AH364" s="17" t="str">
        <f>IFERROR(VLOOKUP(B364,[1]Kundenübersicht!$E$4:$F$85,2,FALSE),"")</f>
        <v>Egon Bochmann</v>
      </c>
      <c r="AI364" s="17" t="str">
        <f t="shared" si="85"/>
        <v>Hauswirtschaft</v>
      </c>
      <c r="AJ364" s="17" t="str">
        <f t="shared" si="85"/>
        <v>Entlastungsleistung</v>
      </c>
      <c r="AL364" s="18">
        <f t="shared" si="72"/>
        <v>38</v>
      </c>
      <c r="AM364" s="18">
        <f t="shared" si="73"/>
        <v>38.000000000000014</v>
      </c>
      <c r="AN364" s="18">
        <f t="shared" si="74"/>
        <v>2.2749999999999999</v>
      </c>
    </row>
    <row r="365" spans="2:40" x14ac:dyDescent="0.25">
      <c r="B365" s="30" t="s">
        <v>76</v>
      </c>
      <c r="C365" s="31">
        <v>46000</v>
      </c>
      <c r="D365" s="32">
        <v>0.58333333333333337</v>
      </c>
      <c r="E365" s="32">
        <v>0.625</v>
      </c>
      <c r="F365" s="12">
        <f t="shared" si="69"/>
        <v>0.99999999999999911</v>
      </c>
      <c r="G365" s="12">
        <v>6.5</v>
      </c>
      <c r="H365" s="30" t="s">
        <v>64</v>
      </c>
      <c r="I365" s="30" t="s">
        <v>41</v>
      </c>
      <c r="J365" s="30" t="s">
        <v>28</v>
      </c>
      <c r="K365" s="9" t="str">
        <f>IFERROR(VLOOKUP($B365,[1]Kundenübersicht!$E$4:$AC$1003,MATCH(K$3,[1]Kundenübersicht!$E$3:$BA$3,FALSE),FALSE),"")</f>
        <v>Barmer Pflegekasse</v>
      </c>
      <c r="L365" s="13">
        <f>IFERROR(VLOOKUP(B365,[1]Kundenübersicht!$E$4:$AC$1003,MATCH(L$3,[1]Kundenübersicht!$E$3:$BA$3,FALSE),FALSE),"")</f>
        <v>184940005</v>
      </c>
      <c r="M365" s="13" t="str">
        <f>IFERROR(VLOOKUP(B365,[1]Kundenübersicht!$E$4:$AC$1003,MATCH(M$3,[1]Kundenübersicht!$E$3:$BA$3,FALSE),FALSE),"")</f>
        <v>H869008891</v>
      </c>
      <c r="N365" s="13" t="str">
        <f>IFERROR(VLOOKUP(B365,[1]Kundenübersicht!$E$4:$AC$1003,MATCH(N$3,[1]Kundenübersicht!$E$3:$BA$3,FALSE),FALSE),"")</f>
        <v>PG 2</v>
      </c>
      <c r="P365" s="9" t="s">
        <v>29</v>
      </c>
      <c r="R365" s="9" t="str">
        <f t="shared" si="64"/>
        <v>Unterschrieben</v>
      </c>
      <c r="S365" s="14" t="s">
        <v>31</v>
      </c>
      <c r="U365" s="15">
        <f>IF(YEAR(C365)&lt;=2025,IFERROR(IF(I365="Hauswirtschaft",VLOOKUP($B365,[1]Kundenübersicht!$E$4:$BA$1003,MATCH("Hauswirtschaft [€/Stunde]",[1]Kundenübersicht!$E$3:$BA$3,FALSE),FALSE),VLOOKUP($B365,[1]Kundenübersicht!$E$4:$BA$1003,MATCH("Alltagsbegleitung [€/Stunde]",[1]Kundenübersicht!$E$3:$BA$3,FALSE),FALSE)),0),IFERROR(IF(I365="Hauswirtschaft",VLOOKUP($B365,[1]Kundenübersicht!$E$4:$BA$1003,MATCH("HW ab 2026 [€/Stunde]",[1]Kundenübersicht!$E$3:$BA$3,FALSE),FALSE),VLOOKUP($B365,[1]Kundenübersicht!$E$4:$BA$1003,MATCH("Alltagsbegleitung [€/Stunde]",[1]Kundenübersicht!$E$3:$BA$3,FALSE),FALSE)),0))</f>
        <v>42</v>
      </c>
      <c r="V365" s="16">
        <f t="shared" si="70"/>
        <v>41.999999999999964</v>
      </c>
      <c r="W365" s="16">
        <f t="shared" si="83"/>
        <v>2.2749999999999999</v>
      </c>
      <c r="X365" s="16" t="str">
        <f>VLOOKUP(B365,[1]Kundenübersicht!E:AG,MATCH($X$3,[1]Kundenübersicht!$E$3:$AY$3,0),FALSE)</f>
        <v>Neu</v>
      </c>
      <c r="Z365" s="20" t="str">
        <f t="shared" si="87"/>
        <v>Ja</v>
      </c>
      <c r="AA365" s="19">
        <v>45697</v>
      </c>
      <c r="AC365" s="19">
        <v>46072</v>
      </c>
      <c r="AE365" s="9">
        <f t="shared" si="78"/>
        <v>2025</v>
      </c>
      <c r="AF365" s="17" t="str">
        <f t="shared" si="79"/>
        <v>12.2025</v>
      </c>
      <c r="AG365" s="17" t="str">
        <f t="shared" si="80"/>
        <v>Ursula Ullmann</v>
      </c>
      <c r="AH365" s="17" t="str">
        <f>IFERROR(VLOOKUP(B365,[1]Kundenübersicht!$E$4:$F$85,2,FALSE),"")</f>
        <v>Margitta Friedmann</v>
      </c>
      <c r="AI365" s="17" t="str">
        <f t="shared" si="85"/>
        <v>Alltagsbegleitung</v>
      </c>
      <c r="AJ365" s="17" t="str">
        <f t="shared" si="85"/>
        <v>Entlastungsleistung</v>
      </c>
      <c r="AL365" s="18">
        <f t="shared" si="72"/>
        <v>42</v>
      </c>
      <c r="AM365" s="18">
        <f t="shared" si="73"/>
        <v>41.999999999999964</v>
      </c>
      <c r="AN365" s="18">
        <f t="shared" si="74"/>
        <v>2.2749999999999999</v>
      </c>
    </row>
    <row r="366" spans="2:40" x14ac:dyDescent="0.25">
      <c r="B366" s="30" t="s">
        <v>76</v>
      </c>
      <c r="C366" s="31">
        <v>46013</v>
      </c>
      <c r="D366" s="32">
        <v>0.58333333333333337</v>
      </c>
      <c r="E366" s="32">
        <v>0.625</v>
      </c>
      <c r="F366" s="12">
        <f t="shared" si="69"/>
        <v>0.99999999999999911</v>
      </c>
      <c r="G366" s="12">
        <v>6.5</v>
      </c>
      <c r="H366" s="30" t="s">
        <v>64</v>
      </c>
      <c r="I366" s="30" t="s">
        <v>41</v>
      </c>
      <c r="J366" s="30" t="s">
        <v>28</v>
      </c>
      <c r="K366" s="9" t="str">
        <f>IFERROR(VLOOKUP($B366,[1]Kundenübersicht!$E$4:$AC$1003,MATCH(K$3,[1]Kundenübersicht!$E$3:$BA$3,FALSE),FALSE),"")</f>
        <v>Barmer Pflegekasse</v>
      </c>
      <c r="L366" s="13">
        <f>IFERROR(VLOOKUP(B366,[1]Kundenübersicht!$E$4:$AC$1003,MATCH(L$3,[1]Kundenübersicht!$E$3:$BA$3,FALSE),FALSE),"")</f>
        <v>184940005</v>
      </c>
      <c r="M366" s="13" t="str">
        <f>IFERROR(VLOOKUP(B366,[1]Kundenübersicht!$E$4:$AC$1003,MATCH(M$3,[1]Kundenübersicht!$E$3:$BA$3,FALSE),FALSE),"")</f>
        <v>H869008891</v>
      </c>
      <c r="N366" s="13" t="str">
        <f>IFERROR(VLOOKUP(B366,[1]Kundenübersicht!$E$4:$AC$1003,MATCH(N$3,[1]Kundenübersicht!$E$3:$BA$3,FALSE),FALSE),"")</f>
        <v>PG 2</v>
      </c>
      <c r="P366" s="9" t="s">
        <v>29</v>
      </c>
      <c r="R366" s="9" t="str">
        <f t="shared" si="64"/>
        <v>Unterschrieben</v>
      </c>
      <c r="S366" s="14" t="s">
        <v>31</v>
      </c>
      <c r="U366" s="15">
        <f>IF(YEAR(C366)&lt;=2025,IFERROR(IF(I366="Hauswirtschaft",VLOOKUP($B366,[1]Kundenübersicht!$E$4:$BA$1003,MATCH("Hauswirtschaft [€/Stunde]",[1]Kundenübersicht!$E$3:$BA$3,FALSE),FALSE),VLOOKUP($B366,[1]Kundenübersicht!$E$4:$BA$1003,MATCH("Alltagsbegleitung [€/Stunde]",[1]Kundenübersicht!$E$3:$BA$3,FALSE),FALSE)),0),IFERROR(IF(I366="Hauswirtschaft",VLOOKUP($B366,[1]Kundenübersicht!$E$4:$BA$1003,MATCH("HW ab 2026 [€/Stunde]",[1]Kundenübersicht!$E$3:$BA$3,FALSE),FALSE),VLOOKUP($B366,[1]Kundenübersicht!$E$4:$BA$1003,MATCH("Alltagsbegleitung [€/Stunde]",[1]Kundenübersicht!$E$3:$BA$3,FALSE),FALSE)),0))</f>
        <v>42</v>
      </c>
      <c r="V366" s="16">
        <f t="shared" si="70"/>
        <v>41.999999999999964</v>
      </c>
      <c r="W366" s="16">
        <f t="shared" si="83"/>
        <v>2.2749999999999999</v>
      </c>
      <c r="X366" s="16" t="str">
        <f>VLOOKUP(B366,[1]Kundenübersicht!E:AG,MATCH($X$3,[1]Kundenübersicht!$E$3:$AY$3,0),FALSE)</f>
        <v>Neu</v>
      </c>
      <c r="Z366" s="20" t="str">
        <f t="shared" si="87"/>
        <v>Ja</v>
      </c>
      <c r="AA366" s="19">
        <v>45697</v>
      </c>
      <c r="AC366" s="19">
        <v>46072</v>
      </c>
      <c r="AE366" s="9">
        <f t="shared" si="78"/>
        <v>2025</v>
      </c>
      <c r="AF366" s="17" t="str">
        <f t="shared" si="79"/>
        <v>12.2025</v>
      </c>
      <c r="AG366" s="17" t="str">
        <f t="shared" si="80"/>
        <v>Ursula Ullmann</v>
      </c>
      <c r="AH366" s="17" t="str">
        <f>IFERROR(VLOOKUP(B366,[1]Kundenübersicht!$E$4:$F$85,2,FALSE),"")</f>
        <v>Margitta Friedmann</v>
      </c>
      <c r="AI366" s="17" t="str">
        <f t="shared" si="85"/>
        <v>Alltagsbegleitung</v>
      </c>
      <c r="AJ366" s="17" t="str">
        <f t="shared" si="85"/>
        <v>Entlastungsleistung</v>
      </c>
      <c r="AL366" s="18">
        <f t="shared" si="72"/>
        <v>42</v>
      </c>
      <c r="AM366" s="18">
        <f t="shared" si="73"/>
        <v>41.999999999999964</v>
      </c>
      <c r="AN366" s="18">
        <f t="shared" si="74"/>
        <v>2.2749999999999999</v>
      </c>
    </row>
    <row r="367" spans="2:40" x14ac:dyDescent="0.25">
      <c r="B367" s="30" t="s">
        <v>68</v>
      </c>
      <c r="C367" s="31">
        <v>45992</v>
      </c>
      <c r="D367" s="32">
        <v>0.39583333333333331</v>
      </c>
      <c r="E367" s="32">
        <v>0.45833333333333331</v>
      </c>
      <c r="F367" s="12">
        <f t="shared" si="69"/>
        <v>1.5</v>
      </c>
      <c r="G367" s="12">
        <v>4</v>
      </c>
      <c r="H367" s="30" t="s">
        <v>64</v>
      </c>
      <c r="I367" s="30" t="s">
        <v>27</v>
      </c>
      <c r="J367" s="30" t="s">
        <v>28</v>
      </c>
      <c r="K367" s="9" t="str">
        <f>IFERROR(VLOOKUP($B367,[1]Kundenübersicht!$E$4:$AC$1003,MATCH(K$3,[1]Kundenübersicht!$E$3:$BA$3,FALSE),FALSE),"")</f>
        <v>AOK PLUS</v>
      </c>
      <c r="L367" s="13">
        <f>IFERROR(VLOOKUP(B367,[1]Kundenübersicht!$E$4:$AC$1003,MATCH(L$3,[1]Kundenübersicht!$E$3:$BA$3,FALSE),FALSE),"")</f>
        <v>107299005</v>
      </c>
      <c r="M367" s="13" t="str">
        <f>IFERROR(VLOOKUP(B367,[1]Kundenübersicht!$E$4:$AC$1003,MATCH(M$3,[1]Kundenübersicht!$E$3:$BA$3,FALSE),FALSE),"")</f>
        <v>W183342294</v>
      </c>
      <c r="N367" s="13" t="str">
        <f>IFERROR(VLOOKUP(B367,[1]Kundenübersicht!$E$4:$AC$1003,MATCH(N$3,[1]Kundenübersicht!$E$3:$BA$3,FALSE),FALSE),"")</f>
        <v>PG 1</v>
      </c>
      <c r="P367" s="9" t="s">
        <v>29</v>
      </c>
      <c r="R367" s="9" t="str">
        <f t="shared" si="64"/>
        <v>Unterschrieben</v>
      </c>
      <c r="S367" s="14" t="s">
        <v>31</v>
      </c>
      <c r="U367" s="15">
        <f>IF(YEAR(C367)&lt;=2025,IFERROR(IF(I367="Hauswirtschaft",VLOOKUP($B367,[1]Kundenübersicht!$E$4:$BA$1003,MATCH("Hauswirtschaft [€/Stunde]",[1]Kundenübersicht!$E$3:$BA$3,FALSE),FALSE),VLOOKUP($B367,[1]Kundenübersicht!$E$4:$BA$1003,MATCH("Alltagsbegleitung [€/Stunde]",[1]Kundenübersicht!$E$3:$BA$3,FALSE),FALSE)),0),IFERROR(IF(I367="Hauswirtschaft",VLOOKUP($B367,[1]Kundenübersicht!$E$4:$BA$1003,MATCH("HW ab 2026 [€/Stunde]",[1]Kundenübersicht!$E$3:$BA$3,FALSE),FALSE),VLOOKUP($B367,[1]Kundenübersicht!$E$4:$BA$1003,MATCH("Alltagsbegleitung [€/Stunde]",[1]Kundenübersicht!$E$3:$BA$3,FALSE),FALSE)),0))</f>
        <v>38</v>
      </c>
      <c r="V367" s="16">
        <f t="shared" si="70"/>
        <v>57</v>
      </c>
      <c r="W367" s="16">
        <f t="shared" si="83"/>
        <v>1.4</v>
      </c>
      <c r="X367" s="16" t="str">
        <f>VLOOKUP(B367,[1]Kundenübersicht!E:AG,MATCH($X$3,[1]Kundenübersicht!$E$3:$AY$3,0),FALSE)</f>
        <v>Neu</v>
      </c>
      <c r="Z367" s="20" t="str">
        <f>IF(AA367="","Nein","Ja")</f>
        <v>Ja</v>
      </c>
      <c r="AA367" s="19">
        <v>46062</v>
      </c>
      <c r="AC367" s="19"/>
      <c r="AE367" s="9">
        <f t="shared" si="78"/>
        <v>2025</v>
      </c>
      <c r="AF367" s="17" t="str">
        <f t="shared" si="79"/>
        <v>12.2025</v>
      </c>
      <c r="AG367" s="17" t="str">
        <f t="shared" si="80"/>
        <v>Ursula Ullmann</v>
      </c>
      <c r="AH367" s="17" t="str">
        <f>IFERROR(VLOOKUP(B367,[1]Kundenübersicht!$E$4:$F$85,2,FALSE),"")</f>
        <v>Jutta Seidel</v>
      </c>
      <c r="AI367" s="17" t="str">
        <f t="shared" si="85"/>
        <v>Hauswirtschaft</v>
      </c>
      <c r="AJ367" s="17" t="str">
        <f t="shared" si="85"/>
        <v>Entlastungsleistung</v>
      </c>
      <c r="AL367" s="18">
        <f t="shared" si="72"/>
        <v>38</v>
      </c>
      <c r="AM367" s="18">
        <f t="shared" si="73"/>
        <v>57</v>
      </c>
      <c r="AN367" s="18">
        <f t="shared" si="74"/>
        <v>1.4</v>
      </c>
    </row>
    <row r="368" spans="2:40" x14ac:dyDescent="0.25">
      <c r="B368" s="30" t="s">
        <v>71</v>
      </c>
      <c r="C368" s="31">
        <v>45993</v>
      </c>
      <c r="D368" s="32">
        <v>0.60416666666666663</v>
      </c>
      <c r="E368" s="32">
        <v>0.64583333333333337</v>
      </c>
      <c r="F368" s="12">
        <f t="shared" si="69"/>
        <v>1.0000000000000018</v>
      </c>
      <c r="G368" s="12">
        <v>5</v>
      </c>
      <c r="H368" s="30" t="s">
        <v>64</v>
      </c>
      <c r="I368" s="30" t="s">
        <v>41</v>
      </c>
      <c r="J368" s="30" t="s">
        <v>72</v>
      </c>
      <c r="K368" s="9" t="str">
        <f>IFERROR(VLOOKUP($B368,[1]Kundenübersicht!$E$4:$AC$1003,MATCH(K$3,[1]Kundenübersicht!$E$3:$BA$3,FALSE),FALSE),"")</f>
        <v>Techniker Krankenkasse</v>
      </c>
      <c r="L368" s="13">
        <f>IFERROR(VLOOKUP(B368,[1]Kundenübersicht!$E$4:$AC$1003,MATCH(L$3,[1]Kundenübersicht!$E$3:$BA$3,FALSE),FALSE),"")</f>
        <v>101575519</v>
      </c>
      <c r="M368" s="13" t="str">
        <f>IFERROR(VLOOKUP(B368,[1]Kundenübersicht!$E$4:$AC$1003,MATCH(M$3,[1]Kundenübersicht!$E$3:$BA$3,FALSE),FALSE),"")</f>
        <v>V281460760</v>
      </c>
      <c r="N368" s="13" t="str">
        <f>IFERROR(VLOOKUP(B368,[1]Kundenübersicht!$E$4:$AC$1003,MATCH(N$3,[1]Kundenübersicht!$E$3:$BA$3,FALSE),FALSE),"")</f>
        <v>PG 2</v>
      </c>
      <c r="P368" s="9" t="s">
        <v>29</v>
      </c>
      <c r="R368" s="9" t="str">
        <f t="shared" si="64"/>
        <v>Unterschrieben</v>
      </c>
      <c r="S368" s="14" t="s">
        <v>31</v>
      </c>
      <c r="U368" s="15">
        <f>IF(YEAR(C368)&lt;=2025,IFERROR(IF(I368="Hauswirtschaft",VLOOKUP($B368,[1]Kundenübersicht!$E$4:$BA$1003,MATCH("Hauswirtschaft [€/Stunde]",[1]Kundenübersicht!$E$3:$BA$3,FALSE),FALSE),VLOOKUP($B368,[1]Kundenübersicht!$E$4:$BA$1003,MATCH("Alltagsbegleitung [€/Stunde]",[1]Kundenübersicht!$E$3:$BA$3,FALSE),FALSE)),0),IFERROR(IF(I368="Hauswirtschaft",VLOOKUP($B368,[1]Kundenübersicht!$E$4:$BA$1003,MATCH("HW ab 2026 [€/Stunde]",[1]Kundenübersicht!$E$3:$BA$3,FALSE),FALSE),VLOOKUP($B368,[1]Kundenübersicht!$E$4:$BA$1003,MATCH("Alltagsbegleitung [€/Stunde]",[1]Kundenübersicht!$E$3:$BA$3,FALSE),FALSE)),0))</f>
        <v>42</v>
      </c>
      <c r="V368" s="16">
        <f t="shared" si="70"/>
        <v>42.000000000000071</v>
      </c>
      <c r="W368" s="16">
        <f t="shared" si="83"/>
        <v>1.75</v>
      </c>
      <c r="X368" s="16" t="str">
        <f>VLOOKUP(B368,[1]Kundenübersicht!E:AG,MATCH($X$3,[1]Kundenübersicht!$E$3:$AY$3,0),FALSE)</f>
        <v>Neu</v>
      </c>
      <c r="Z368" s="20" t="s">
        <v>29</v>
      </c>
      <c r="AA368" s="19">
        <v>46062</v>
      </c>
      <c r="AC368" s="19"/>
      <c r="AE368" s="9">
        <f t="shared" si="78"/>
        <v>2025</v>
      </c>
      <c r="AF368" s="17" t="str">
        <f t="shared" si="79"/>
        <v>12.2025</v>
      </c>
      <c r="AG368" s="17" t="str">
        <f t="shared" si="80"/>
        <v>Ursula Ullmann</v>
      </c>
      <c r="AH368" s="17" t="str">
        <f>IFERROR(VLOOKUP(B368,[1]Kundenübersicht!$E$4:$F$85,2,FALSE),"")</f>
        <v>Wolfgang Seidel</v>
      </c>
      <c r="AI368" s="17" t="str">
        <f t="shared" si="85"/>
        <v>Alltagsbegleitung</v>
      </c>
      <c r="AJ368" s="17" t="str">
        <f t="shared" si="85"/>
        <v>Verhinderungs-/Kurzzeitpflege</v>
      </c>
      <c r="AL368" s="18">
        <f t="shared" si="72"/>
        <v>42</v>
      </c>
      <c r="AM368" s="18">
        <f t="shared" si="73"/>
        <v>42.000000000000071</v>
      </c>
      <c r="AN368" s="18">
        <f t="shared" si="74"/>
        <v>1.75</v>
      </c>
    </row>
    <row r="369" spans="2:40" x14ac:dyDescent="0.25">
      <c r="B369" s="30" t="s">
        <v>71</v>
      </c>
      <c r="C369" s="31">
        <v>45999</v>
      </c>
      <c r="D369" s="32">
        <v>0.58333333333333337</v>
      </c>
      <c r="E369" s="32">
        <v>0.61458333333333337</v>
      </c>
      <c r="F369" s="12">
        <f t="shared" si="69"/>
        <v>0.75</v>
      </c>
      <c r="G369" s="12">
        <v>5</v>
      </c>
      <c r="H369" s="30" t="s">
        <v>64</v>
      </c>
      <c r="I369" s="30" t="s">
        <v>41</v>
      </c>
      <c r="J369" s="30" t="s">
        <v>72</v>
      </c>
      <c r="K369" s="9" t="str">
        <f>IFERROR(VLOOKUP($B369,[1]Kundenübersicht!$E$4:$AC$1003,MATCH(K$3,[1]Kundenübersicht!$E$3:$BA$3,FALSE),FALSE),"")</f>
        <v>Techniker Krankenkasse</v>
      </c>
      <c r="L369" s="13">
        <f>IFERROR(VLOOKUP(B369,[1]Kundenübersicht!$E$4:$AC$1003,MATCH(L$3,[1]Kundenübersicht!$E$3:$BA$3,FALSE),FALSE),"")</f>
        <v>101575519</v>
      </c>
      <c r="M369" s="13" t="str">
        <f>IFERROR(VLOOKUP(B369,[1]Kundenübersicht!$E$4:$AC$1003,MATCH(M$3,[1]Kundenübersicht!$E$3:$BA$3,FALSE),FALSE),"")</f>
        <v>V281460760</v>
      </c>
      <c r="N369" s="13" t="str">
        <f>IFERROR(VLOOKUP(B369,[1]Kundenübersicht!$E$4:$AC$1003,MATCH(N$3,[1]Kundenübersicht!$E$3:$BA$3,FALSE),FALSE),"")</f>
        <v>PG 2</v>
      </c>
      <c r="P369" s="9" t="s">
        <v>29</v>
      </c>
      <c r="R369" s="9" t="str">
        <f t="shared" si="64"/>
        <v>Unterschrieben</v>
      </c>
      <c r="S369" s="14" t="s">
        <v>31</v>
      </c>
      <c r="U369" s="15">
        <f>IF(YEAR(C369)&lt;=2025,IFERROR(IF(I369="Hauswirtschaft",VLOOKUP($B369,[1]Kundenübersicht!$E$4:$BA$1003,MATCH("Hauswirtschaft [€/Stunde]",[1]Kundenübersicht!$E$3:$BA$3,FALSE),FALSE),VLOOKUP($B369,[1]Kundenübersicht!$E$4:$BA$1003,MATCH("Alltagsbegleitung [€/Stunde]",[1]Kundenübersicht!$E$3:$BA$3,FALSE),FALSE)),0),IFERROR(IF(I369="Hauswirtschaft",VLOOKUP($B369,[1]Kundenübersicht!$E$4:$BA$1003,MATCH("HW ab 2026 [€/Stunde]",[1]Kundenübersicht!$E$3:$BA$3,FALSE),FALSE),VLOOKUP($B369,[1]Kundenübersicht!$E$4:$BA$1003,MATCH("Alltagsbegleitung [€/Stunde]",[1]Kundenübersicht!$E$3:$BA$3,FALSE),FALSE)),0))</f>
        <v>42</v>
      </c>
      <c r="V369" s="16">
        <f t="shared" si="70"/>
        <v>31.5</v>
      </c>
      <c r="W369" s="16">
        <f t="shared" si="83"/>
        <v>1.75</v>
      </c>
      <c r="X369" s="16" t="str">
        <f>VLOOKUP(B369,[1]Kundenübersicht!E:AG,MATCH($X$3,[1]Kundenübersicht!$E$3:$AY$3,0),FALSE)</f>
        <v>Neu</v>
      </c>
      <c r="Z369" s="20" t="s">
        <v>29</v>
      </c>
      <c r="AA369" s="19">
        <v>46062</v>
      </c>
      <c r="AC369" s="19"/>
      <c r="AE369" s="9">
        <f t="shared" si="78"/>
        <v>2025</v>
      </c>
      <c r="AF369" s="17" t="str">
        <f t="shared" si="79"/>
        <v>12.2025</v>
      </c>
      <c r="AG369" s="17" t="str">
        <f t="shared" si="80"/>
        <v>Ursula Ullmann</v>
      </c>
      <c r="AH369" s="17" t="str">
        <f>IFERROR(VLOOKUP(B369,[1]Kundenübersicht!$E$4:$F$85,2,FALSE),"")</f>
        <v>Wolfgang Seidel</v>
      </c>
      <c r="AI369" s="17" t="str">
        <f t="shared" si="85"/>
        <v>Alltagsbegleitung</v>
      </c>
      <c r="AJ369" s="17" t="str">
        <f t="shared" si="85"/>
        <v>Verhinderungs-/Kurzzeitpflege</v>
      </c>
      <c r="AL369" s="18">
        <f t="shared" si="72"/>
        <v>42</v>
      </c>
      <c r="AM369" s="18">
        <f t="shared" si="73"/>
        <v>31.5</v>
      </c>
      <c r="AN369" s="18">
        <f t="shared" si="74"/>
        <v>1.75</v>
      </c>
    </row>
    <row r="370" spans="2:40" x14ac:dyDescent="0.25">
      <c r="B370" s="30" t="s">
        <v>71</v>
      </c>
      <c r="C370" s="31">
        <v>46002</v>
      </c>
      <c r="D370" s="32">
        <v>0.41666666666666669</v>
      </c>
      <c r="E370" s="32">
        <v>0.45833333333333331</v>
      </c>
      <c r="F370" s="12">
        <f t="shared" si="69"/>
        <v>0.99999999999999911</v>
      </c>
      <c r="G370" s="12">
        <v>8</v>
      </c>
      <c r="H370" s="30" t="s">
        <v>64</v>
      </c>
      <c r="I370" s="30" t="s">
        <v>27</v>
      </c>
      <c r="J370" s="30" t="s">
        <v>72</v>
      </c>
      <c r="K370" s="9" t="str">
        <f>IFERROR(VLOOKUP($B370,[1]Kundenübersicht!$E$4:$AC$1003,MATCH(K$3,[1]Kundenübersicht!$E$3:$BA$3,FALSE),FALSE),"")</f>
        <v>Techniker Krankenkasse</v>
      </c>
      <c r="L370" s="13">
        <f>IFERROR(VLOOKUP(B370,[1]Kundenübersicht!$E$4:$AC$1003,MATCH(L$3,[1]Kundenübersicht!$E$3:$BA$3,FALSE),FALSE),"")</f>
        <v>101575519</v>
      </c>
      <c r="M370" s="13" t="str">
        <f>IFERROR(VLOOKUP(B370,[1]Kundenübersicht!$E$4:$AC$1003,MATCH(M$3,[1]Kundenübersicht!$E$3:$BA$3,FALSE),FALSE),"")</f>
        <v>V281460760</v>
      </c>
      <c r="N370" s="13" t="str">
        <f>IFERROR(VLOOKUP(B370,[1]Kundenübersicht!$E$4:$AC$1003,MATCH(N$3,[1]Kundenübersicht!$E$3:$BA$3,FALSE),FALSE),"")</f>
        <v>PG 2</v>
      </c>
      <c r="P370" s="9" t="s">
        <v>29</v>
      </c>
      <c r="R370" s="9" t="str">
        <f t="shared" ref="R370:R423" si="88">IF(S370="Link","Unterschrieben","Fehlt")</f>
        <v>Unterschrieben</v>
      </c>
      <c r="S370" s="14" t="s">
        <v>31</v>
      </c>
      <c r="U370" s="15">
        <f>IF(YEAR(C370)&lt;=2025,IFERROR(IF(I370="Hauswirtschaft",VLOOKUP($B370,[1]Kundenübersicht!$E$4:$BA$1003,MATCH("Hauswirtschaft [€/Stunde]",[1]Kundenübersicht!$E$3:$BA$3,FALSE),FALSE),VLOOKUP($B370,[1]Kundenübersicht!$E$4:$BA$1003,MATCH("Alltagsbegleitung [€/Stunde]",[1]Kundenübersicht!$E$3:$BA$3,FALSE),FALSE)),0),IFERROR(IF(I370="Hauswirtschaft",VLOOKUP($B370,[1]Kundenübersicht!$E$4:$BA$1003,MATCH("HW ab 2026 [€/Stunde]",[1]Kundenübersicht!$E$3:$BA$3,FALSE),FALSE),VLOOKUP($B370,[1]Kundenübersicht!$E$4:$BA$1003,MATCH("Alltagsbegleitung [€/Stunde]",[1]Kundenübersicht!$E$3:$BA$3,FALSE),FALSE)),0))</f>
        <v>38</v>
      </c>
      <c r="V370" s="16">
        <f t="shared" si="70"/>
        <v>37.999999999999964</v>
      </c>
      <c r="W370" s="16">
        <f t="shared" si="83"/>
        <v>2.8</v>
      </c>
      <c r="X370" s="16" t="str">
        <f>VLOOKUP(B370,[1]Kundenübersicht!E:AG,MATCH($X$3,[1]Kundenübersicht!$E$3:$AY$3,0),FALSE)</f>
        <v>Neu</v>
      </c>
      <c r="Z370" s="20" t="s">
        <v>29</v>
      </c>
      <c r="AA370" s="19">
        <v>46062</v>
      </c>
      <c r="AC370" s="19"/>
      <c r="AE370" s="9">
        <f t="shared" si="78"/>
        <v>2025</v>
      </c>
      <c r="AF370" s="17" t="str">
        <f t="shared" si="79"/>
        <v>12.2025</v>
      </c>
      <c r="AG370" s="17" t="str">
        <f t="shared" si="80"/>
        <v>Ursula Ullmann</v>
      </c>
      <c r="AH370" s="17" t="str">
        <f>IFERROR(VLOOKUP(B370,[1]Kundenübersicht!$E$4:$F$85,2,FALSE),"")</f>
        <v>Wolfgang Seidel</v>
      </c>
      <c r="AI370" s="17" t="str">
        <f t="shared" si="85"/>
        <v>Hauswirtschaft</v>
      </c>
      <c r="AJ370" s="17" t="str">
        <f t="shared" si="85"/>
        <v>Verhinderungs-/Kurzzeitpflege</v>
      </c>
      <c r="AL370" s="18">
        <f t="shared" si="72"/>
        <v>38</v>
      </c>
      <c r="AM370" s="18">
        <f t="shared" si="73"/>
        <v>37.999999999999964</v>
      </c>
      <c r="AN370" s="18">
        <f t="shared" si="74"/>
        <v>2.8</v>
      </c>
    </row>
    <row r="371" spans="2:40" x14ac:dyDescent="0.25">
      <c r="B371" s="30" t="s">
        <v>71</v>
      </c>
      <c r="C371" s="31">
        <v>46007</v>
      </c>
      <c r="D371" s="32">
        <v>0.58333333333333337</v>
      </c>
      <c r="E371" s="32">
        <v>0.60416666666666663</v>
      </c>
      <c r="F371" s="12">
        <f t="shared" si="69"/>
        <v>0.49999999999999822</v>
      </c>
      <c r="G371" s="12">
        <v>7</v>
      </c>
      <c r="H371" s="30" t="s">
        <v>64</v>
      </c>
      <c r="I371" s="30" t="s">
        <v>27</v>
      </c>
      <c r="J371" s="30" t="s">
        <v>72</v>
      </c>
      <c r="K371" s="9" t="str">
        <f>IFERROR(VLOOKUP($B371,[1]Kundenübersicht!$E$4:$AC$1003,MATCH(K$3,[1]Kundenübersicht!$E$3:$BA$3,FALSE),FALSE),"")</f>
        <v>Techniker Krankenkasse</v>
      </c>
      <c r="L371" s="13">
        <f>IFERROR(VLOOKUP(B371,[1]Kundenübersicht!$E$4:$AC$1003,MATCH(L$3,[1]Kundenübersicht!$E$3:$BA$3,FALSE),FALSE),"")</f>
        <v>101575519</v>
      </c>
      <c r="M371" s="13" t="str">
        <f>IFERROR(VLOOKUP(B371,[1]Kundenübersicht!$E$4:$AC$1003,MATCH(M$3,[1]Kundenübersicht!$E$3:$BA$3,FALSE),FALSE),"")</f>
        <v>V281460760</v>
      </c>
      <c r="N371" s="13" t="str">
        <f>IFERROR(VLOOKUP(B371,[1]Kundenübersicht!$E$4:$AC$1003,MATCH(N$3,[1]Kundenübersicht!$E$3:$BA$3,FALSE),FALSE),"")</f>
        <v>PG 2</v>
      </c>
      <c r="P371" s="9" t="s">
        <v>29</v>
      </c>
      <c r="R371" s="9" t="str">
        <f t="shared" si="88"/>
        <v>Unterschrieben</v>
      </c>
      <c r="S371" s="14" t="s">
        <v>31</v>
      </c>
      <c r="U371" s="15">
        <f>IF(YEAR(C371)&lt;=2025,IFERROR(IF(I371="Hauswirtschaft",VLOOKUP($B371,[1]Kundenübersicht!$E$4:$BA$1003,MATCH("Hauswirtschaft [€/Stunde]",[1]Kundenübersicht!$E$3:$BA$3,FALSE),FALSE),VLOOKUP($B371,[1]Kundenübersicht!$E$4:$BA$1003,MATCH("Alltagsbegleitung [€/Stunde]",[1]Kundenübersicht!$E$3:$BA$3,FALSE),FALSE)),0),IFERROR(IF(I371="Hauswirtschaft",VLOOKUP($B371,[1]Kundenübersicht!$E$4:$BA$1003,MATCH("HW ab 2026 [€/Stunde]",[1]Kundenübersicht!$E$3:$BA$3,FALSE),FALSE),VLOOKUP($B371,[1]Kundenübersicht!$E$4:$BA$1003,MATCH("Alltagsbegleitung [€/Stunde]",[1]Kundenübersicht!$E$3:$BA$3,FALSE),FALSE)),0))</f>
        <v>38</v>
      </c>
      <c r="V371" s="16">
        <f t="shared" si="70"/>
        <v>18.999999999999932</v>
      </c>
      <c r="W371" s="16">
        <f t="shared" si="83"/>
        <v>2.4499999999999997</v>
      </c>
      <c r="X371" s="16" t="str">
        <f>VLOOKUP(B371,[1]Kundenübersicht!E:AG,MATCH($X$3,[1]Kundenübersicht!$E$3:$AY$3,0),FALSE)</f>
        <v>Neu</v>
      </c>
      <c r="Z371" s="20" t="s">
        <v>29</v>
      </c>
      <c r="AA371" s="19">
        <v>46062</v>
      </c>
      <c r="AC371" s="19"/>
      <c r="AE371" s="9">
        <f t="shared" si="78"/>
        <v>2025</v>
      </c>
      <c r="AF371" s="17" t="str">
        <f t="shared" si="79"/>
        <v>12.2025</v>
      </c>
      <c r="AG371" s="17" t="str">
        <f t="shared" si="80"/>
        <v>Ursula Ullmann</v>
      </c>
      <c r="AH371" s="17" t="str">
        <f>IFERROR(VLOOKUP(B371,[1]Kundenübersicht!$E$4:$F$85,2,FALSE),"")</f>
        <v>Wolfgang Seidel</v>
      </c>
      <c r="AI371" s="17" t="str">
        <f t="shared" si="85"/>
        <v>Hauswirtschaft</v>
      </c>
      <c r="AJ371" s="17" t="str">
        <f t="shared" si="85"/>
        <v>Verhinderungs-/Kurzzeitpflege</v>
      </c>
      <c r="AL371" s="18">
        <f t="shared" si="72"/>
        <v>38</v>
      </c>
      <c r="AM371" s="18">
        <f t="shared" si="73"/>
        <v>18.999999999999932</v>
      </c>
      <c r="AN371" s="18">
        <f t="shared" si="74"/>
        <v>2.4499999999999997</v>
      </c>
    </row>
    <row r="372" spans="2:40" x14ac:dyDescent="0.25">
      <c r="B372" s="30" t="s">
        <v>71</v>
      </c>
      <c r="C372" s="31">
        <v>46007</v>
      </c>
      <c r="D372" s="32">
        <v>0.60416666666666663</v>
      </c>
      <c r="E372" s="32">
        <v>0.6875</v>
      </c>
      <c r="F372" s="12">
        <f t="shared" si="69"/>
        <v>2.0000000000000009</v>
      </c>
      <c r="G372" s="12">
        <v>0</v>
      </c>
      <c r="H372" s="30" t="s">
        <v>64</v>
      </c>
      <c r="I372" s="30" t="s">
        <v>41</v>
      </c>
      <c r="J372" s="30" t="s">
        <v>72</v>
      </c>
      <c r="K372" s="9" t="str">
        <f>IFERROR(VLOOKUP($B372,[1]Kundenübersicht!$E$4:$AC$1003,MATCH(K$3,[1]Kundenübersicht!$E$3:$BA$3,FALSE),FALSE),"")</f>
        <v>Techniker Krankenkasse</v>
      </c>
      <c r="L372" s="13">
        <f>IFERROR(VLOOKUP(B372,[1]Kundenübersicht!$E$4:$AC$1003,MATCH(L$3,[1]Kundenübersicht!$E$3:$BA$3,FALSE),FALSE),"")</f>
        <v>101575519</v>
      </c>
      <c r="M372" s="13" t="str">
        <f>IFERROR(VLOOKUP(B372,[1]Kundenübersicht!$E$4:$AC$1003,MATCH(M$3,[1]Kundenübersicht!$E$3:$BA$3,FALSE),FALSE),"")</f>
        <v>V281460760</v>
      </c>
      <c r="N372" s="13" t="str">
        <f>IFERROR(VLOOKUP(B372,[1]Kundenübersicht!$E$4:$AC$1003,MATCH(N$3,[1]Kundenübersicht!$E$3:$BA$3,FALSE),FALSE),"")</f>
        <v>PG 2</v>
      </c>
      <c r="P372" s="9" t="s">
        <v>29</v>
      </c>
      <c r="R372" s="9" t="str">
        <f t="shared" si="88"/>
        <v>Unterschrieben</v>
      </c>
      <c r="S372" s="14" t="s">
        <v>31</v>
      </c>
      <c r="U372" s="15">
        <f>IF(YEAR(C372)&lt;=2025,IFERROR(IF(I372="Hauswirtschaft",VLOOKUP($B372,[1]Kundenübersicht!$E$4:$BA$1003,MATCH("Hauswirtschaft [€/Stunde]",[1]Kundenübersicht!$E$3:$BA$3,FALSE),FALSE),VLOOKUP($B372,[1]Kundenübersicht!$E$4:$BA$1003,MATCH("Alltagsbegleitung [€/Stunde]",[1]Kundenübersicht!$E$3:$BA$3,FALSE),FALSE)),0),IFERROR(IF(I372="Hauswirtschaft",VLOOKUP($B372,[1]Kundenübersicht!$E$4:$BA$1003,MATCH("HW ab 2026 [€/Stunde]",[1]Kundenübersicht!$E$3:$BA$3,FALSE),FALSE),VLOOKUP($B372,[1]Kundenübersicht!$E$4:$BA$1003,MATCH("Alltagsbegleitung [€/Stunde]",[1]Kundenübersicht!$E$3:$BA$3,FALSE),FALSE)),0))</f>
        <v>42</v>
      </c>
      <c r="V372" s="16">
        <f t="shared" si="70"/>
        <v>84.000000000000043</v>
      </c>
      <c r="W372" s="16">
        <f t="shared" si="83"/>
        <v>0</v>
      </c>
      <c r="X372" s="16" t="str">
        <f>VLOOKUP(B372,[1]Kundenübersicht!E:AG,MATCH($X$3,[1]Kundenübersicht!$E$3:$AY$3,0),FALSE)</f>
        <v>Neu</v>
      </c>
      <c r="Z372" s="20" t="s">
        <v>29</v>
      </c>
      <c r="AA372" s="19">
        <v>46062</v>
      </c>
      <c r="AC372" s="19"/>
      <c r="AE372" s="9">
        <f t="shared" si="78"/>
        <v>2025</v>
      </c>
      <c r="AF372" s="17" t="str">
        <f t="shared" si="79"/>
        <v>12.2025</v>
      </c>
      <c r="AG372" s="17" t="str">
        <f t="shared" si="80"/>
        <v>Ursula Ullmann</v>
      </c>
      <c r="AH372" s="17" t="str">
        <f>IFERROR(VLOOKUP(B372,[1]Kundenübersicht!$E$4:$F$85,2,FALSE),"")</f>
        <v>Wolfgang Seidel</v>
      </c>
      <c r="AI372" s="17" t="str">
        <f t="shared" si="85"/>
        <v>Alltagsbegleitung</v>
      </c>
      <c r="AJ372" s="17" t="str">
        <f t="shared" si="85"/>
        <v>Verhinderungs-/Kurzzeitpflege</v>
      </c>
      <c r="AL372" s="18">
        <f t="shared" si="72"/>
        <v>42</v>
      </c>
      <c r="AM372" s="18">
        <f t="shared" si="73"/>
        <v>84.000000000000043</v>
      </c>
      <c r="AN372" s="18">
        <f t="shared" si="74"/>
        <v>0</v>
      </c>
    </row>
    <row r="373" spans="2:40" x14ac:dyDescent="0.25">
      <c r="B373" s="30" t="s">
        <v>69</v>
      </c>
      <c r="C373" s="31">
        <v>46000</v>
      </c>
      <c r="D373" s="32">
        <v>0.4375</v>
      </c>
      <c r="E373" s="32">
        <v>0.52083333333333337</v>
      </c>
      <c r="F373" s="12">
        <f t="shared" si="69"/>
        <v>2.0000000000000009</v>
      </c>
      <c r="G373" s="12">
        <v>23.9</v>
      </c>
      <c r="H373" s="30" t="s">
        <v>33</v>
      </c>
      <c r="I373" s="30" t="s">
        <v>27</v>
      </c>
      <c r="J373" s="30" t="s">
        <v>28</v>
      </c>
      <c r="K373" s="9" t="str">
        <f>IFERROR(VLOOKUP($B373,[1]Kundenübersicht!$E$4:$AC$1003,MATCH(K$3,[1]Kundenübersicht!$E$3:$BA$3,FALSE),FALSE),"")</f>
        <v>Barmer Pflegekasse</v>
      </c>
      <c r="L373" s="13">
        <f>IFERROR(VLOOKUP(B373,[1]Kundenübersicht!$E$4:$AC$1003,MATCH(L$3,[1]Kundenübersicht!$E$3:$BA$3,FALSE),FALSE),"")</f>
        <v>184940005</v>
      </c>
      <c r="M373" s="13" t="str">
        <f>IFERROR(VLOOKUP(B373,[1]Kundenübersicht!$E$4:$AC$1003,MATCH(M$3,[1]Kundenübersicht!$E$3:$BA$3,FALSE),FALSE),"")</f>
        <v>G192083809</v>
      </c>
      <c r="N373" s="13" t="str">
        <f>IFERROR(VLOOKUP(B373,[1]Kundenübersicht!$E$4:$AC$1003,MATCH(N$3,[1]Kundenübersicht!$E$3:$BA$3,FALSE),FALSE),"")</f>
        <v>PG 2</v>
      </c>
      <c r="P373" s="9" t="s">
        <v>29</v>
      </c>
      <c r="R373" s="9" t="str">
        <f t="shared" si="88"/>
        <v>Unterschrieben</v>
      </c>
      <c r="S373" s="14" t="s">
        <v>31</v>
      </c>
      <c r="U373" s="15">
        <f>IF(YEAR(C373)&lt;=2025,IFERROR(IF(I373="Hauswirtschaft",VLOOKUP($B373,[1]Kundenübersicht!$E$4:$BA$1003,MATCH("Hauswirtschaft [€/Stunde]",[1]Kundenübersicht!$E$3:$BA$3,FALSE),FALSE),VLOOKUP($B373,[1]Kundenübersicht!$E$4:$BA$1003,MATCH("Alltagsbegleitung [€/Stunde]",[1]Kundenübersicht!$E$3:$BA$3,FALSE),FALSE)),0),IFERROR(IF(I373="Hauswirtschaft",VLOOKUP($B373,[1]Kundenübersicht!$E$4:$BA$1003,MATCH("HW ab 2026 [€/Stunde]",[1]Kundenübersicht!$E$3:$BA$3,FALSE),FALSE),VLOOKUP($B373,[1]Kundenübersicht!$E$4:$BA$1003,MATCH("Alltagsbegleitung [€/Stunde]",[1]Kundenübersicht!$E$3:$BA$3,FALSE),FALSE)),0))</f>
        <v>32.75</v>
      </c>
      <c r="V373" s="16">
        <f t="shared" si="70"/>
        <v>65.500000000000028</v>
      </c>
      <c r="W373" s="16">
        <f t="shared" si="83"/>
        <v>0</v>
      </c>
      <c r="X373" s="16" t="str">
        <f>VLOOKUP(B373,[1]Kundenübersicht!E:AG,MATCH($X$3,[1]Kundenübersicht!$E$3:$AY$3,0),FALSE)</f>
        <v>Alt</v>
      </c>
      <c r="Z373" s="20" t="str">
        <f t="shared" ref="Z373:Z374" si="89">IF(AA373="","Nein","Ja")</f>
        <v>Ja</v>
      </c>
      <c r="AA373" s="19">
        <v>45697</v>
      </c>
      <c r="AC373" s="19"/>
      <c r="AE373" s="9">
        <f t="shared" si="78"/>
        <v>2025</v>
      </c>
      <c r="AF373" s="17" t="str">
        <f t="shared" si="79"/>
        <v>12.2025</v>
      </c>
      <c r="AG373" s="17" t="str">
        <f t="shared" si="80"/>
        <v>Christiane Fiebag</v>
      </c>
      <c r="AH373" s="17" t="str">
        <f>IFERROR(VLOOKUP(B373,[1]Kundenübersicht!$E$4:$F$85,2,FALSE),"")</f>
        <v>Bettina Jungnickel</v>
      </c>
      <c r="AI373" s="17" t="str">
        <f t="shared" si="85"/>
        <v>Hauswirtschaft</v>
      </c>
      <c r="AJ373" s="17" t="str">
        <f t="shared" si="85"/>
        <v>Entlastungsleistung</v>
      </c>
      <c r="AL373" s="18">
        <f t="shared" si="72"/>
        <v>38</v>
      </c>
      <c r="AM373" s="18">
        <f t="shared" si="73"/>
        <v>76.000000000000028</v>
      </c>
      <c r="AN373" s="18">
        <f t="shared" si="74"/>
        <v>8.3649999999999984</v>
      </c>
    </row>
    <row r="374" spans="2:40" x14ac:dyDescent="0.25">
      <c r="B374" s="30" t="s">
        <v>69</v>
      </c>
      <c r="C374" s="31">
        <v>46021</v>
      </c>
      <c r="D374" s="32">
        <v>0.33333333333333331</v>
      </c>
      <c r="E374" s="32">
        <v>0.41666666666666669</v>
      </c>
      <c r="F374" s="12">
        <f t="shared" si="69"/>
        <v>2.0000000000000009</v>
      </c>
      <c r="G374" s="12">
        <v>25</v>
      </c>
      <c r="H374" s="30" t="s">
        <v>33</v>
      </c>
      <c r="I374" s="30" t="s">
        <v>27</v>
      </c>
      <c r="J374" s="30" t="s">
        <v>28</v>
      </c>
      <c r="K374" s="9" t="str">
        <f>IFERROR(VLOOKUP($B374,[1]Kundenübersicht!$E$4:$AC$1003,MATCH(K$3,[1]Kundenübersicht!$E$3:$BA$3,FALSE),FALSE),"")</f>
        <v>Barmer Pflegekasse</v>
      </c>
      <c r="L374" s="13">
        <f>IFERROR(VLOOKUP(B374,[1]Kundenübersicht!$E$4:$AC$1003,MATCH(L$3,[1]Kundenübersicht!$E$3:$BA$3,FALSE),FALSE),"")</f>
        <v>184940005</v>
      </c>
      <c r="M374" s="13" t="str">
        <f>IFERROR(VLOOKUP(B374,[1]Kundenübersicht!$E$4:$AC$1003,MATCH(M$3,[1]Kundenübersicht!$E$3:$BA$3,FALSE),FALSE),"")</f>
        <v>G192083809</v>
      </c>
      <c r="N374" s="13" t="str">
        <f>IFERROR(VLOOKUP(B374,[1]Kundenübersicht!$E$4:$AC$1003,MATCH(N$3,[1]Kundenübersicht!$E$3:$BA$3,FALSE),FALSE),"")</f>
        <v>PG 2</v>
      </c>
      <c r="P374" s="9" t="s">
        <v>29</v>
      </c>
      <c r="R374" s="9" t="str">
        <f t="shared" si="88"/>
        <v>Unterschrieben</v>
      </c>
      <c r="S374" s="14" t="s">
        <v>31</v>
      </c>
      <c r="U374" s="15">
        <f>IF(YEAR(C374)&lt;=2025,IFERROR(IF(I374="Hauswirtschaft",VLOOKUP($B374,[1]Kundenübersicht!$E$4:$BA$1003,MATCH("Hauswirtschaft [€/Stunde]",[1]Kundenübersicht!$E$3:$BA$3,FALSE),FALSE),VLOOKUP($B374,[1]Kundenübersicht!$E$4:$BA$1003,MATCH("Alltagsbegleitung [€/Stunde]",[1]Kundenübersicht!$E$3:$BA$3,FALSE),FALSE)),0),IFERROR(IF(I374="Hauswirtschaft",VLOOKUP($B374,[1]Kundenübersicht!$E$4:$BA$1003,MATCH("HW ab 2026 [€/Stunde]",[1]Kundenübersicht!$E$3:$BA$3,FALSE),FALSE),VLOOKUP($B374,[1]Kundenübersicht!$E$4:$BA$1003,MATCH("Alltagsbegleitung [€/Stunde]",[1]Kundenübersicht!$E$3:$BA$3,FALSE),FALSE)),0))</f>
        <v>32.75</v>
      </c>
      <c r="V374" s="16">
        <f t="shared" si="70"/>
        <v>65.500000000000028</v>
      </c>
      <c r="W374" s="16">
        <f t="shared" si="83"/>
        <v>0</v>
      </c>
      <c r="X374" s="16" t="str">
        <f>VLOOKUP(B374,[1]Kundenübersicht!E:AG,MATCH($X$3,[1]Kundenübersicht!$E$3:$AY$3,0),FALSE)</f>
        <v>Alt</v>
      </c>
      <c r="Z374" s="20" t="str">
        <f t="shared" si="89"/>
        <v>Ja</v>
      </c>
      <c r="AA374" s="19">
        <v>45697</v>
      </c>
      <c r="AC374" s="19"/>
      <c r="AE374" s="9">
        <f t="shared" si="78"/>
        <v>2025</v>
      </c>
      <c r="AF374" s="17" t="str">
        <f t="shared" si="79"/>
        <v>12.2025</v>
      </c>
      <c r="AG374" s="17" t="str">
        <f t="shared" si="80"/>
        <v>Christiane Fiebag</v>
      </c>
      <c r="AH374" s="17" t="str">
        <f>IFERROR(VLOOKUP(B374,[1]Kundenübersicht!$E$4:$F$85,2,FALSE),"")</f>
        <v>Bettina Jungnickel</v>
      </c>
      <c r="AI374" s="17" t="str">
        <f t="shared" si="85"/>
        <v>Hauswirtschaft</v>
      </c>
      <c r="AJ374" s="17" t="str">
        <f t="shared" si="85"/>
        <v>Entlastungsleistung</v>
      </c>
      <c r="AL374" s="18">
        <f t="shared" si="72"/>
        <v>38</v>
      </c>
      <c r="AM374" s="18">
        <f t="shared" si="73"/>
        <v>76.000000000000028</v>
      </c>
      <c r="AN374" s="18">
        <f t="shared" si="74"/>
        <v>8.75</v>
      </c>
    </row>
    <row r="375" spans="2:40" x14ac:dyDescent="0.25">
      <c r="B375" s="30" t="s">
        <v>63</v>
      </c>
      <c r="C375" s="31">
        <v>46002</v>
      </c>
      <c r="D375" s="32">
        <v>0.41666666666666669</v>
      </c>
      <c r="E375" s="32">
        <v>0.5</v>
      </c>
      <c r="F375" s="12">
        <f t="shared" si="69"/>
        <v>1.9999999999999996</v>
      </c>
      <c r="G375" s="12">
        <v>31.2</v>
      </c>
      <c r="H375" s="30" t="s">
        <v>33</v>
      </c>
      <c r="I375" s="30" t="s">
        <v>27</v>
      </c>
      <c r="J375" s="30" t="s">
        <v>28</v>
      </c>
      <c r="K375" s="9" t="str">
        <f>IFERROR(VLOOKUP($B375,[1]Kundenübersicht!$E$4:$AC$1003,MATCH(K$3,[1]Kundenübersicht!$E$3:$BA$3,FALSE),FALSE),"")</f>
        <v>Techniker Krankenkasse</v>
      </c>
      <c r="L375" s="13">
        <f>IFERROR(VLOOKUP(B375,[1]Kundenübersicht!$E$4:$AC$1003,MATCH(L$3,[1]Kundenübersicht!$E$3:$BA$3,FALSE),FALSE),"")</f>
        <v>101575519</v>
      </c>
      <c r="M375" s="13" t="str">
        <f>IFERROR(VLOOKUP(B375,[1]Kundenübersicht!$E$4:$AC$1003,MATCH(M$3,[1]Kundenübersicht!$E$3:$BA$3,FALSE),FALSE),"")</f>
        <v>O816601650</v>
      </c>
      <c r="N375" s="13" t="str">
        <f>IFERROR(VLOOKUP(B375,[1]Kundenübersicht!$E$4:$AC$1003,MATCH(N$3,[1]Kundenübersicht!$E$3:$BA$3,FALSE),FALSE),"")</f>
        <v>PG 2</v>
      </c>
      <c r="P375" s="9" t="s">
        <v>29</v>
      </c>
      <c r="R375" s="9" t="str">
        <f t="shared" si="88"/>
        <v>Unterschrieben</v>
      </c>
      <c r="S375" s="14" t="s">
        <v>31</v>
      </c>
      <c r="U375" s="15">
        <f>IF(YEAR(C375)&lt;=2025,IFERROR(IF(I375="Hauswirtschaft",VLOOKUP($B375,[1]Kundenübersicht!$E$4:$BA$1003,MATCH("Hauswirtschaft [€/Stunde]",[1]Kundenübersicht!$E$3:$BA$3,FALSE),FALSE),VLOOKUP($B375,[1]Kundenübersicht!$E$4:$BA$1003,MATCH("Alltagsbegleitung [€/Stunde]",[1]Kundenübersicht!$E$3:$BA$3,FALSE),FALSE)),0),IFERROR(IF(I375="Hauswirtschaft",VLOOKUP($B375,[1]Kundenübersicht!$E$4:$BA$1003,MATCH("HW ab 2026 [€/Stunde]",[1]Kundenübersicht!$E$3:$BA$3,FALSE),FALSE),VLOOKUP($B375,[1]Kundenübersicht!$E$4:$BA$1003,MATCH("Alltagsbegleitung [€/Stunde]",[1]Kundenübersicht!$E$3:$BA$3,FALSE),FALSE)),0))</f>
        <v>32.75</v>
      </c>
      <c r="V375" s="16">
        <f t="shared" si="70"/>
        <v>65.499999999999986</v>
      </c>
      <c r="W375" s="16">
        <f t="shared" si="83"/>
        <v>0</v>
      </c>
      <c r="X375" s="16" t="str">
        <f>VLOOKUP(B375,[1]Kundenübersicht!E:AG,MATCH($X$3,[1]Kundenübersicht!$E$3:$AY$3,0),FALSE)</f>
        <v>Alt</v>
      </c>
      <c r="Z375" s="20" t="s">
        <v>29</v>
      </c>
      <c r="AA375" s="19">
        <v>46062</v>
      </c>
      <c r="AC375" s="19"/>
      <c r="AE375" s="9">
        <f t="shared" si="78"/>
        <v>2025</v>
      </c>
      <c r="AF375" s="17" t="str">
        <f t="shared" si="79"/>
        <v>12.2025</v>
      </c>
      <c r="AG375" s="17" t="str">
        <f t="shared" si="80"/>
        <v>Christiane Fiebag</v>
      </c>
      <c r="AH375" s="17" t="str">
        <f>IFERROR(VLOOKUP(B375,[1]Kundenübersicht!$E$4:$F$85,2,FALSE),"")</f>
        <v>Joachim Röder</v>
      </c>
      <c r="AI375" s="17" t="str">
        <f t="shared" si="85"/>
        <v>Hauswirtschaft</v>
      </c>
      <c r="AJ375" s="17" t="str">
        <f t="shared" si="85"/>
        <v>Entlastungsleistung</v>
      </c>
      <c r="AL375" s="18">
        <f t="shared" si="72"/>
        <v>38</v>
      </c>
      <c r="AM375" s="18">
        <f t="shared" si="73"/>
        <v>75.999999999999986</v>
      </c>
      <c r="AN375" s="18">
        <f t="shared" si="74"/>
        <v>10.92</v>
      </c>
    </row>
    <row r="376" spans="2:40" x14ac:dyDescent="0.25">
      <c r="B376" s="30" t="s">
        <v>63</v>
      </c>
      <c r="C376" s="31">
        <v>46014</v>
      </c>
      <c r="D376" s="32">
        <v>0.41666666666666669</v>
      </c>
      <c r="E376" s="32">
        <v>0.5</v>
      </c>
      <c r="F376" s="12">
        <f t="shared" ref="F376:F439" si="90">(E376-D376)*24</f>
        <v>1.9999999999999996</v>
      </c>
      <c r="G376" s="12">
        <v>15.9</v>
      </c>
      <c r="H376" s="30" t="s">
        <v>33</v>
      </c>
      <c r="I376" s="30" t="s">
        <v>27</v>
      </c>
      <c r="J376" s="30" t="s">
        <v>28</v>
      </c>
      <c r="K376" s="9" t="str">
        <f>IFERROR(VLOOKUP($B376,[1]Kundenübersicht!$E$4:$AC$1003,MATCH(K$3,[1]Kundenübersicht!$E$3:$BA$3,FALSE),FALSE),"")</f>
        <v>Techniker Krankenkasse</v>
      </c>
      <c r="L376" s="13">
        <f>IFERROR(VLOOKUP(B376,[1]Kundenübersicht!$E$4:$AC$1003,MATCH(L$3,[1]Kundenübersicht!$E$3:$BA$3,FALSE),FALSE),"")</f>
        <v>101575519</v>
      </c>
      <c r="M376" s="13" t="str">
        <f>IFERROR(VLOOKUP(B376,[1]Kundenübersicht!$E$4:$AC$1003,MATCH(M$3,[1]Kundenübersicht!$E$3:$BA$3,FALSE),FALSE),"")</f>
        <v>O816601650</v>
      </c>
      <c r="N376" s="13" t="str">
        <f>IFERROR(VLOOKUP(B376,[1]Kundenübersicht!$E$4:$AC$1003,MATCH(N$3,[1]Kundenübersicht!$E$3:$BA$3,FALSE),FALSE),"")</f>
        <v>PG 2</v>
      </c>
      <c r="P376" s="9" t="s">
        <v>29</v>
      </c>
      <c r="R376" s="9" t="str">
        <f t="shared" si="88"/>
        <v>Unterschrieben</v>
      </c>
      <c r="S376" s="14" t="s">
        <v>31</v>
      </c>
      <c r="U376" s="15">
        <f>IF(YEAR(C376)&lt;=2025,IFERROR(IF(I376="Hauswirtschaft",VLOOKUP($B376,[1]Kundenübersicht!$E$4:$BA$1003,MATCH("Hauswirtschaft [€/Stunde]",[1]Kundenübersicht!$E$3:$BA$3,FALSE),FALSE),VLOOKUP($B376,[1]Kundenübersicht!$E$4:$BA$1003,MATCH("Alltagsbegleitung [€/Stunde]",[1]Kundenübersicht!$E$3:$BA$3,FALSE),FALSE)),0),IFERROR(IF(I376="Hauswirtschaft",VLOOKUP($B376,[1]Kundenübersicht!$E$4:$BA$1003,MATCH("HW ab 2026 [€/Stunde]",[1]Kundenübersicht!$E$3:$BA$3,FALSE),FALSE),VLOOKUP($B376,[1]Kundenübersicht!$E$4:$BA$1003,MATCH("Alltagsbegleitung [€/Stunde]",[1]Kundenübersicht!$E$3:$BA$3,FALSE),FALSE)),0))</f>
        <v>32.75</v>
      </c>
      <c r="V376" s="16">
        <f t="shared" ref="V376:V439" si="91">U376*F376</f>
        <v>65.499999999999986</v>
      </c>
      <c r="W376" s="16">
        <f t="shared" si="83"/>
        <v>0</v>
      </c>
      <c r="X376" s="16" t="str">
        <f>VLOOKUP(B376,[1]Kundenübersicht!E:AG,MATCH($X$3,[1]Kundenübersicht!$E$3:$AY$3,0),FALSE)</f>
        <v>Alt</v>
      </c>
      <c r="Z376" s="20" t="s">
        <v>29</v>
      </c>
      <c r="AA376" s="19">
        <v>46062</v>
      </c>
      <c r="AC376" s="19"/>
      <c r="AE376" s="9">
        <f t="shared" si="78"/>
        <v>2025</v>
      </c>
      <c r="AF376" s="17" t="str">
        <f t="shared" si="79"/>
        <v>12.2025</v>
      </c>
      <c r="AG376" s="17" t="str">
        <f t="shared" si="80"/>
        <v>Christiane Fiebag</v>
      </c>
      <c r="AH376" s="17" t="str">
        <f>IFERROR(VLOOKUP(B376,[1]Kundenübersicht!$E$4:$F$85,2,FALSE),"")</f>
        <v>Joachim Röder</v>
      </c>
      <c r="AI376" s="17" t="str">
        <f t="shared" si="85"/>
        <v>Hauswirtschaft</v>
      </c>
      <c r="AJ376" s="17" t="str">
        <f t="shared" si="85"/>
        <v>Entlastungsleistung</v>
      </c>
      <c r="AL376" s="18">
        <f t="shared" si="72"/>
        <v>38</v>
      </c>
      <c r="AM376" s="18">
        <f t="shared" si="73"/>
        <v>75.999999999999986</v>
      </c>
      <c r="AN376" s="18">
        <f t="shared" si="74"/>
        <v>5.5649999999999995</v>
      </c>
    </row>
    <row r="377" spans="2:40" x14ac:dyDescent="0.25">
      <c r="B377" s="30" t="s">
        <v>44</v>
      </c>
      <c r="C377" s="31">
        <v>46008</v>
      </c>
      <c r="D377" s="32">
        <v>0.54166666666666663</v>
      </c>
      <c r="E377" s="32">
        <v>0.60416666666666663</v>
      </c>
      <c r="F377" s="12">
        <f t="shared" si="90"/>
        <v>1.5</v>
      </c>
      <c r="G377" s="12">
        <v>9.4</v>
      </c>
      <c r="H377" s="30" t="s">
        <v>33</v>
      </c>
      <c r="I377" s="30" t="s">
        <v>27</v>
      </c>
      <c r="J377" s="30" t="s">
        <v>28</v>
      </c>
      <c r="K377" s="9" t="str">
        <f>IFERROR(VLOOKUP($B377,[1]Kundenübersicht!$E$4:$AC$1003,MATCH(K$3,[1]Kundenübersicht!$E$3:$BA$3,FALSE),FALSE),"")</f>
        <v>Barmer Pflegekasse</v>
      </c>
      <c r="L377" s="13">
        <f>IFERROR(VLOOKUP(B377,[1]Kundenübersicht!$E$4:$AC$1003,MATCH(L$3,[1]Kundenübersicht!$E$3:$BA$3,FALSE),FALSE),"")</f>
        <v>184940005</v>
      </c>
      <c r="M377" s="13" t="str">
        <f>IFERROR(VLOOKUP(B377,[1]Kundenübersicht!$E$4:$AC$1003,MATCH(M$3,[1]Kundenübersicht!$E$3:$BA$3,FALSE),FALSE),"")</f>
        <v>Y800652371</v>
      </c>
      <c r="N377" s="13" t="str">
        <f>IFERROR(VLOOKUP(B377,[1]Kundenübersicht!$E$4:$AC$1003,MATCH(N$3,[1]Kundenübersicht!$E$3:$BA$3,FALSE),FALSE),"")</f>
        <v>PG 1</v>
      </c>
      <c r="P377" s="9" t="s">
        <v>29</v>
      </c>
      <c r="R377" s="9" t="str">
        <f t="shared" si="88"/>
        <v>Unterschrieben</v>
      </c>
      <c r="S377" s="14" t="s">
        <v>31</v>
      </c>
      <c r="U377" s="15">
        <f>IF(YEAR(C377)&lt;=2025,IFERROR(IF(I377="Hauswirtschaft",VLOOKUP($B377,[1]Kundenübersicht!$E$4:$BA$1003,MATCH("Hauswirtschaft [€/Stunde]",[1]Kundenübersicht!$E$3:$BA$3,FALSE),FALSE),VLOOKUP($B377,[1]Kundenübersicht!$E$4:$BA$1003,MATCH("Alltagsbegleitung [€/Stunde]",[1]Kundenübersicht!$E$3:$BA$3,FALSE),FALSE)),0),IFERROR(IF(I377="Hauswirtschaft",VLOOKUP($B377,[1]Kundenübersicht!$E$4:$BA$1003,MATCH("HW ab 2026 [€/Stunde]",[1]Kundenübersicht!$E$3:$BA$3,FALSE),FALSE),VLOOKUP($B377,[1]Kundenübersicht!$E$4:$BA$1003,MATCH("Alltagsbegleitung [€/Stunde]",[1]Kundenübersicht!$E$3:$BA$3,FALSE),FALSE)),0))</f>
        <v>32.75</v>
      </c>
      <c r="V377" s="16">
        <f t="shared" si="91"/>
        <v>49.125</v>
      </c>
      <c r="W377" s="16">
        <f t="shared" si="83"/>
        <v>0</v>
      </c>
      <c r="X377" s="16" t="str">
        <f>VLOOKUP(B377,[1]Kundenübersicht!E:AG,MATCH($X$3,[1]Kundenübersicht!$E$3:$AY$3,0),FALSE)</f>
        <v>Alt</v>
      </c>
      <c r="Z377" s="20" t="str">
        <f>IF(AA377="","Nein","Ja")</f>
        <v>Ja</v>
      </c>
      <c r="AA377" s="19">
        <v>45697</v>
      </c>
      <c r="AC377" s="19"/>
      <c r="AE377" s="9">
        <f t="shared" si="78"/>
        <v>2025</v>
      </c>
      <c r="AF377" s="17" t="str">
        <f t="shared" si="79"/>
        <v>12.2025</v>
      </c>
      <c r="AG377" s="17" t="str">
        <f t="shared" si="80"/>
        <v>Christiane Fiebag</v>
      </c>
      <c r="AH377" s="17" t="str">
        <f>IFERROR(VLOOKUP(B377,[1]Kundenübersicht!$E$4:$F$85,2,FALSE),"")</f>
        <v>Dieter Kraft</v>
      </c>
      <c r="AI377" s="17" t="str">
        <f t="shared" si="85"/>
        <v>Hauswirtschaft</v>
      </c>
      <c r="AJ377" s="17" t="str">
        <f t="shared" si="85"/>
        <v>Entlastungsleistung</v>
      </c>
      <c r="AL377" s="18">
        <f t="shared" si="72"/>
        <v>38</v>
      </c>
      <c r="AM377" s="18">
        <f t="shared" si="73"/>
        <v>57</v>
      </c>
      <c r="AN377" s="18">
        <f t="shared" si="74"/>
        <v>3.29</v>
      </c>
    </row>
    <row r="378" spans="2:40" x14ac:dyDescent="0.25">
      <c r="B378" s="30" t="s">
        <v>32</v>
      </c>
      <c r="C378" s="31">
        <v>46007</v>
      </c>
      <c r="D378" s="32">
        <v>0.4375</v>
      </c>
      <c r="E378" s="32">
        <v>0.47916666666666669</v>
      </c>
      <c r="F378" s="12">
        <f t="shared" si="90"/>
        <v>1.0000000000000004</v>
      </c>
      <c r="G378" s="12">
        <v>7</v>
      </c>
      <c r="H378" s="30" t="s">
        <v>33</v>
      </c>
      <c r="I378" s="30" t="s">
        <v>27</v>
      </c>
      <c r="J378" s="30" t="s">
        <v>28</v>
      </c>
      <c r="K378" s="9" t="str">
        <f>IFERROR(VLOOKUP($B378,[1]Kundenübersicht!$E$4:$AC$1003,MATCH(K$3,[1]Kundenübersicht!$E$3:$BA$3,FALSE),FALSE),"")</f>
        <v>IKK Classic</v>
      </c>
      <c r="L378" s="13" t="str">
        <f>IFERROR(VLOOKUP(B378,[1]Kundenübersicht!$E$4:$AC$1003,MATCH(L$3,[1]Kundenübersicht!$E$3:$BA$3,FALSE),FALSE),"")</f>
        <v>187202793</v>
      </c>
      <c r="M378" s="13" t="str">
        <f>IFERROR(VLOOKUP(B378,[1]Kundenübersicht!$E$4:$AC$1003,MATCH(M$3,[1]Kundenübersicht!$E$3:$BA$3,FALSE),FALSE),"")</f>
        <v>A268233642</v>
      </c>
      <c r="N378" s="13" t="str">
        <f>IFERROR(VLOOKUP(B378,[1]Kundenübersicht!$E$4:$AC$1003,MATCH(N$3,[1]Kundenübersicht!$E$3:$BA$3,FALSE),FALSE),"")</f>
        <v>PG 2</v>
      </c>
      <c r="P378" s="9" t="s">
        <v>29</v>
      </c>
      <c r="R378" s="9" t="str">
        <f t="shared" si="88"/>
        <v>Unterschrieben</v>
      </c>
      <c r="S378" s="14" t="s">
        <v>31</v>
      </c>
      <c r="U378" s="15">
        <f>IF(YEAR(C378)&lt;=2025,IFERROR(IF(I378="Hauswirtschaft",VLOOKUP($B378,[1]Kundenübersicht!$E$4:$BA$1003,MATCH("Hauswirtschaft [€/Stunde]",[1]Kundenübersicht!$E$3:$BA$3,FALSE),FALSE),VLOOKUP($B378,[1]Kundenübersicht!$E$4:$BA$1003,MATCH("Alltagsbegleitung [€/Stunde]",[1]Kundenübersicht!$E$3:$BA$3,FALSE),FALSE)),0),IFERROR(IF(I378="Hauswirtschaft",VLOOKUP($B378,[1]Kundenübersicht!$E$4:$BA$1003,MATCH("HW ab 2026 [€/Stunde]",[1]Kundenübersicht!$E$3:$BA$3,FALSE),FALSE),VLOOKUP($B378,[1]Kundenübersicht!$E$4:$BA$1003,MATCH("Alltagsbegleitung [€/Stunde]",[1]Kundenübersicht!$E$3:$BA$3,FALSE),FALSE)),0))</f>
        <v>32.75</v>
      </c>
      <c r="V378" s="16">
        <f t="shared" si="91"/>
        <v>32.750000000000014</v>
      </c>
      <c r="W378" s="16">
        <f t="shared" si="83"/>
        <v>0</v>
      </c>
      <c r="X378" s="16" t="str">
        <f>VLOOKUP(B378,[1]Kundenübersicht!E:AG,MATCH($X$3,[1]Kundenübersicht!$E$3:$AY$3,0),FALSE)</f>
        <v>Alt</v>
      </c>
      <c r="Z378" s="20" t="s">
        <v>29</v>
      </c>
      <c r="AA378" s="19">
        <v>46062</v>
      </c>
      <c r="AC378" s="19">
        <v>46076</v>
      </c>
      <c r="AE378" s="9">
        <f t="shared" si="78"/>
        <v>2025</v>
      </c>
      <c r="AF378" s="17" t="str">
        <f t="shared" si="79"/>
        <v>12.2025</v>
      </c>
      <c r="AG378" s="17" t="str">
        <f t="shared" si="80"/>
        <v>Christiane Fiebag</v>
      </c>
      <c r="AH378" s="17" t="str">
        <f>IFERROR(VLOOKUP(B378,[1]Kundenübersicht!$E$4:$F$85,2,FALSE),"")</f>
        <v>Wolfgang Nagler</v>
      </c>
      <c r="AI378" s="17" t="str">
        <f t="shared" si="85"/>
        <v>Hauswirtschaft</v>
      </c>
      <c r="AJ378" s="17" t="str">
        <f t="shared" si="85"/>
        <v>Entlastungsleistung</v>
      </c>
      <c r="AL378" s="18">
        <f t="shared" si="72"/>
        <v>38</v>
      </c>
      <c r="AM378" s="18">
        <f t="shared" si="73"/>
        <v>38.000000000000014</v>
      </c>
      <c r="AN378" s="18">
        <f t="shared" si="74"/>
        <v>2.4499999999999997</v>
      </c>
    </row>
    <row r="379" spans="2:40" x14ac:dyDescent="0.25">
      <c r="B379" s="30" t="s">
        <v>87</v>
      </c>
      <c r="C379" s="31">
        <v>46020</v>
      </c>
      <c r="D379" s="32">
        <v>0.55208333333333337</v>
      </c>
      <c r="E379" s="32">
        <v>0.63541666666666663</v>
      </c>
      <c r="F379" s="12">
        <f t="shared" si="90"/>
        <v>1.9999999999999982</v>
      </c>
      <c r="G379" s="12">
        <v>8.8000000000000007</v>
      </c>
      <c r="H379" s="30" t="s">
        <v>33</v>
      </c>
      <c r="I379" s="30" t="s">
        <v>27</v>
      </c>
      <c r="J379" s="30" t="s">
        <v>28</v>
      </c>
      <c r="K379" s="9" t="str">
        <f>IFERROR(VLOOKUP($B379,[1]Kundenübersicht!$E$4:$AC$1003,MATCH(K$3,[1]Kundenübersicht!$E$3:$BA$3,FALSE),FALSE),"")</f>
        <v>DKV</v>
      </c>
      <c r="L379" s="13">
        <f>IFERROR(VLOOKUP(B379,[1]Kundenübersicht!$E$4:$AC$1003,MATCH(L$3,[1]Kundenübersicht!$E$3:$BA$3,FALSE),FALSE),"")</f>
        <v>4044</v>
      </c>
      <c r="M379" s="13" t="str">
        <f>IFERROR(VLOOKUP(B379,[1]Kundenübersicht!$E$4:$AC$1003,MATCH(M$3,[1]Kundenübersicht!$E$3:$BA$3,FALSE),FALSE),"")</f>
        <v>233838956</v>
      </c>
      <c r="N379" s="13" t="str">
        <f>IFERROR(VLOOKUP(B379,[1]Kundenübersicht!$E$4:$AC$1003,MATCH(N$3,[1]Kundenübersicht!$E$3:$BA$3,FALSE),FALSE),"")</f>
        <v>PG 2</v>
      </c>
      <c r="P379" s="9" t="s">
        <v>29</v>
      </c>
      <c r="R379" s="9" t="str">
        <f t="shared" si="88"/>
        <v>Unterschrieben</v>
      </c>
      <c r="S379" s="14" t="s">
        <v>31</v>
      </c>
      <c r="U379" s="15">
        <f>IF(YEAR(C379)&lt;=2025,IFERROR(IF(I379="Hauswirtschaft",VLOOKUP($B379,[1]Kundenübersicht!$E$4:$BA$1003,MATCH("Hauswirtschaft [€/Stunde]",[1]Kundenübersicht!$E$3:$BA$3,FALSE),FALSE),VLOOKUP($B379,[1]Kundenübersicht!$E$4:$BA$1003,MATCH("Alltagsbegleitung [€/Stunde]",[1]Kundenübersicht!$E$3:$BA$3,FALSE),FALSE)),0),IFERROR(IF(I379="Hauswirtschaft",VLOOKUP($B379,[1]Kundenübersicht!$E$4:$BA$1003,MATCH("HW ab 2026 [€/Stunde]",[1]Kundenübersicht!$E$3:$BA$3,FALSE),FALSE),VLOOKUP($B379,[1]Kundenübersicht!$E$4:$BA$1003,MATCH("Alltagsbegleitung [€/Stunde]",[1]Kundenübersicht!$E$3:$BA$3,FALSE),FALSE)),0))</f>
        <v>38</v>
      </c>
      <c r="V379" s="16">
        <f t="shared" si="91"/>
        <v>75.999999999999929</v>
      </c>
      <c r="W379" s="16">
        <f t="shared" si="83"/>
        <v>3.08</v>
      </c>
      <c r="X379" s="16" t="str">
        <f>VLOOKUP(B379,[1]Kundenübersicht!E:AG,MATCH($X$3,[1]Kundenübersicht!$E$3:$AY$3,0),FALSE)</f>
        <v>Neu</v>
      </c>
      <c r="Z379" s="20" t="s">
        <v>29</v>
      </c>
      <c r="AA379" s="19">
        <v>46062</v>
      </c>
      <c r="AC379" s="19"/>
      <c r="AE379" s="9">
        <f t="shared" si="78"/>
        <v>2025</v>
      </c>
      <c r="AF379" s="17" t="str">
        <f t="shared" si="79"/>
        <v>12.2025</v>
      </c>
      <c r="AG379" s="17" t="str">
        <f t="shared" si="80"/>
        <v>Christiane Fiebag</v>
      </c>
      <c r="AH379" s="17" t="str">
        <f>IFERROR(VLOOKUP(B379,[1]Kundenübersicht!$E$4:$F$85,2,FALSE),"")</f>
        <v>Günter Hofmann</v>
      </c>
      <c r="AI379" s="17" t="str">
        <f t="shared" si="85"/>
        <v>Hauswirtschaft</v>
      </c>
      <c r="AJ379" s="17" t="str">
        <f t="shared" si="85"/>
        <v>Entlastungsleistung</v>
      </c>
      <c r="AL379" s="18">
        <f t="shared" si="72"/>
        <v>38</v>
      </c>
      <c r="AM379" s="18">
        <f t="shared" si="73"/>
        <v>75.999999999999929</v>
      </c>
      <c r="AN379" s="18">
        <f t="shared" si="74"/>
        <v>3.08</v>
      </c>
    </row>
    <row r="380" spans="2:40" x14ac:dyDescent="0.25">
      <c r="B380" s="30" t="s">
        <v>70</v>
      </c>
      <c r="C380" s="31">
        <v>45992</v>
      </c>
      <c r="D380" s="32">
        <v>0.54513888888888884</v>
      </c>
      <c r="E380" s="32">
        <v>0.60763888888888884</v>
      </c>
      <c r="F380" s="12">
        <f t="shared" si="90"/>
        <v>1.5</v>
      </c>
      <c r="G380" s="12">
        <v>7.1</v>
      </c>
      <c r="H380" s="30" t="s">
        <v>33</v>
      </c>
      <c r="I380" s="30" t="s">
        <v>27</v>
      </c>
      <c r="J380" s="30" t="s">
        <v>28</v>
      </c>
      <c r="K380" s="9" t="str">
        <f>IFERROR(VLOOKUP($B380,[1]Kundenübersicht!$E$4:$AC$1003,MATCH(K$3,[1]Kundenübersicht!$E$3:$BA$3,FALSE),FALSE),"")</f>
        <v>Barmer Pflegekasse</v>
      </c>
      <c r="L380" s="13">
        <f>IFERROR(VLOOKUP(B380,[1]Kundenübersicht!$E$4:$AC$1003,MATCH(L$3,[1]Kundenübersicht!$E$3:$BA$3,FALSE),FALSE),"")</f>
        <v>184940005</v>
      </c>
      <c r="M380" s="13" t="str">
        <f>IFERROR(VLOOKUP(B380,[1]Kundenübersicht!$E$4:$AC$1003,MATCH(M$3,[1]Kundenübersicht!$E$3:$BA$3,FALSE),FALSE),"")</f>
        <v>W255296774</v>
      </c>
      <c r="N380" s="13" t="str">
        <f>IFERROR(VLOOKUP(B380,[1]Kundenübersicht!$E$4:$AC$1003,MATCH(N$3,[1]Kundenübersicht!$E$3:$BA$3,FALSE),FALSE),"")</f>
        <v>PG 1</v>
      </c>
      <c r="P380" s="9" t="s">
        <v>29</v>
      </c>
      <c r="R380" s="9" t="str">
        <f t="shared" si="88"/>
        <v>Unterschrieben</v>
      </c>
      <c r="S380" s="14" t="s">
        <v>31</v>
      </c>
      <c r="U380" s="15">
        <f>IF(YEAR(C380)&lt;=2025,IFERROR(IF(I380="Hauswirtschaft",VLOOKUP($B380,[1]Kundenübersicht!$E$4:$BA$1003,MATCH("Hauswirtschaft [€/Stunde]",[1]Kundenübersicht!$E$3:$BA$3,FALSE),FALSE),VLOOKUP($B380,[1]Kundenübersicht!$E$4:$BA$1003,MATCH("Alltagsbegleitung [€/Stunde]",[1]Kundenübersicht!$E$3:$BA$3,FALSE),FALSE)),0),IFERROR(IF(I380="Hauswirtschaft",VLOOKUP($B380,[1]Kundenübersicht!$E$4:$BA$1003,MATCH("HW ab 2026 [€/Stunde]",[1]Kundenübersicht!$E$3:$BA$3,FALSE),FALSE),VLOOKUP($B380,[1]Kundenübersicht!$E$4:$BA$1003,MATCH("Alltagsbegleitung [€/Stunde]",[1]Kundenübersicht!$E$3:$BA$3,FALSE),FALSE)),0))</f>
        <v>38</v>
      </c>
      <c r="V380" s="16">
        <f t="shared" si="91"/>
        <v>57</v>
      </c>
      <c r="W380" s="16">
        <f t="shared" si="83"/>
        <v>2.4849999999999999</v>
      </c>
      <c r="X380" s="16" t="str">
        <f>VLOOKUP(B380,[1]Kundenübersicht!E:AG,MATCH($X$3,[1]Kundenübersicht!$E$3:$AY$3,0),FALSE)</f>
        <v>Neu</v>
      </c>
      <c r="Z380" s="20" t="str">
        <f t="shared" ref="Z380:Z381" si="92">IF(AA380="","Nein","Ja")</f>
        <v>Ja</v>
      </c>
      <c r="AA380" s="19">
        <v>45697</v>
      </c>
      <c r="AC380" s="19"/>
      <c r="AE380" s="9">
        <f t="shared" si="78"/>
        <v>2025</v>
      </c>
      <c r="AF380" s="17" t="str">
        <f t="shared" si="79"/>
        <v>12.2025</v>
      </c>
      <c r="AG380" s="17" t="str">
        <f t="shared" si="80"/>
        <v>Christiane Fiebag</v>
      </c>
      <c r="AH380" s="17" t="str">
        <f>IFERROR(VLOOKUP(B380,[1]Kundenübersicht!$E$4:$F$85,2,FALSE),"")</f>
        <v>Renate Schade</v>
      </c>
      <c r="AI380" s="17" t="str">
        <f t="shared" si="85"/>
        <v>Hauswirtschaft</v>
      </c>
      <c r="AJ380" s="17" t="str">
        <f t="shared" si="85"/>
        <v>Entlastungsleistung</v>
      </c>
      <c r="AL380" s="18">
        <f t="shared" si="72"/>
        <v>38</v>
      </c>
      <c r="AM380" s="18">
        <f t="shared" si="73"/>
        <v>57</v>
      </c>
      <c r="AN380" s="18">
        <f t="shared" si="74"/>
        <v>2.4849999999999999</v>
      </c>
    </row>
    <row r="381" spans="2:40" x14ac:dyDescent="0.25">
      <c r="B381" s="30" t="s">
        <v>70</v>
      </c>
      <c r="C381" s="31">
        <v>46006</v>
      </c>
      <c r="D381" s="32">
        <v>0.55208333333333337</v>
      </c>
      <c r="E381" s="32">
        <v>0.61458333333333337</v>
      </c>
      <c r="F381" s="12">
        <f t="shared" si="90"/>
        <v>1.5</v>
      </c>
      <c r="G381" s="12">
        <v>7.5</v>
      </c>
      <c r="H381" s="30" t="s">
        <v>33</v>
      </c>
      <c r="I381" s="30" t="s">
        <v>27</v>
      </c>
      <c r="J381" s="30" t="s">
        <v>28</v>
      </c>
      <c r="K381" s="9" t="str">
        <f>IFERROR(VLOOKUP($B381,[1]Kundenübersicht!$E$4:$AC$1003,MATCH(K$3,[1]Kundenübersicht!$E$3:$BA$3,FALSE),FALSE),"")</f>
        <v>Barmer Pflegekasse</v>
      </c>
      <c r="L381" s="13">
        <f>IFERROR(VLOOKUP(B381,[1]Kundenübersicht!$E$4:$AC$1003,MATCH(L$3,[1]Kundenübersicht!$E$3:$BA$3,FALSE),FALSE),"")</f>
        <v>184940005</v>
      </c>
      <c r="M381" s="13" t="str">
        <f>IFERROR(VLOOKUP(B381,[1]Kundenübersicht!$E$4:$AC$1003,MATCH(M$3,[1]Kundenübersicht!$E$3:$BA$3,FALSE),FALSE),"")</f>
        <v>W255296774</v>
      </c>
      <c r="N381" s="13" t="str">
        <f>IFERROR(VLOOKUP(B381,[1]Kundenübersicht!$E$4:$AC$1003,MATCH(N$3,[1]Kundenübersicht!$E$3:$BA$3,FALSE),FALSE),"")</f>
        <v>PG 1</v>
      </c>
      <c r="P381" s="9" t="s">
        <v>29</v>
      </c>
      <c r="R381" s="9" t="str">
        <f t="shared" si="88"/>
        <v>Unterschrieben</v>
      </c>
      <c r="S381" s="14" t="s">
        <v>31</v>
      </c>
      <c r="U381" s="15">
        <f>IF(YEAR(C381)&lt;=2025,IFERROR(IF(I381="Hauswirtschaft",VLOOKUP($B381,[1]Kundenübersicht!$E$4:$BA$1003,MATCH("Hauswirtschaft [€/Stunde]",[1]Kundenübersicht!$E$3:$BA$3,FALSE),FALSE),VLOOKUP($B381,[1]Kundenübersicht!$E$4:$BA$1003,MATCH("Alltagsbegleitung [€/Stunde]",[1]Kundenübersicht!$E$3:$BA$3,FALSE),FALSE)),0),IFERROR(IF(I381="Hauswirtschaft",VLOOKUP($B381,[1]Kundenübersicht!$E$4:$BA$1003,MATCH("HW ab 2026 [€/Stunde]",[1]Kundenübersicht!$E$3:$BA$3,FALSE),FALSE),VLOOKUP($B381,[1]Kundenübersicht!$E$4:$BA$1003,MATCH("Alltagsbegleitung [€/Stunde]",[1]Kundenübersicht!$E$3:$BA$3,FALSE),FALSE)),0))</f>
        <v>38</v>
      </c>
      <c r="V381" s="16">
        <f t="shared" si="91"/>
        <v>57</v>
      </c>
      <c r="W381" s="16">
        <f t="shared" si="83"/>
        <v>2.625</v>
      </c>
      <c r="X381" s="16" t="str">
        <f>VLOOKUP(B381,[1]Kundenübersicht!E:AG,MATCH($X$3,[1]Kundenübersicht!$E$3:$AY$3,0),FALSE)</f>
        <v>Neu</v>
      </c>
      <c r="Z381" s="20" t="str">
        <f t="shared" si="92"/>
        <v>Ja</v>
      </c>
      <c r="AA381" s="19">
        <v>45697</v>
      </c>
      <c r="AC381" s="19"/>
      <c r="AE381" s="9">
        <f t="shared" si="78"/>
        <v>2025</v>
      </c>
      <c r="AF381" s="17" t="str">
        <f t="shared" si="79"/>
        <v>12.2025</v>
      </c>
      <c r="AG381" s="17" t="str">
        <f t="shared" si="80"/>
        <v>Christiane Fiebag</v>
      </c>
      <c r="AH381" s="17" t="str">
        <f>IFERROR(VLOOKUP(B381,[1]Kundenübersicht!$E$4:$F$85,2,FALSE),"")</f>
        <v>Renate Schade</v>
      </c>
      <c r="AI381" s="17" t="str">
        <f t="shared" si="85"/>
        <v>Hauswirtschaft</v>
      </c>
      <c r="AJ381" s="17" t="str">
        <f t="shared" si="85"/>
        <v>Entlastungsleistung</v>
      </c>
      <c r="AL381" s="18">
        <f t="shared" si="72"/>
        <v>38</v>
      </c>
      <c r="AM381" s="18">
        <f t="shared" si="73"/>
        <v>57</v>
      </c>
      <c r="AN381" s="18">
        <f t="shared" si="74"/>
        <v>2.625</v>
      </c>
    </row>
    <row r="382" spans="2:40" x14ac:dyDescent="0.25">
      <c r="B382" s="30" t="s">
        <v>42</v>
      </c>
      <c r="C382" s="31">
        <v>46007</v>
      </c>
      <c r="D382" s="32">
        <v>0.5</v>
      </c>
      <c r="E382" s="32">
        <v>0.54166666666666663</v>
      </c>
      <c r="F382" s="12">
        <f t="shared" si="90"/>
        <v>0.99999999999999911</v>
      </c>
      <c r="G382" s="12">
        <v>6.2</v>
      </c>
      <c r="H382" s="30" t="s">
        <v>33</v>
      </c>
      <c r="I382" s="30" t="s">
        <v>27</v>
      </c>
      <c r="J382" s="30" t="s">
        <v>28</v>
      </c>
      <c r="K382" s="9" t="str">
        <f>IFERROR(VLOOKUP($B382,[1]Kundenübersicht!$E$4:$AC$1003,MATCH(K$3,[1]Kundenübersicht!$E$3:$BA$3,FALSE),FALSE),"")</f>
        <v>Techniker Krankenkasse</v>
      </c>
      <c r="L382" s="13">
        <f>IFERROR(VLOOKUP(B382,[1]Kundenübersicht!$E$4:$AC$1003,MATCH(L$3,[1]Kundenübersicht!$E$3:$BA$3,FALSE),FALSE),"")</f>
        <v>101575519</v>
      </c>
      <c r="M382" s="13" t="str">
        <f>IFERROR(VLOOKUP(B382,[1]Kundenübersicht!$E$4:$AC$1003,MATCH(M$3,[1]Kundenübersicht!$E$3:$BA$3,FALSE),FALSE),"")</f>
        <v>E759973784</v>
      </c>
      <c r="N382" s="13" t="str">
        <f>IFERROR(VLOOKUP(B382,[1]Kundenübersicht!$E$4:$AC$1003,MATCH(N$3,[1]Kundenübersicht!$E$3:$BA$3,FALSE),FALSE),"")</f>
        <v>PG 2</v>
      </c>
      <c r="P382" s="9" t="s">
        <v>29</v>
      </c>
      <c r="R382" s="9" t="str">
        <f t="shared" si="88"/>
        <v>Unterschrieben</v>
      </c>
      <c r="S382" s="14" t="s">
        <v>31</v>
      </c>
      <c r="U382" s="15">
        <f>IF(YEAR(C382)&lt;=2025,IFERROR(IF(I382="Hauswirtschaft",VLOOKUP($B382,[1]Kundenübersicht!$E$4:$BA$1003,MATCH("Hauswirtschaft [€/Stunde]",[1]Kundenübersicht!$E$3:$BA$3,FALSE),FALSE),VLOOKUP($B382,[1]Kundenübersicht!$E$4:$BA$1003,MATCH("Alltagsbegleitung [€/Stunde]",[1]Kundenübersicht!$E$3:$BA$3,FALSE),FALSE)),0),IFERROR(IF(I382="Hauswirtschaft",VLOOKUP($B382,[1]Kundenübersicht!$E$4:$BA$1003,MATCH("HW ab 2026 [€/Stunde]",[1]Kundenübersicht!$E$3:$BA$3,FALSE),FALSE),VLOOKUP($B382,[1]Kundenübersicht!$E$4:$BA$1003,MATCH("Alltagsbegleitung [€/Stunde]",[1]Kundenübersicht!$E$3:$BA$3,FALSE),FALSE)),0))</f>
        <v>32.75</v>
      </c>
      <c r="V382" s="16">
        <f t="shared" si="91"/>
        <v>32.749999999999972</v>
      </c>
      <c r="W382" s="16">
        <f t="shared" si="83"/>
        <v>0</v>
      </c>
      <c r="X382" s="16" t="str">
        <f>VLOOKUP(B382,[1]Kundenübersicht!E:AG,MATCH($X$3,[1]Kundenübersicht!$E$3:$AY$3,0),FALSE)</f>
        <v>Alt</v>
      </c>
      <c r="Z382" s="20" t="s">
        <v>29</v>
      </c>
      <c r="AA382" s="19">
        <v>46062</v>
      </c>
      <c r="AC382" s="19"/>
      <c r="AE382" s="9">
        <f t="shared" si="78"/>
        <v>2025</v>
      </c>
      <c r="AF382" s="17" t="str">
        <f t="shared" si="79"/>
        <v>12.2025</v>
      </c>
      <c r="AG382" s="17" t="str">
        <f t="shared" si="80"/>
        <v>Christiane Fiebag</v>
      </c>
      <c r="AH382" s="17" t="str">
        <f>IFERROR(VLOOKUP(B382,[1]Kundenübersicht!$E$4:$F$85,2,FALSE),"")</f>
        <v>Martin Schmidt</v>
      </c>
      <c r="AI382" s="17" t="str">
        <f t="shared" si="85"/>
        <v>Hauswirtschaft</v>
      </c>
      <c r="AJ382" s="17" t="str">
        <f t="shared" si="85"/>
        <v>Entlastungsleistung</v>
      </c>
      <c r="AL382" s="18">
        <f t="shared" si="72"/>
        <v>38</v>
      </c>
      <c r="AM382" s="18">
        <f t="shared" si="73"/>
        <v>37.999999999999964</v>
      </c>
      <c r="AN382" s="18">
        <f t="shared" si="74"/>
        <v>2.17</v>
      </c>
    </row>
    <row r="383" spans="2:40" x14ac:dyDescent="0.25">
      <c r="B383" s="30" t="s">
        <v>80</v>
      </c>
      <c r="C383" s="31">
        <v>46008</v>
      </c>
      <c r="D383" s="32">
        <v>0.375</v>
      </c>
      <c r="E383" s="32">
        <v>0.4375</v>
      </c>
      <c r="F383" s="12">
        <f t="shared" si="90"/>
        <v>1.5</v>
      </c>
      <c r="G383" s="12">
        <v>1.6</v>
      </c>
      <c r="H383" s="30" t="s">
        <v>33</v>
      </c>
      <c r="I383" s="30" t="s">
        <v>27</v>
      </c>
      <c r="J383" s="30" t="s">
        <v>28</v>
      </c>
      <c r="K383" s="9" t="str">
        <f>IFERROR(VLOOKUP($B383,[1]Kundenübersicht!$E$4:$AC$1003,MATCH(K$3,[1]Kundenübersicht!$E$3:$BA$3,FALSE),FALSE),"")</f>
        <v>AOK PLUS</v>
      </c>
      <c r="L383" s="13">
        <f>IFERROR(VLOOKUP(B383,[1]Kundenübersicht!$E$4:$AC$1003,MATCH(L$3,[1]Kundenübersicht!$E$3:$BA$3,FALSE),FALSE),"")</f>
        <v>107299005</v>
      </c>
      <c r="M383" s="13" t="str">
        <f>IFERROR(VLOOKUP(B383,[1]Kundenübersicht!$E$4:$AC$1003,MATCH(M$3,[1]Kundenübersicht!$E$3:$BA$3,FALSE),FALSE),"")</f>
        <v>F566086642</v>
      </c>
      <c r="N383" s="13" t="str">
        <f>IFERROR(VLOOKUP(B383,[1]Kundenübersicht!$E$4:$AC$1003,MATCH(N$3,[1]Kundenübersicht!$E$3:$BA$3,FALSE),FALSE),"")</f>
        <v>PG 2</v>
      </c>
      <c r="P383" s="9" t="s">
        <v>29</v>
      </c>
      <c r="R383" s="9" t="str">
        <f t="shared" si="88"/>
        <v>Unterschrieben</v>
      </c>
      <c r="S383" s="14" t="s">
        <v>31</v>
      </c>
      <c r="U383" s="15">
        <f>IF(YEAR(C383)&lt;=2025,IFERROR(IF(I383="Hauswirtschaft",VLOOKUP($B383,[1]Kundenübersicht!$E$4:$BA$1003,MATCH("Hauswirtschaft [€/Stunde]",[1]Kundenübersicht!$E$3:$BA$3,FALSE),FALSE),VLOOKUP($B383,[1]Kundenübersicht!$E$4:$BA$1003,MATCH("Alltagsbegleitung [€/Stunde]",[1]Kundenübersicht!$E$3:$BA$3,FALSE),FALSE)),0),IFERROR(IF(I383="Hauswirtschaft",VLOOKUP($B383,[1]Kundenübersicht!$E$4:$BA$1003,MATCH("HW ab 2026 [€/Stunde]",[1]Kundenübersicht!$E$3:$BA$3,FALSE),FALSE),VLOOKUP($B383,[1]Kundenübersicht!$E$4:$BA$1003,MATCH("Alltagsbegleitung [€/Stunde]",[1]Kundenübersicht!$E$3:$BA$3,FALSE),FALSE)),0))</f>
        <v>38</v>
      </c>
      <c r="V383" s="16">
        <f t="shared" si="91"/>
        <v>57</v>
      </c>
      <c r="W383" s="16">
        <f t="shared" si="83"/>
        <v>0.55999999999999994</v>
      </c>
      <c r="X383" s="16" t="str">
        <f>VLOOKUP(B383,[1]Kundenübersicht!E:AG,MATCH($X$3,[1]Kundenübersicht!$E$3:$AY$3,0),FALSE)</f>
        <v>Neu</v>
      </c>
      <c r="Z383" s="20" t="str">
        <f t="shared" ref="Z383:Z387" si="93">IF(AA383="","Nein","Ja")</f>
        <v>Ja</v>
      </c>
      <c r="AA383" s="19">
        <v>46062</v>
      </c>
      <c r="AC383" s="19"/>
      <c r="AE383" s="9">
        <f t="shared" si="78"/>
        <v>2025</v>
      </c>
      <c r="AF383" s="17" t="str">
        <f t="shared" si="79"/>
        <v>12.2025</v>
      </c>
      <c r="AG383" s="17" t="str">
        <f t="shared" si="80"/>
        <v>Christiane Fiebag</v>
      </c>
      <c r="AH383" s="17" t="str">
        <f>IFERROR(VLOOKUP(B383,[1]Kundenübersicht!$E$4:$F$85,2,FALSE),"")</f>
        <v>Helly Wuchrer</v>
      </c>
      <c r="AI383" s="17" t="str">
        <f t="shared" si="85"/>
        <v>Hauswirtschaft</v>
      </c>
      <c r="AJ383" s="17" t="str">
        <f t="shared" si="85"/>
        <v>Entlastungsleistung</v>
      </c>
      <c r="AL383" s="18">
        <f t="shared" si="72"/>
        <v>38</v>
      </c>
      <c r="AM383" s="18">
        <f t="shared" si="73"/>
        <v>57</v>
      </c>
      <c r="AN383" s="18">
        <f t="shared" si="74"/>
        <v>0.55999999999999994</v>
      </c>
    </row>
    <row r="384" spans="2:40" x14ac:dyDescent="0.25">
      <c r="B384" s="30" t="s">
        <v>61</v>
      </c>
      <c r="C384" s="31">
        <v>45996</v>
      </c>
      <c r="D384" s="32">
        <v>0.49305555555555558</v>
      </c>
      <c r="E384" s="32">
        <v>0.53472222222222221</v>
      </c>
      <c r="F384" s="12">
        <f t="shared" si="90"/>
        <v>0.99999999999999911</v>
      </c>
      <c r="G384" s="12">
        <v>17.5</v>
      </c>
      <c r="H384" s="30" t="s">
        <v>33</v>
      </c>
      <c r="I384" s="30" t="s">
        <v>27</v>
      </c>
      <c r="J384" s="30" t="s">
        <v>28</v>
      </c>
      <c r="K384" s="9" t="str">
        <f>IFERROR(VLOOKUP($B384,[1]Kundenübersicht!$E$4:$AC$1003,MATCH(K$3,[1]Kundenübersicht!$E$3:$BA$3,FALSE),FALSE),"")</f>
        <v>AOK PLUS</v>
      </c>
      <c r="L384" s="13">
        <f>IFERROR(VLOOKUP(B384,[1]Kundenübersicht!$E$4:$AC$1003,MATCH(L$3,[1]Kundenübersicht!$E$3:$BA$3,FALSE),FALSE),"")</f>
        <v>107299005</v>
      </c>
      <c r="M384" s="13" t="str">
        <f>IFERROR(VLOOKUP(B384,[1]Kundenübersicht!$E$4:$AC$1003,MATCH(M$3,[1]Kundenübersicht!$E$3:$BA$3,FALSE),FALSE),"")</f>
        <v>F038854351</v>
      </c>
      <c r="N384" s="13" t="str">
        <f>IFERROR(VLOOKUP(B384,[1]Kundenübersicht!$E$4:$AC$1003,MATCH(N$3,[1]Kundenübersicht!$E$3:$BA$3,FALSE),FALSE),"")</f>
        <v>PG 3</v>
      </c>
      <c r="P384" s="9" t="s">
        <v>29</v>
      </c>
      <c r="R384" s="9" t="str">
        <f t="shared" si="88"/>
        <v>Unterschrieben</v>
      </c>
      <c r="S384" s="14" t="s">
        <v>31</v>
      </c>
      <c r="U384" s="15">
        <f>IF(YEAR(C384)&lt;=2025,IFERROR(IF(I384="Hauswirtschaft",VLOOKUP($B384,[1]Kundenübersicht!$E$4:$BA$1003,MATCH("Hauswirtschaft [€/Stunde]",[1]Kundenübersicht!$E$3:$BA$3,FALSE),FALSE),VLOOKUP($B384,[1]Kundenübersicht!$E$4:$BA$1003,MATCH("Alltagsbegleitung [€/Stunde]",[1]Kundenübersicht!$E$3:$BA$3,FALSE),FALSE)),0),IFERROR(IF(I384="Hauswirtschaft",VLOOKUP($B384,[1]Kundenübersicht!$E$4:$BA$1003,MATCH("HW ab 2026 [€/Stunde]",[1]Kundenübersicht!$E$3:$BA$3,FALSE),FALSE),VLOOKUP($B384,[1]Kundenübersicht!$E$4:$BA$1003,MATCH("Alltagsbegleitung [€/Stunde]",[1]Kundenübersicht!$E$3:$BA$3,FALSE),FALSE)),0))</f>
        <v>32.75</v>
      </c>
      <c r="V384" s="16">
        <f t="shared" si="91"/>
        <v>32.749999999999972</v>
      </c>
      <c r="W384" s="16">
        <f t="shared" si="83"/>
        <v>0</v>
      </c>
      <c r="X384" s="16" t="str">
        <f>VLOOKUP(B384,[1]Kundenübersicht!E:AG,MATCH($X$3,[1]Kundenübersicht!$E$3:$AY$3,0),FALSE)</f>
        <v>Alt</v>
      </c>
      <c r="Z384" s="20" t="str">
        <f t="shared" si="93"/>
        <v>Ja</v>
      </c>
      <c r="AA384" s="19">
        <v>46062</v>
      </c>
      <c r="AC384" s="19"/>
      <c r="AE384" s="9">
        <f t="shared" si="78"/>
        <v>2025</v>
      </c>
      <c r="AF384" s="17" t="str">
        <f t="shared" si="79"/>
        <v>12.2025</v>
      </c>
      <c r="AG384" s="17" t="str">
        <f t="shared" si="80"/>
        <v>Christiane Fiebag</v>
      </c>
      <c r="AH384" s="17" t="str">
        <f>IFERROR(VLOOKUP(B384,[1]Kundenübersicht!$E$4:$F$85,2,FALSE),"")</f>
        <v>Elke Mühle</v>
      </c>
      <c r="AI384" s="17" t="str">
        <f t="shared" si="85"/>
        <v>Hauswirtschaft</v>
      </c>
      <c r="AJ384" s="17" t="str">
        <f t="shared" si="85"/>
        <v>Entlastungsleistung</v>
      </c>
      <c r="AL384" s="18">
        <f t="shared" si="72"/>
        <v>38</v>
      </c>
      <c r="AM384" s="18">
        <f t="shared" si="73"/>
        <v>37.999999999999964</v>
      </c>
      <c r="AN384" s="18">
        <f t="shared" si="74"/>
        <v>6.125</v>
      </c>
    </row>
    <row r="385" spans="2:40" x14ac:dyDescent="0.25">
      <c r="B385" s="30" t="s">
        <v>61</v>
      </c>
      <c r="C385" s="31">
        <v>46009</v>
      </c>
      <c r="D385" s="32">
        <v>0.5</v>
      </c>
      <c r="E385" s="32">
        <v>0.54166666666666663</v>
      </c>
      <c r="F385" s="12">
        <f t="shared" si="90"/>
        <v>0.99999999999999911</v>
      </c>
      <c r="G385" s="12">
        <v>6.6</v>
      </c>
      <c r="H385" s="30" t="s">
        <v>33</v>
      </c>
      <c r="I385" s="30" t="s">
        <v>27</v>
      </c>
      <c r="J385" s="30" t="s">
        <v>28</v>
      </c>
      <c r="K385" s="9" t="str">
        <f>IFERROR(VLOOKUP($B385,[1]Kundenübersicht!$E$4:$AC$1003,MATCH(K$3,[1]Kundenübersicht!$E$3:$BA$3,FALSE),FALSE),"")</f>
        <v>AOK PLUS</v>
      </c>
      <c r="L385" s="13">
        <f>IFERROR(VLOOKUP(B385,[1]Kundenübersicht!$E$4:$AC$1003,MATCH(L$3,[1]Kundenübersicht!$E$3:$BA$3,FALSE),FALSE),"")</f>
        <v>107299005</v>
      </c>
      <c r="M385" s="13" t="str">
        <f>IFERROR(VLOOKUP(B385,[1]Kundenübersicht!$E$4:$AC$1003,MATCH(M$3,[1]Kundenübersicht!$E$3:$BA$3,FALSE),FALSE),"")</f>
        <v>F038854351</v>
      </c>
      <c r="N385" s="13" t="str">
        <f>IFERROR(VLOOKUP(B385,[1]Kundenübersicht!$E$4:$AC$1003,MATCH(N$3,[1]Kundenübersicht!$E$3:$BA$3,FALSE),FALSE),"")</f>
        <v>PG 3</v>
      </c>
      <c r="P385" s="9" t="s">
        <v>29</v>
      </c>
      <c r="R385" s="9" t="str">
        <f t="shared" si="88"/>
        <v>Unterschrieben</v>
      </c>
      <c r="S385" s="14" t="s">
        <v>31</v>
      </c>
      <c r="U385" s="15">
        <f>IF(YEAR(C385)&lt;=2025,IFERROR(IF(I385="Hauswirtschaft",VLOOKUP($B385,[1]Kundenübersicht!$E$4:$BA$1003,MATCH("Hauswirtschaft [€/Stunde]",[1]Kundenübersicht!$E$3:$BA$3,FALSE),FALSE),VLOOKUP($B385,[1]Kundenübersicht!$E$4:$BA$1003,MATCH("Alltagsbegleitung [€/Stunde]",[1]Kundenübersicht!$E$3:$BA$3,FALSE),FALSE)),0),IFERROR(IF(I385="Hauswirtschaft",VLOOKUP($B385,[1]Kundenübersicht!$E$4:$BA$1003,MATCH("HW ab 2026 [€/Stunde]",[1]Kundenübersicht!$E$3:$BA$3,FALSE),FALSE),VLOOKUP($B385,[1]Kundenübersicht!$E$4:$BA$1003,MATCH("Alltagsbegleitung [€/Stunde]",[1]Kundenübersicht!$E$3:$BA$3,FALSE),FALSE)),0))</f>
        <v>32.75</v>
      </c>
      <c r="V385" s="16">
        <f t="shared" si="91"/>
        <v>32.749999999999972</v>
      </c>
      <c r="W385" s="16">
        <f t="shared" si="83"/>
        <v>0</v>
      </c>
      <c r="X385" s="16" t="str">
        <f>VLOOKUP(B385,[1]Kundenübersicht!E:AG,MATCH($X$3,[1]Kundenübersicht!$E$3:$AY$3,0),FALSE)</f>
        <v>Alt</v>
      </c>
      <c r="Z385" s="20" t="str">
        <f t="shared" si="93"/>
        <v>Ja</v>
      </c>
      <c r="AA385" s="19">
        <v>46062</v>
      </c>
      <c r="AC385" s="19"/>
      <c r="AE385" s="9">
        <f t="shared" si="78"/>
        <v>2025</v>
      </c>
      <c r="AF385" s="17" t="str">
        <f t="shared" si="79"/>
        <v>12.2025</v>
      </c>
      <c r="AG385" s="17" t="str">
        <f t="shared" si="80"/>
        <v>Christiane Fiebag</v>
      </c>
      <c r="AH385" s="17" t="str">
        <f>IFERROR(VLOOKUP(B385,[1]Kundenübersicht!$E$4:$F$85,2,FALSE),"")</f>
        <v>Elke Mühle</v>
      </c>
      <c r="AI385" s="17" t="str">
        <f t="shared" si="85"/>
        <v>Hauswirtschaft</v>
      </c>
      <c r="AJ385" s="17" t="str">
        <f t="shared" si="85"/>
        <v>Entlastungsleistung</v>
      </c>
      <c r="AL385" s="18">
        <f t="shared" ref="AL385:AL448" si="94">IF(I385="Hauswirtschaft",38,42)</f>
        <v>38</v>
      </c>
      <c r="AM385" s="18">
        <f t="shared" ref="AM385:AM448" si="95">AL385*F385</f>
        <v>37.999999999999964</v>
      </c>
      <c r="AN385" s="18">
        <f t="shared" ref="AN385:AN448" si="96">G385*0.35</f>
        <v>2.3099999999999996</v>
      </c>
    </row>
    <row r="386" spans="2:40" x14ac:dyDescent="0.25">
      <c r="B386" s="30" t="s">
        <v>74</v>
      </c>
      <c r="C386" s="31">
        <v>46006</v>
      </c>
      <c r="D386" s="32">
        <v>0.375</v>
      </c>
      <c r="E386" s="32">
        <v>0.4375</v>
      </c>
      <c r="F386" s="12">
        <f t="shared" si="90"/>
        <v>1.5</v>
      </c>
      <c r="G386" s="12">
        <v>9.6</v>
      </c>
      <c r="H386" s="30" t="s">
        <v>33</v>
      </c>
      <c r="I386" s="30" t="s">
        <v>27</v>
      </c>
      <c r="J386" s="30" t="s">
        <v>28</v>
      </c>
      <c r="K386" s="9" t="str">
        <f>IFERROR(VLOOKUP($B386,[1]Kundenübersicht!$E$4:$AC$1003,MATCH(K$3,[1]Kundenübersicht!$E$3:$BA$3,FALSE),FALSE),"")</f>
        <v>AOK PLUS</v>
      </c>
      <c r="L386" s="13">
        <f>IFERROR(VLOOKUP(B386,[1]Kundenübersicht!$E$4:$AC$1003,MATCH(L$3,[1]Kundenübersicht!$E$3:$BA$3,FALSE),FALSE),"")</f>
        <v>107299005</v>
      </c>
      <c r="M386" s="13" t="str">
        <f>IFERROR(VLOOKUP(B386,[1]Kundenübersicht!$E$4:$AC$1003,MATCH(M$3,[1]Kundenübersicht!$E$3:$BA$3,FALSE),FALSE),"")</f>
        <v>V160231492</v>
      </c>
      <c r="N386" s="13" t="str">
        <f>IFERROR(VLOOKUP(B386,[1]Kundenübersicht!$E$4:$AC$1003,MATCH(N$3,[1]Kundenübersicht!$E$3:$BA$3,FALSE),FALSE),"")</f>
        <v>PG 2</v>
      </c>
      <c r="P386" s="9" t="s">
        <v>29</v>
      </c>
      <c r="R386" s="9" t="str">
        <f t="shared" si="88"/>
        <v>Unterschrieben</v>
      </c>
      <c r="S386" s="14" t="s">
        <v>31</v>
      </c>
      <c r="U386" s="15">
        <f>IF(YEAR(C386)&lt;=2025,IFERROR(IF(I386="Hauswirtschaft",VLOOKUP($B386,[1]Kundenübersicht!$E$4:$BA$1003,MATCH("Hauswirtschaft [€/Stunde]",[1]Kundenübersicht!$E$3:$BA$3,FALSE),FALSE),VLOOKUP($B386,[1]Kundenübersicht!$E$4:$BA$1003,MATCH("Alltagsbegleitung [€/Stunde]",[1]Kundenübersicht!$E$3:$BA$3,FALSE),FALSE)),0),IFERROR(IF(I386="Hauswirtschaft",VLOOKUP($B386,[1]Kundenübersicht!$E$4:$BA$1003,MATCH("HW ab 2026 [€/Stunde]",[1]Kundenübersicht!$E$3:$BA$3,FALSE),FALSE),VLOOKUP($B386,[1]Kundenübersicht!$E$4:$BA$1003,MATCH("Alltagsbegleitung [€/Stunde]",[1]Kundenübersicht!$E$3:$BA$3,FALSE),FALSE)),0))</f>
        <v>38</v>
      </c>
      <c r="V386" s="16">
        <f t="shared" si="91"/>
        <v>57</v>
      </c>
      <c r="W386" s="16">
        <f t="shared" si="83"/>
        <v>3.36</v>
      </c>
      <c r="X386" s="16" t="str">
        <f>VLOOKUP(B386,[1]Kundenübersicht!E:AG,MATCH($X$3,[1]Kundenübersicht!$E$3:$AY$3,0),FALSE)</f>
        <v>Neu</v>
      </c>
      <c r="Z386" s="20" t="str">
        <f t="shared" si="93"/>
        <v>Ja</v>
      </c>
      <c r="AA386" s="19">
        <v>46062</v>
      </c>
      <c r="AC386" s="19"/>
      <c r="AE386" s="9">
        <f t="shared" si="78"/>
        <v>2025</v>
      </c>
      <c r="AF386" s="17" t="str">
        <f t="shared" si="79"/>
        <v>12.2025</v>
      </c>
      <c r="AG386" s="17" t="str">
        <f t="shared" si="80"/>
        <v>Christiane Fiebag</v>
      </c>
      <c r="AH386" s="17" t="str">
        <f>IFERROR(VLOOKUP(B386,[1]Kundenübersicht!$E$4:$F$85,2,FALSE),"")</f>
        <v>Gertraude Falk</v>
      </c>
      <c r="AI386" s="17" t="str">
        <f t="shared" si="85"/>
        <v>Hauswirtschaft</v>
      </c>
      <c r="AJ386" s="17" t="str">
        <f t="shared" si="85"/>
        <v>Entlastungsleistung</v>
      </c>
      <c r="AL386" s="18">
        <f t="shared" si="94"/>
        <v>38</v>
      </c>
      <c r="AM386" s="18">
        <f t="shared" si="95"/>
        <v>57</v>
      </c>
      <c r="AN386" s="18">
        <f t="shared" si="96"/>
        <v>3.36</v>
      </c>
    </row>
    <row r="387" spans="2:40" x14ac:dyDescent="0.25">
      <c r="B387" s="30" t="s">
        <v>74</v>
      </c>
      <c r="C387" s="31">
        <v>46013</v>
      </c>
      <c r="D387" s="32">
        <v>0.5</v>
      </c>
      <c r="E387" s="32">
        <v>0.5625</v>
      </c>
      <c r="F387" s="12">
        <f t="shared" si="90"/>
        <v>1.5</v>
      </c>
      <c r="G387" s="12">
        <v>8.1999999999999993</v>
      </c>
      <c r="H387" s="30" t="s">
        <v>33</v>
      </c>
      <c r="I387" s="30" t="s">
        <v>27</v>
      </c>
      <c r="J387" s="30" t="s">
        <v>28</v>
      </c>
      <c r="K387" s="9" t="str">
        <f>IFERROR(VLOOKUP($B387,[1]Kundenübersicht!$E$4:$AC$1003,MATCH(K$3,[1]Kundenübersicht!$E$3:$BA$3,FALSE),FALSE),"")</f>
        <v>AOK PLUS</v>
      </c>
      <c r="L387" s="13">
        <f>IFERROR(VLOOKUP(B387,[1]Kundenübersicht!$E$4:$AC$1003,MATCH(L$3,[1]Kundenübersicht!$E$3:$BA$3,FALSE),FALSE),"")</f>
        <v>107299005</v>
      </c>
      <c r="M387" s="13" t="str">
        <f>IFERROR(VLOOKUP(B387,[1]Kundenübersicht!$E$4:$AC$1003,MATCH(M$3,[1]Kundenübersicht!$E$3:$BA$3,FALSE),FALSE),"")</f>
        <v>V160231492</v>
      </c>
      <c r="N387" s="13" t="str">
        <f>IFERROR(VLOOKUP(B387,[1]Kundenübersicht!$E$4:$AC$1003,MATCH(N$3,[1]Kundenübersicht!$E$3:$BA$3,FALSE),FALSE),"")</f>
        <v>PG 2</v>
      </c>
      <c r="P387" s="9" t="s">
        <v>29</v>
      </c>
      <c r="R387" s="9" t="str">
        <f t="shared" si="88"/>
        <v>Unterschrieben</v>
      </c>
      <c r="S387" s="14" t="s">
        <v>31</v>
      </c>
      <c r="U387" s="15">
        <f>IF(YEAR(C387)&lt;=2025,IFERROR(IF(I387="Hauswirtschaft",VLOOKUP($B387,[1]Kundenübersicht!$E$4:$BA$1003,MATCH("Hauswirtschaft [€/Stunde]",[1]Kundenübersicht!$E$3:$BA$3,FALSE),FALSE),VLOOKUP($B387,[1]Kundenübersicht!$E$4:$BA$1003,MATCH("Alltagsbegleitung [€/Stunde]",[1]Kundenübersicht!$E$3:$BA$3,FALSE),FALSE)),0),IFERROR(IF(I387="Hauswirtschaft",VLOOKUP($B387,[1]Kundenübersicht!$E$4:$BA$1003,MATCH("HW ab 2026 [€/Stunde]",[1]Kundenübersicht!$E$3:$BA$3,FALSE),FALSE),VLOOKUP($B387,[1]Kundenübersicht!$E$4:$BA$1003,MATCH("Alltagsbegleitung [€/Stunde]",[1]Kundenübersicht!$E$3:$BA$3,FALSE),FALSE)),0))</f>
        <v>38</v>
      </c>
      <c r="V387" s="16">
        <f t="shared" si="91"/>
        <v>57</v>
      </c>
      <c r="W387" s="16">
        <f t="shared" si="83"/>
        <v>2.8699999999999997</v>
      </c>
      <c r="X387" s="16" t="str">
        <f>VLOOKUP(B387,[1]Kundenübersicht!E:AG,MATCH($X$3,[1]Kundenübersicht!$E$3:$AY$3,0),FALSE)</f>
        <v>Neu</v>
      </c>
      <c r="Z387" s="20" t="str">
        <f t="shared" si="93"/>
        <v>Ja</v>
      </c>
      <c r="AA387" s="19">
        <v>46062</v>
      </c>
      <c r="AC387" s="19"/>
      <c r="AE387" s="9">
        <f t="shared" si="78"/>
        <v>2025</v>
      </c>
      <c r="AF387" s="17" t="str">
        <f t="shared" si="79"/>
        <v>12.2025</v>
      </c>
      <c r="AG387" s="17" t="str">
        <f t="shared" si="80"/>
        <v>Christiane Fiebag</v>
      </c>
      <c r="AH387" s="17" t="str">
        <f>IFERROR(VLOOKUP(B387,[1]Kundenübersicht!$E$4:$F$85,2,FALSE),"")</f>
        <v>Gertraude Falk</v>
      </c>
      <c r="AI387" s="17" t="str">
        <f t="shared" si="85"/>
        <v>Hauswirtschaft</v>
      </c>
      <c r="AJ387" s="17" t="str">
        <f t="shared" si="85"/>
        <v>Entlastungsleistung</v>
      </c>
      <c r="AL387" s="18">
        <f t="shared" si="94"/>
        <v>38</v>
      </c>
      <c r="AM387" s="18">
        <f t="shared" si="95"/>
        <v>57</v>
      </c>
      <c r="AN387" s="18">
        <f t="shared" si="96"/>
        <v>2.8699999999999997</v>
      </c>
    </row>
    <row r="388" spans="2:40" x14ac:dyDescent="0.25">
      <c r="B388" s="30" t="s">
        <v>36</v>
      </c>
      <c r="C388" s="31">
        <v>45996</v>
      </c>
      <c r="D388" s="32">
        <v>0.35416666666666669</v>
      </c>
      <c r="E388" s="32">
        <v>0.47916666666666669</v>
      </c>
      <c r="F388" s="12">
        <f t="shared" si="90"/>
        <v>3</v>
      </c>
      <c r="G388" s="12">
        <v>8.1999999999999993</v>
      </c>
      <c r="H388" s="30" t="s">
        <v>33</v>
      </c>
      <c r="I388" s="30" t="s">
        <v>27</v>
      </c>
      <c r="J388" s="30" t="s">
        <v>28</v>
      </c>
      <c r="K388" s="9" t="str">
        <f>IFERROR(VLOOKUP($B388,[1]Kundenübersicht!$E$4:$AC$1003,MATCH(K$3,[1]Kundenübersicht!$E$3:$BA$3,FALSE),FALSE),"")</f>
        <v>IKK Classic</v>
      </c>
      <c r="L388" s="13" t="str">
        <f>IFERROR(VLOOKUP(B388,[1]Kundenübersicht!$E$4:$AC$1003,MATCH(L$3,[1]Kundenübersicht!$E$3:$BA$3,FALSE),FALSE),"")</f>
        <v>187202793</v>
      </c>
      <c r="M388" s="13" t="str">
        <f>IFERROR(VLOOKUP(B388,[1]Kundenübersicht!$E$4:$AC$1003,MATCH(M$3,[1]Kundenübersicht!$E$3:$BA$3,FALSE),FALSE),"")</f>
        <v>X365499146</v>
      </c>
      <c r="N388" s="13" t="str">
        <f>IFERROR(VLOOKUP(B388,[1]Kundenübersicht!$E$4:$AC$1003,MATCH(N$3,[1]Kundenübersicht!$E$3:$BA$3,FALSE),FALSE),"")</f>
        <v>PG 1</v>
      </c>
      <c r="P388" s="9" t="s">
        <v>29</v>
      </c>
      <c r="R388" s="9" t="str">
        <f t="shared" si="88"/>
        <v>Unterschrieben</v>
      </c>
      <c r="S388" s="14" t="s">
        <v>31</v>
      </c>
      <c r="U388" s="15">
        <f>IF(YEAR(C388)&lt;=2025,IFERROR(IF(I388="Hauswirtschaft",VLOOKUP($B388,[1]Kundenübersicht!$E$4:$BA$1003,MATCH("Hauswirtschaft [€/Stunde]",[1]Kundenübersicht!$E$3:$BA$3,FALSE),FALSE),VLOOKUP($B388,[1]Kundenübersicht!$E$4:$BA$1003,MATCH("Alltagsbegleitung [€/Stunde]",[1]Kundenübersicht!$E$3:$BA$3,FALSE),FALSE)),0),IFERROR(IF(I388="Hauswirtschaft",VLOOKUP($B388,[1]Kundenübersicht!$E$4:$BA$1003,MATCH("HW ab 2026 [€/Stunde]",[1]Kundenübersicht!$E$3:$BA$3,FALSE),FALSE),VLOOKUP($B388,[1]Kundenübersicht!$E$4:$BA$1003,MATCH("Alltagsbegleitung [€/Stunde]",[1]Kundenübersicht!$E$3:$BA$3,FALSE),FALSE)),0))</f>
        <v>32.75</v>
      </c>
      <c r="V388" s="16">
        <f t="shared" si="91"/>
        <v>98.25</v>
      </c>
      <c r="W388" s="16">
        <f t="shared" si="83"/>
        <v>0</v>
      </c>
      <c r="X388" s="16" t="str">
        <f>VLOOKUP(B388,[1]Kundenübersicht!E:AG,MATCH($X$3,[1]Kundenübersicht!$E$3:$AY$3,0),FALSE)</f>
        <v>Alt</v>
      </c>
      <c r="Z388" s="20" t="s">
        <v>29</v>
      </c>
      <c r="AA388" s="19">
        <v>46062</v>
      </c>
      <c r="AC388" s="19">
        <v>46076</v>
      </c>
      <c r="AE388" s="9">
        <f t="shared" si="78"/>
        <v>2025</v>
      </c>
      <c r="AF388" s="17" t="str">
        <f t="shared" si="79"/>
        <v>12.2025</v>
      </c>
      <c r="AG388" s="17" t="str">
        <f t="shared" si="80"/>
        <v>Christiane Fiebag</v>
      </c>
      <c r="AH388" s="17" t="str">
        <f>IFERROR(VLOOKUP(B388,[1]Kundenübersicht!$E$4:$F$85,2,FALSE),"")</f>
        <v>Ingrid Haufe</v>
      </c>
      <c r="AI388" s="17" t="str">
        <f t="shared" si="85"/>
        <v>Hauswirtschaft</v>
      </c>
      <c r="AJ388" s="17" t="str">
        <f t="shared" si="85"/>
        <v>Entlastungsleistung</v>
      </c>
      <c r="AL388" s="18">
        <f t="shared" si="94"/>
        <v>38</v>
      </c>
      <c r="AM388" s="18">
        <f t="shared" si="95"/>
        <v>114</v>
      </c>
      <c r="AN388" s="18">
        <f t="shared" si="96"/>
        <v>2.8699999999999997</v>
      </c>
    </row>
    <row r="389" spans="2:40" x14ac:dyDescent="0.25">
      <c r="B389" s="30" t="s">
        <v>36</v>
      </c>
      <c r="C389" s="31">
        <v>46009</v>
      </c>
      <c r="D389" s="32">
        <v>0.35416666666666669</v>
      </c>
      <c r="E389" s="32">
        <v>0.47916666666666669</v>
      </c>
      <c r="F389" s="12">
        <f t="shared" si="90"/>
        <v>3</v>
      </c>
      <c r="G389" s="12">
        <v>9.9</v>
      </c>
      <c r="H389" s="30" t="s">
        <v>33</v>
      </c>
      <c r="I389" s="30" t="s">
        <v>27</v>
      </c>
      <c r="J389" s="30" t="s">
        <v>28</v>
      </c>
      <c r="K389" s="9" t="str">
        <f>IFERROR(VLOOKUP($B389,[1]Kundenübersicht!$E$4:$AC$1003,MATCH(K$3,[1]Kundenübersicht!$E$3:$BA$3,FALSE),FALSE),"")</f>
        <v>IKK Classic</v>
      </c>
      <c r="L389" s="13" t="str">
        <f>IFERROR(VLOOKUP(B389,[1]Kundenübersicht!$E$4:$AC$1003,MATCH(L$3,[1]Kundenübersicht!$E$3:$BA$3,FALSE),FALSE),"")</f>
        <v>187202793</v>
      </c>
      <c r="M389" s="13" t="str">
        <f>IFERROR(VLOOKUP(B389,[1]Kundenübersicht!$E$4:$AC$1003,MATCH(M$3,[1]Kundenübersicht!$E$3:$BA$3,FALSE),FALSE),"")</f>
        <v>X365499146</v>
      </c>
      <c r="N389" s="13" t="str">
        <f>IFERROR(VLOOKUP(B389,[1]Kundenübersicht!$E$4:$AC$1003,MATCH(N$3,[1]Kundenübersicht!$E$3:$BA$3,FALSE),FALSE),"")</f>
        <v>PG 1</v>
      </c>
      <c r="P389" s="9" t="s">
        <v>29</v>
      </c>
      <c r="R389" s="9" t="str">
        <f t="shared" si="88"/>
        <v>Unterschrieben</v>
      </c>
      <c r="S389" s="14" t="s">
        <v>31</v>
      </c>
      <c r="U389" s="15">
        <f>IF(YEAR(C389)&lt;=2025,IFERROR(IF(I389="Hauswirtschaft",VLOOKUP($B389,[1]Kundenübersicht!$E$4:$BA$1003,MATCH("Hauswirtschaft [€/Stunde]",[1]Kundenübersicht!$E$3:$BA$3,FALSE),FALSE),VLOOKUP($B389,[1]Kundenübersicht!$E$4:$BA$1003,MATCH("Alltagsbegleitung [€/Stunde]",[1]Kundenübersicht!$E$3:$BA$3,FALSE),FALSE)),0),IFERROR(IF(I389="Hauswirtschaft",VLOOKUP($B389,[1]Kundenübersicht!$E$4:$BA$1003,MATCH("HW ab 2026 [€/Stunde]",[1]Kundenübersicht!$E$3:$BA$3,FALSE),FALSE),VLOOKUP($B389,[1]Kundenübersicht!$E$4:$BA$1003,MATCH("Alltagsbegleitung [€/Stunde]",[1]Kundenübersicht!$E$3:$BA$3,FALSE),FALSE)),0))</f>
        <v>32.75</v>
      </c>
      <c r="V389" s="16">
        <f t="shared" si="91"/>
        <v>98.25</v>
      </c>
      <c r="W389" s="16">
        <f t="shared" si="83"/>
        <v>0</v>
      </c>
      <c r="X389" s="16" t="str">
        <f>VLOOKUP(B389,[1]Kundenübersicht!E:AG,MATCH($X$3,[1]Kundenübersicht!$E$3:$AY$3,0),FALSE)</f>
        <v>Alt</v>
      </c>
      <c r="Z389" s="20" t="s">
        <v>29</v>
      </c>
      <c r="AA389" s="19">
        <v>46062</v>
      </c>
      <c r="AC389" s="19">
        <v>46076</v>
      </c>
      <c r="AE389" s="9">
        <f t="shared" si="78"/>
        <v>2025</v>
      </c>
      <c r="AF389" s="17" t="str">
        <f t="shared" si="79"/>
        <v>12.2025</v>
      </c>
      <c r="AG389" s="17" t="str">
        <f t="shared" si="80"/>
        <v>Christiane Fiebag</v>
      </c>
      <c r="AH389" s="17" t="str">
        <f>IFERROR(VLOOKUP(B389,[1]Kundenübersicht!$E$4:$F$85,2,FALSE),"")</f>
        <v>Ingrid Haufe</v>
      </c>
      <c r="AI389" s="17" t="str">
        <f t="shared" si="85"/>
        <v>Hauswirtschaft</v>
      </c>
      <c r="AJ389" s="17" t="str">
        <f t="shared" si="85"/>
        <v>Entlastungsleistung</v>
      </c>
      <c r="AL389" s="18">
        <f t="shared" si="94"/>
        <v>38</v>
      </c>
      <c r="AM389" s="18">
        <f t="shared" si="95"/>
        <v>114</v>
      </c>
      <c r="AN389" s="18">
        <f t="shared" si="96"/>
        <v>3.4649999999999999</v>
      </c>
    </row>
    <row r="390" spans="2:40" x14ac:dyDescent="0.25">
      <c r="B390" s="30" t="s">
        <v>83</v>
      </c>
      <c r="C390" s="31">
        <v>45993</v>
      </c>
      <c r="D390" s="32">
        <v>0.57638888888888884</v>
      </c>
      <c r="E390" s="32">
        <v>0.59722222222222221</v>
      </c>
      <c r="F390" s="12">
        <f t="shared" si="90"/>
        <v>0.50000000000000089</v>
      </c>
      <c r="G390" s="12">
        <v>17</v>
      </c>
      <c r="H390" s="30" t="s">
        <v>33</v>
      </c>
      <c r="I390" s="30" t="s">
        <v>41</v>
      </c>
      <c r="J390" s="30" t="s">
        <v>28</v>
      </c>
      <c r="K390" s="9" t="str">
        <f>IFERROR(VLOOKUP($B390,[1]Kundenübersicht!$E$4:$AC$1003,MATCH(K$3,[1]Kundenübersicht!$E$3:$BA$3,FALSE),FALSE),"")</f>
        <v>AOK PLUS</v>
      </c>
      <c r="L390" s="13">
        <f>IFERROR(VLOOKUP(B390,[1]Kundenübersicht!$E$4:$AC$1003,MATCH(L$3,[1]Kundenübersicht!$E$3:$BA$3,FALSE),FALSE),"")</f>
        <v>107299005</v>
      </c>
      <c r="M390" s="13" t="str">
        <f>IFERROR(VLOOKUP(B390,[1]Kundenübersicht!$E$4:$AC$1003,MATCH(M$3,[1]Kundenübersicht!$E$3:$BA$3,FALSE),FALSE),"")</f>
        <v>E575057323</v>
      </c>
      <c r="N390" s="13" t="str">
        <f>IFERROR(VLOOKUP(B390,[1]Kundenübersicht!$E$4:$AC$1003,MATCH(N$3,[1]Kundenübersicht!$E$3:$BA$3,FALSE),FALSE),"")</f>
        <v>PG 1</v>
      </c>
      <c r="P390" s="9" t="s">
        <v>29</v>
      </c>
      <c r="R390" s="9" t="str">
        <f t="shared" si="88"/>
        <v>Unterschrieben</v>
      </c>
      <c r="S390" s="14" t="s">
        <v>31</v>
      </c>
      <c r="U390" s="15">
        <f>IF(YEAR(C390)&lt;=2025,IFERROR(IF(I390="Hauswirtschaft",VLOOKUP($B390,[1]Kundenübersicht!$E$4:$BA$1003,MATCH("Hauswirtschaft [€/Stunde]",[1]Kundenübersicht!$E$3:$BA$3,FALSE),FALSE),VLOOKUP($B390,[1]Kundenübersicht!$E$4:$BA$1003,MATCH("Alltagsbegleitung [€/Stunde]",[1]Kundenübersicht!$E$3:$BA$3,FALSE),FALSE)),0),IFERROR(IF(I390="Hauswirtschaft",VLOOKUP($B390,[1]Kundenübersicht!$E$4:$BA$1003,MATCH("HW ab 2026 [€/Stunde]",[1]Kundenübersicht!$E$3:$BA$3,FALSE),FALSE),VLOOKUP($B390,[1]Kundenübersicht!$E$4:$BA$1003,MATCH("Alltagsbegleitung [€/Stunde]",[1]Kundenübersicht!$E$3:$BA$3,FALSE),FALSE)),0))</f>
        <v>42</v>
      </c>
      <c r="V390" s="16">
        <f t="shared" si="91"/>
        <v>21.000000000000036</v>
      </c>
      <c r="W390" s="16">
        <f t="shared" si="83"/>
        <v>5.9499999999999993</v>
      </c>
      <c r="X390" s="16" t="str">
        <f>VLOOKUP(B390,[1]Kundenübersicht!E:AG,MATCH($X$3,[1]Kundenübersicht!$E$3:$AY$3,0),FALSE)</f>
        <v>Neu</v>
      </c>
      <c r="Z390" s="20" t="str">
        <f t="shared" ref="Z390:Z404" si="97">IF(AA390="","Nein","Ja")</f>
        <v>Ja</v>
      </c>
      <c r="AA390" s="19">
        <v>46062</v>
      </c>
      <c r="AC390" s="19"/>
      <c r="AE390" s="9">
        <f t="shared" ref="AE390:AE453" si="98">YEAR(C390)</f>
        <v>2025</v>
      </c>
      <c r="AF390" s="17" t="str">
        <f t="shared" ref="AF390:AF453" si="99">IF(MONTH(C390)&lt;=9,"0"&amp;MONTH(C390)&amp;"."&amp;YEAR(C390),MONTH(C390)&amp;"."&amp;YEAR(C390))</f>
        <v>12.2025</v>
      </c>
      <c r="AG390" s="17" t="str">
        <f t="shared" ref="AG390:AG453" si="100">IF(H390="","",H390)</f>
        <v>Christiane Fiebag</v>
      </c>
      <c r="AH390" s="17" t="str">
        <f>IFERROR(VLOOKUP(B390,[1]Kundenübersicht!$E$4:$F$85,2,FALSE),"")</f>
        <v>Reinhard Neiser</v>
      </c>
      <c r="AI390" s="17" t="str">
        <f t="shared" si="85"/>
        <v>Alltagsbegleitung</v>
      </c>
      <c r="AJ390" s="17" t="str">
        <f t="shared" si="85"/>
        <v>Entlastungsleistung</v>
      </c>
      <c r="AL390" s="18">
        <f t="shared" si="94"/>
        <v>42</v>
      </c>
      <c r="AM390" s="18">
        <f t="shared" si="95"/>
        <v>21.000000000000036</v>
      </c>
      <c r="AN390" s="18">
        <f t="shared" si="96"/>
        <v>5.9499999999999993</v>
      </c>
    </row>
    <row r="391" spans="2:40" x14ac:dyDescent="0.25">
      <c r="B391" s="30" t="s">
        <v>83</v>
      </c>
      <c r="C391" s="31">
        <v>45993</v>
      </c>
      <c r="D391" s="32">
        <v>0.625</v>
      </c>
      <c r="E391" s="32">
        <v>0.65625</v>
      </c>
      <c r="F391" s="12">
        <f t="shared" si="90"/>
        <v>0.75</v>
      </c>
      <c r="G391" s="12">
        <v>18.399999999999999</v>
      </c>
      <c r="H391" s="30" t="s">
        <v>33</v>
      </c>
      <c r="I391" s="30" t="s">
        <v>41</v>
      </c>
      <c r="J391" s="30" t="s">
        <v>28</v>
      </c>
      <c r="K391" s="9" t="str">
        <f>IFERROR(VLOOKUP($B391,[1]Kundenübersicht!$E$4:$AC$1003,MATCH(K$3,[1]Kundenübersicht!$E$3:$BA$3,FALSE),FALSE),"")</f>
        <v>AOK PLUS</v>
      </c>
      <c r="L391" s="13">
        <f>IFERROR(VLOOKUP(B391,[1]Kundenübersicht!$E$4:$AC$1003,MATCH(L$3,[1]Kundenübersicht!$E$3:$BA$3,FALSE),FALSE),"")</f>
        <v>107299005</v>
      </c>
      <c r="M391" s="13" t="str">
        <f>IFERROR(VLOOKUP(B391,[1]Kundenübersicht!$E$4:$AC$1003,MATCH(M$3,[1]Kundenübersicht!$E$3:$BA$3,FALSE),FALSE),"")</f>
        <v>E575057323</v>
      </c>
      <c r="N391" s="13" t="str">
        <f>IFERROR(VLOOKUP(B391,[1]Kundenübersicht!$E$4:$AC$1003,MATCH(N$3,[1]Kundenübersicht!$E$3:$BA$3,FALSE),FALSE),"")</f>
        <v>PG 1</v>
      </c>
      <c r="P391" s="9" t="s">
        <v>29</v>
      </c>
      <c r="R391" s="9" t="str">
        <f t="shared" si="88"/>
        <v>Unterschrieben</v>
      </c>
      <c r="S391" s="14" t="s">
        <v>31</v>
      </c>
      <c r="U391" s="15">
        <f>IF(YEAR(C391)&lt;=2025,IFERROR(IF(I391="Hauswirtschaft",VLOOKUP($B391,[1]Kundenübersicht!$E$4:$BA$1003,MATCH("Hauswirtschaft [€/Stunde]",[1]Kundenübersicht!$E$3:$BA$3,FALSE),FALSE),VLOOKUP($B391,[1]Kundenübersicht!$E$4:$BA$1003,MATCH("Alltagsbegleitung [€/Stunde]",[1]Kundenübersicht!$E$3:$BA$3,FALSE),FALSE)),0),IFERROR(IF(I391="Hauswirtschaft",VLOOKUP($B391,[1]Kundenübersicht!$E$4:$BA$1003,MATCH("HW ab 2026 [€/Stunde]",[1]Kundenübersicht!$E$3:$BA$3,FALSE),FALSE),VLOOKUP($B391,[1]Kundenübersicht!$E$4:$BA$1003,MATCH("Alltagsbegleitung [€/Stunde]",[1]Kundenübersicht!$E$3:$BA$3,FALSE),FALSE)),0))</f>
        <v>42</v>
      </c>
      <c r="V391" s="16">
        <f t="shared" si="91"/>
        <v>31.5</v>
      </c>
      <c r="W391" s="16">
        <f t="shared" si="83"/>
        <v>6.4399999999999995</v>
      </c>
      <c r="X391" s="16" t="str">
        <f>VLOOKUP(B391,[1]Kundenübersicht!E:AG,MATCH($X$3,[1]Kundenübersicht!$E$3:$AY$3,0),FALSE)</f>
        <v>Neu</v>
      </c>
      <c r="Z391" s="20" t="str">
        <f t="shared" si="97"/>
        <v>Ja</v>
      </c>
      <c r="AA391" s="19">
        <v>46062</v>
      </c>
      <c r="AC391" s="19"/>
      <c r="AE391" s="9">
        <f t="shared" si="98"/>
        <v>2025</v>
      </c>
      <c r="AF391" s="17" t="str">
        <f t="shared" si="99"/>
        <v>12.2025</v>
      </c>
      <c r="AG391" s="17" t="str">
        <f t="shared" si="100"/>
        <v>Christiane Fiebag</v>
      </c>
      <c r="AH391" s="17" t="str">
        <f>IFERROR(VLOOKUP(B391,[1]Kundenübersicht!$E$4:$F$85,2,FALSE),"")</f>
        <v>Reinhard Neiser</v>
      </c>
      <c r="AI391" s="17" t="str">
        <f t="shared" si="85"/>
        <v>Alltagsbegleitung</v>
      </c>
      <c r="AJ391" s="17" t="str">
        <f t="shared" si="85"/>
        <v>Entlastungsleistung</v>
      </c>
      <c r="AL391" s="18">
        <f t="shared" si="94"/>
        <v>42</v>
      </c>
      <c r="AM391" s="18">
        <f t="shared" si="95"/>
        <v>31.5</v>
      </c>
      <c r="AN391" s="18">
        <f t="shared" si="96"/>
        <v>6.4399999999999995</v>
      </c>
    </row>
    <row r="392" spans="2:40" x14ac:dyDescent="0.25">
      <c r="B392" s="30" t="s">
        <v>35</v>
      </c>
      <c r="C392" s="31">
        <v>45992</v>
      </c>
      <c r="D392" s="32">
        <v>0.45833333333333331</v>
      </c>
      <c r="E392" s="32">
        <v>0.54166666666666663</v>
      </c>
      <c r="F392" s="12">
        <f t="shared" si="90"/>
        <v>1.9999999999999996</v>
      </c>
      <c r="G392" s="12">
        <v>6.3</v>
      </c>
      <c r="H392" s="30" t="s">
        <v>33</v>
      </c>
      <c r="I392" s="30" t="s">
        <v>27</v>
      </c>
      <c r="J392" s="30" t="s">
        <v>28</v>
      </c>
      <c r="K392" s="9" t="str">
        <f>IFERROR(VLOOKUP($B392,[1]Kundenübersicht!$E$4:$AC$1003,MATCH(K$3,[1]Kundenübersicht!$E$3:$BA$3,FALSE),FALSE),"")</f>
        <v>AOK PLUS</v>
      </c>
      <c r="L392" s="13">
        <f>IFERROR(VLOOKUP(B392,[1]Kundenübersicht!$E$4:$AC$1003,MATCH(L$3,[1]Kundenübersicht!$E$3:$BA$3,FALSE),FALSE),"")</f>
        <v>107299005</v>
      </c>
      <c r="M392" s="13" t="str">
        <f>IFERROR(VLOOKUP(B392,[1]Kundenübersicht!$E$4:$AC$1003,MATCH(M$3,[1]Kundenübersicht!$E$3:$BA$3,FALSE),FALSE),"")</f>
        <v>P722909118</v>
      </c>
      <c r="N392" s="13" t="str">
        <f>IFERROR(VLOOKUP(B392,[1]Kundenübersicht!$E$4:$AC$1003,MATCH(N$3,[1]Kundenübersicht!$E$3:$BA$3,FALSE),FALSE),"")</f>
        <v>PG 3</v>
      </c>
      <c r="P392" s="9" t="s">
        <v>29</v>
      </c>
      <c r="R392" s="9" t="str">
        <f t="shared" si="88"/>
        <v>Unterschrieben</v>
      </c>
      <c r="S392" s="14" t="s">
        <v>31</v>
      </c>
      <c r="U392" s="15">
        <f>IF(YEAR(C392)&lt;=2025,IFERROR(IF(I392="Hauswirtschaft",VLOOKUP($B392,[1]Kundenübersicht!$E$4:$BA$1003,MATCH("Hauswirtschaft [€/Stunde]",[1]Kundenübersicht!$E$3:$BA$3,FALSE),FALSE),VLOOKUP($B392,[1]Kundenübersicht!$E$4:$BA$1003,MATCH("Alltagsbegleitung [€/Stunde]",[1]Kundenübersicht!$E$3:$BA$3,FALSE),FALSE)),0),IFERROR(IF(I392="Hauswirtschaft",VLOOKUP($B392,[1]Kundenübersicht!$E$4:$BA$1003,MATCH("HW ab 2026 [€/Stunde]",[1]Kundenübersicht!$E$3:$BA$3,FALSE),FALSE),VLOOKUP($B392,[1]Kundenübersicht!$E$4:$BA$1003,MATCH("Alltagsbegleitung [€/Stunde]",[1]Kundenübersicht!$E$3:$BA$3,FALSE),FALSE)),0))</f>
        <v>32.75</v>
      </c>
      <c r="V392" s="16">
        <f t="shared" si="91"/>
        <v>65.499999999999986</v>
      </c>
      <c r="W392" s="16">
        <f t="shared" si="83"/>
        <v>0</v>
      </c>
      <c r="X392" s="16" t="str">
        <f>VLOOKUP(B392,[1]Kundenübersicht!E:AG,MATCH($X$3,[1]Kundenübersicht!$E$3:$AY$3,0),FALSE)</f>
        <v>Alt</v>
      </c>
      <c r="Z392" s="20" t="str">
        <f t="shared" si="97"/>
        <v>Ja</v>
      </c>
      <c r="AA392" s="19">
        <v>46062</v>
      </c>
      <c r="AC392" s="19"/>
      <c r="AE392" s="9">
        <f t="shared" si="98"/>
        <v>2025</v>
      </c>
      <c r="AF392" s="17" t="str">
        <f t="shared" si="99"/>
        <v>12.2025</v>
      </c>
      <c r="AG392" s="17" t="str">
        <f t="shared" si="100"/>
        <v>Christiane Fiebag</v>
      </c>
      <c r="AH392" s="17" t="str">
        <f>IFERROR(VLOOKUP(B392,[1]Kundenübersicht!$E$4:$F$85,2,FALSE),"")</f>
        <v>Elke Berghold</v>
      </c>
      <c r="AI392" s="17" t="str">
        <f t="shared" si="85"/>
        <v>Hauswirtschaft</v>
      </c>
      <c r="AJ392" s="17" t="str">
        <f t="shared" si="85"/>
        <v>Entlastungsleistung</v>
      </c>
      <c r="AL392" s="18">
        <f t="shared" si="94"/>
        <v>38</v>
      </c>
      <c r="AM392" s="18">
        <f t="shared" si="95"/>
        <v>75.999999999999986</v>
      </c>
      <c r="AN392" s="18">
        <f t="shared" si="96"/>
        <v>2.2049999999999996</v>
      </c>
    </row>
    <row r="393" spans="2:40" x14ac:dyDescent="0.25">
      <c r="B393" s="30" t="s">
        <v>35</v>
      </c>
      <c r="C393" s="31">
        <v>45995</v>
      </c>
      <c r="D393" s="32">
        <v>0.35416666666666669</v>
      </c>
      <c r="E393" s="32">
        <v>0.47916666666666669</v>
      </c>
      <c r="F393" s="12">
        <f t="shared" si="90"/>
        <v>3</v>
      </c>
      <c r="G393" s="12">
        <v>36.799999999999997</v>
      </c>
      <c r="H393" s="30" t="s">
        <v>33</v>
      </c>
      <c r="I393" s="30" t="s">
        <v>41</v>
      </c>
      <c r="J393" s="30" t="s">
        <v>28</v>
      </c>
      <c r="K393" s="9" t="str">
        <f>IFERROR(VLOOKUP($B393,[1]Kundenübersicht!$E$4:$AC$1003,MATCH(K$3,[1]Kundenübersicht!$E$3:$BA$3,FALSE),FALSE),"")</f>
        <v>AOK PLUS</v>
      </c>
      <c r="L393" s="13">
        <f>IFERROR(VLOOKUP(B393,[1]Kundenübersicht!$E$4:$AC$1003,MATCH(L$3,[1]Kundenübersicht!$E$3:$BA$3,FALSE),FALSE),"")</f>
        <v>107299005</v>
      </c>
      <c r="M393" s="13" t="str">
        <f>IFERROR(VLOOKUP(B393,[1]Kundenübersicht!$E$4:$AC$1003,MATCH(M$3,[1]Kundenübersicht!$E$3:$BA$3,FALSE),FALSE),"")</f>
        <v>P722909118</v>
      </c>
      <c r="N393" s="13" t="str">
        <f>IFERROR(VLOOKUP(B393,[1]Kundenübersicht!$E$4:$AC$1003,MATCH(N$3,[1]Kundenübersicht!$E$3:$BA$3,FALSE),FALSE),"")</f>
        <v>PG 3</v>
      </c>
      <c r="P393" s="9" t="s">
        <v>29</v>
      </c>
      <c r="R393" s="9" t="str">
        <f t="shared" si="88"/>
        <v>Unterschrieben</v>
      </c>
      <c r="S393" s="14" t="s">
        <v>31</v>
      </c>
      <c r="U393" s="15">
        <f>IF(YEAR(C393)&lt;=2025,IFERROR(IF(I393="Hauswirtschaft",VLOOKUP($B393,[1]Kundenübersicht!$E$4:$BA$1003,MATCH("Hauswirtschaft [€/Stunde]",[1]Kundenübersicht!$E$3:$BA$3,FALSE),FALSE),VLOOKUP($B393,[1]Kundenübersicht!$E$4:$BA$1003,MATCH("Alltagsbegleitung [€/Stunde]",[1]Kundenübersicht!$E$3:$BA$3,FALSE),FALSE)),0),IFERROR(IF(I393="Hauswirtschaft",VLOOKUP($B393,[1]Kundenübersicht!$E$4:$BA$1003,MATCH("HW ab 2026 [€/Stunde]",[1]Kundenübersicht!$E$3:$BA$3,FALSE),FALSE),VLOOKUP($B393,[1]Kundenübersicht!$E$4:$BA$1003,MATCH("Alltagsbegleitung [€/Stunde]",[1]Kundenübersicht!$E$3:$BA$3,FALSE),FALSE)),0))</f>
        <v>42</v>
      </c>
      <c r="V393" s="16">
        <f t="shared" si="91"/>
        <v>126</v>
      </c>
      <c r="W393" s="16">
        <f t="shared" si="83"/>
        <v>0</v>
      </c>
      <c r="X393" s="16" t="str">
        <f>VLOOKUP(B393,[1]Kundenübersicht!E:AG,MATCH($X$3,[1]Kundenübersicht!$E$3:$AY$3,0),FALSE)</f>
        <v>Alt</v>
      </c>
      <c r="Z393" s="20" t="str">
        <f t="shared" si="97"/>
        <v>Ja</v>
      </c>
      <c r="AA393" s="19">
        <v>46062</v>
      </c>
      <c r="AC393" s="19"/>
      <c r="AE393" s="9">
        <f t="shared" si="98"/>
        <v>2025</v>
      </c>
      <c r="AF393" s="17" t="str">
        <f t="shared" si="99"/>
        <v>12.2025</v>
      </c>
      <c r="AG393" s="17" t="str">
        <f t="shared" si="100"/>
        <v>Christiane Fiebag</v>
      </c>
      <c r="AH393" s="17" t="str">
        <f>IFERROR(VLOOKUP(B393,[1]Kundenübersicht!$E$4:$F$85,2,FALSE),"")</f>
        <v>Elke Berghold</v>
      </c>
      <c r="AI393" s="17" t="str">
        <f t="shared" si="85"/>
        <v>Alltagsbegleitung</v>
      </c>
      <c r="AJ393" s="17" t="str">
        <f t="shared" si="85"/>
        <v>Entlastungsleistung</v>
      </c>
      <c r="AL393" s="18">
        <f t="shared" si="94"/>
        <v>42</v>
      </c>
      <c r="AM393" s="18">
        <f t="shared" si="95"/>
        <v>126</v>
      </c>
      <c r="AN393" s="18">
        <f t="shared" si="96"/>
        <v>12.879999999999999</v>
      </c>
    </row>
    <row r="394" spans="2:40" x14ac:dyDescent="0.25">
      <c r="B394" s="30" t="s">
        <v>35</v>
      </c>
      <c r="C394" s="31">
        <v>45995</v>
      </c>
      <c r="D394" s="32">
        <v>0.61458333333333337</v>
      </c>
      <c r="E394" s="32">
        <v>0.66666666666666663</v>
      </c>
      <c r="F394" s="12">
        <f t="shared" si="90"/>
        <v>1.2499999999999982</v>
      </c>
      <c r="G394" s="12">
        <v>14.3</v>
      </c>
      <c r="H394" s="30" t="s">
        <v>33</v>
      </c>
      <c r="I394" s="30" t="s">
        <v>27</v>
      </c>
      <c r="J394" s="30" t="s">
        <v>28</v>
      </c>
      <c r="K394" s="9" t="str">
        <f>IFERROR(VLOOKUP($B394,[1]Kundenübersicht!$E$4:$AC$1003,MATCH(K$3,[1]Kundenübersicht!$E$3:$BA$3,FALSE),FALSE),"")</f>
        <v>AOK PLUS</v>
      </c>
      <c r="L394" s="13">
        <f>IFERROR(VLOOKUP(B394,[1]Kundenübersicht!$E$4:$AC$1003,MATCH(L$3,[1]Kundenübersicht!$E$3:$BA$3,FALSE),FALSE),"")</f>
        <v>107299005</v>
      </c>
      <c r="M394" s="13" t="str">
        <f>IFERROR(VLOOKUP(B394,[1]Kundenübersicht!$E$4:$AC$1003,MATCH(M$3,[1]Kundenübersicht!$E$3:$BA$3,FALSE),FALSE),"")</f>
        <v>P722909118</v>
      </c>
      <c r="N394" s="13" t="str">
        <f>IFERROR(VLOOKUP(B394,[1]Kundenübersicht!$E$4:$AC$1003,MATCH(N$3,[1]Kundenübersicht!$E$3:$BA$3,FALSE),FALSE),"")</f>
        <v>PG 3</v>
      </c>
      <c r="P394" s="9" t="s">
        <v>29</v>
      </c>
      <c r="R394" s="9" t="str">
        <f t="shared" si="88"/>
        <v>Unterschrieben</v>
      </c>
      <c r="S394" s="14" t="s">
        <v>31</v>
      </c>
      <c r="U394" s="15">
        <f>IF(YEAR(C394)&lt;=2025,IFERROR(IF(I394="Hauswirtschaft",VLOOKUP($B394,[1]Kundenübersicht!$E$4:$BA$1003,MATCH("Hauswirtschaft [€/Stunde]",[1]Kundenübersicht!$E$3:$BA$3,FALSE),FALSE),VLOOKUP($B394,[1]Kundenübersicht!$E$4:$BA$1003,MATCH("Alltagsbegleitung [€/Stunde]",[1]Kundenübersicht!$E$3:$BA$3,FALSE),FALSE)),0),IFERROR(IF(I394="Hauswirtschaft",VLOOKUP($B394,[1]Kundenübersicht!$E$4:$BA$1003,MATCH("HW ab 2026 [€/Stunde]",[1]Kundenübersicht!$E$3:$BA$3,FALSE),FALSE),VLOOKUP($B394,[1]Kundenübersicht!$E$4:$BA$1003,MATCH("Alltagsbegleitung [€/Stunde]",[1]Kundenübersicht!$E$3:$BA$3,FALSE),FALSE)),0))</f>
        <v>32.75</v>
      </c>
      <c r="V394" s="16">
        <f t="shared" si="91"/>
        <v>40.937499999999943</v>
      </c>
      <c r="W394" s="16">
        <f t="shared" si="83"/>
        <v>0</v>
      </c>
      <c r="X394" s="16" t="str">
        <f>VLOOKUP(B394,[1]Kundenübersicht!E:AG,MATCH($X$3,[1]Kundenübersicht!$E$3:$AY$3,0),FALSE)</f>
        <v>Alt</v>
      </c>
      <c r="Z394" s="20" t="str">
        <f t="shared" si="97"/>
        <v>Ja</v>
      </c>
      <c r="AA394" s="19">
        <v>46062</v>
      </c>
      <c r="AC394" s="19"/>
      <c r="AE394" s="9">
        <f t="shared" si="98"/>
        <v>2025</v>
      </c>
      <c r="AF394" s="17" t="str">
        <f t="shared" si="99"/>
        <v>12.2025</v>
      </c>
      <c r="AG394" s="17" t="str">
        <f t="shared" si="100"/>
        <v>Christiane Fiebag</v>
      </c>
      <c r="AH394" s="17" t="str">
        <f>IFERROR(VLOOKUP(B394,[1]Kundenübersicht!$E$4:$F$85,2,FALSE),"")</f>
        <v>Elke Berghold</v>
      </c>
      <c r="AI394" s="17" t="str">
        <f t="shared" si="85"/>
        <v>Hauswirtschaft</v>
      </c>
      <c r="AJ394" s="17" t="str">
        <f t="shared" si="85"/>
        <v>Entlastungsleistung</v>
      </c>
      <c r="AL394" s="18">
        <f t="shared" si="94"/>
        <v>38</v>
      </c>
      <c r="AM394" s="18">
        <f t="shared" si="95"/>
        <v>47.499999999999929</v>
      </c>
      <c r="AN394" s="18">
        <f t="shared" si="96"/>
        <v>5.0049999999999999</v>
      </c>
    </row>
    <row r="395" spans="2:40" x14ac:dyDescent="0.25">
      <c r="B395" s="30" t="s">
        <v>35</v>
      </c>
      <c r="C395" s="31">
        <v>46001</v>
      </c>
      <c r="D395" s="32">
        <v>0.45833333333333331</v>
      </c>
      <c r="E395" s="32">
        <v>0.54166666666666663</v>
      </c>
      <c r="F395" s="12">
        <f t="shared" si="90"/>
        <v>1.9999999999999996</v>
      </c>
      <c r="G395" s="12">
        <v>14.1</v>
      </c>
      <c r="H395" s="30" t="s">
        <v>33</v>
      </c>
      <c r="I395" s="30" t="s">
        <v>27</v>
      </c>
      <c r="J395" s="30" t="s">
        <v>28</v>
      </c>
      <c r="K395" s="9" t="str">
        <f>IFERROR(VLOOKUP($B395,[1]Kundenübersicht!$E$4:$AC$1003,MATCH(K$3,[1]Kundenübersicht!$E$3:$BA$3,FALSE),FALSE),"")</f>
        <v>AOK PLUS</v>
      </c>
      <c r="L395" s="13">
        <f>IFERROR(VLOOKUP(B395,[1]Kundenübersicht!$E$4:$AC$1003,MATCH(L$3,[1]Kundenübersicht!$E$3:$BA$3,FALSE),FALSE),"")</f>
        <v>107299005</v>
      </c>
      <c r="M395" s="13" t="str">
        <f>IFERROR(VLOOKUP(B395,[1]Kundenübersicht!$E$4:$AC$1003,MATCH(M$3,[1]Kundenübersicht!$E$3:$BA$3,FALSE),FALSE),"")</f>
        <v>P722909118</v>
      </c>
      <c r="N395" s="13" t="str">
        <f>IFERROR(VLOOKUP(B395,[1]Kundenübersicht!$E$4:$AC$1003,MATCH(N$3,[1]Kundenübersicht!$E$3:$BA$3,FALSE),FALSE),"")</f>
        <v>PG 3</v>
      </c>
      <c r="P395" s="9" t="s">
        <v>29</v>
      </c>
      <c r="R395" s="9" t="str">
        <f t="shared" si="88"/>
        <v>Unterschrieben</v>
      </c>
      <c r="S395" s="14" t="s">
        <v>31</v>
      </c>
      <c r="U395" s="15">
        <f>IF(YEAR(C395)&lt;=2025,IFERROR(IF(I395="Hauswirtschaft",VLOOKUP($B395,[1]Kundenübersicht!$E$4:$BA$1003,MATCH("Hauswirtschaft [€/Stunde]",[1]Kundenübersicht!$E$3:$BA$3,FALSE),FALSE),VLOOKUP($B395,[1]Kundenübersicht!$E$4:$BA$1003,MATCH("Alltagsbegleitung [€/Stunde]",[1]Kundenübersicht!$E$3:$BA$3,FALSE),FALSE)),0),IFERROR(IF(I395="Hauswirtschaft",VLOOKUP($B395,[1]Kundenübersicht!$E$4:$BA$1003,MATCH("HW ab 2026 [€/Stunde]",[1]Kundenübersicht!$E$3:$BA$3,FALSE),FALSE),VLOOKUP($B395,[1]Kundenübersicht!$E$4:$BA$1003,MATCH("Alltagsbegleitung [€/Stunde]",[1]Kundenübersicht!$E$3:$BA$3,FALSE),FALSE)),0))</f>
        <v>32.75</v>
      </c>
      <c r="V395" s="16">
        <f t="shared" si="91"/>
        <v>65.499999999999986</v>
      </c>
      <c r="W395" s="16">
        <f t="shared" si="83"/>
        <v>0</v>
      </c>
      <c r="X395" s="16" t="str">
        <f>VLOOKUP(B395,[1]Kundenübersicht!E:AG,MATCH($X$3,[1]Kundenübersicht!$E$3:$AY$3,0),FALSE)</f>
        <v>Alt</v>
      </c>
      <c r="Z395" s="20" t="str">
        <f t="shared" si="97"/>
        <v>Ja</v>
      </c>
      <c r="AA395" s="19">
        <v>46062</v>
      </c>
      <c r="AC395" s="19"/>
      <c r="AE395" s="9">
        <f t="shared" si="98"/>
        <v>2025</v>
      </c>
      <c r="AF395" s="17" t="str">
        <f t="shared" si="99"/>
        <v>12.2025</v>
      </c>
      <c r="AG395" s="17" t="str">
        <f t="shared" si="100"/>
        <v>Christiane Fiebag</v>
      </c>
      <c r="AH395" s="17" t="str">
        <f>IFERROR(VLOOKUP(B395,[1]Kundenübersicht!$E$4:$F$85,2,FALSE),"")</f>
        <v>Elke Berghold</v>
      </c>
      <c r="AI395" s="17" t="str">
        <f t="shared" si="85"/>
        <v>Hauswirtschaft</v>
      </c>
      <c r="AJ395" s="17" t="str">
        <f t="shared" si="85"/>
        <v>Entlastungsleistung</v>
      </c>
      <c r="AL395" s="18">
        <f t="shared" si="94"/>
        <v>38</v>
      </c>
      <c r="AM395" s="18">
        <f t="shared" si="95"/>
        <v>75.999999999999986</v>
      </c>
      <c r="AN395" s="18">
        <f t="shared" si="96"/>
        <v>4.9349999999999996</v>
      </c>
    </row>
    <row r="396" spans="2:40" x14ac:dyDescent="0.25">
      <c r="B396" s="30" t="s">
        <v>35</v>
      </c>
      <c r="C396" s="31">
        <v>46001</v>
      </c>
      <c r="D396" s="32">
        <v>0.67708333333333337</v>
      </c>
      <c r="E396" s="32">
        <v>0.76041666666666663</v>
      </c>
      <c r="F396" s="12">
        <f t="shared" si="90"/>
        <v>1.9999999999999982</v>
      </c>
      <c r="G396" s="12">
        <v>14.3</v>
      </c>
      <c r="H396" s="30" t="s">
        <v>33</v>
      </c>
      <c r="I396" s="30" t="s">
        <v>27</v>
      </c>
      <c r="J396" s="30" t="s">
        <v>28</v>
      </c>
      <c r="K396" s="9" t="str">
        <f>IFERROR(VLOOKUP($B396,[1]Kundenübersicht!$E$4:$AC$1003,MATCH(K$3,[1]Kundenübersicht!$E$3:$BA$3,FALSE),FALSE),"")</f>
        <v>AOK PLUS</v>
      </c>
      <c r="L396" s="13">
        <f>IFERROR(VLOOKUP(B396,[1]Kundenübersicht!$E$4:$AC$1003,MATCH(L$3,[1]Kundenübersicht!$E$3:$BA$3,FALSE),FALSE),"")</f>
        <v>107299005</v>
      </c>
      <c r="M396" s="13" t="str">
        <f>IFERROR(VLOOKUP(B396,[1]Kundenübersicht!$E$4:$AC$1003,MATCH(M$3,[1]Kundenübersicht!$E$3:$BA$3,FALSE),FALSE),"")</f>
        <v>P722909118</v>
      </c>
      <c r="N396" s="13" t="str">
        <f>IFERROR(VLOOKUP(B396,[1]Kundenübersicht!$E$4:$AC$1003,MATCH(N$3,[1]Kundenübersicht!$E$3:$BA$3,FALSE),FALSE),"")</f>
        <v>PG 3</v>
      </c>
      <c r="P396" s="9" t="s">
        <v>29</v>
      </c>
      <c r="R396" s="9" t="str">
        <f t="shared" si="88"/>
        <v>Unterschrieben</v>
      </c>
      <c r="S396" s="14" t="s">
        <v>31</v>
      </c>
      <c r="U396" s="15">
        <f>IF(YEAR(C396)&lt;=2025,IFERROR(IF(I396="Hauswirtschaft",VLOOKUP($B396,[1]Kundenübersicht!$E$4:$BA$1003,MATCH("Hauswirtschaft [€/Stunde]",[1]Kundenübersicht!$E$3:$BA$3,FALSE),FALSE),VLOOKUP($B396,[1]Kundenübersicht!$E$4:$BA$1003,MATCH("Alltagsbegleitung [€/Stunde]",[1]Kundenübersicht!$E$3:$BA$3,FALSE),FALSE)),0),IFERROR(IF(I396="Hauswirtschaft",VLOOKUP($B396,[1]Kundenübersicht!$E$4:$BA$1003,MATCH("HW ab 2026 [€/Stunde]",[1]Kundenübersicht!$E$3:$BA$3,FALSE),FALSE),VLOOKUP($B396,[1]Kundenübersicht!$E$4:$BA$1003,MATCH("Alltagsbegleitung [€/Stunde]",[1]Kundenübersicht!$E$3:$BA$3,FALSE),FALSE)),0))</f>
        <v>32.75</v>
      </c>
      <c r="V396" s="16">
        <f t="shared" si="91"/>
        <v>65.499999999999943</v>
      </c>
      <c r="W396" s="16">
        <f t="shared" si="83"/>
        <v>0</v>
      </c>
      <c r="X396" s="16" t="str">
        <f>VLOOKUP(B396,[1]Kundenübersicht!E:AG,MATCH($X$3,[1]Kundenübersicht!$E$3:$AY$3,0),FALSE)</f>
        <v>Alt</v>
      </c>
      <c r="Z396" s="20" t="str">
        <f t="shared" si="97"/>
        <v>Ja</v>
      </c>
      <c r="AA396" s="19">
        <v>46062</v>
      </c>
      <c r="AC396" s="19"/>
      <c r="AE396" s="9">
        <f t="shared" si="98"/>
        <v>2025</v>
      </c>
      <c r="AF396" s="17" t="str">
        <f t="shared" si="99"/>
        <v>12.2025</v>
      </c>
      <c r="AG396" s="17" t="str">
        <f t="shared" si="100"/>
        <v>Christiane Fiebag</v>
      </c>
      <c r="AH396" s="17" t="str">
        <f>IFERROR(VLOOKUP(B396,[1]Kundenübersicht!$E$4:$F$85,2,FALSE),"")</f>
        <v>Elke Berghold</v>
      </c>
      <c r="AI396" s="17" t="str">
        <f t="shared" si="85"/>
        <v>Hauswirtschaft</v>
      </c>
      <c r="AJ396" s="17" t="str">
        <f t="shared" si="85"/>
        <v>Entlastungsleistung</v>
      </c>
      <c r="AL396" s="18">
        <f t="shared" si="94"/>
        <v>38</v>
      </c>
      <c r="AM396" s="18">
        <f t="shared" si="95"/>
        <v>75.999999999999929</v>
      </c>
      <c r="AN396" s="18">
        <f t="shared" si="96"/>
        <v>5.0049999999999999</v>
      </c>
    </row>
    <row r="397" spans="2:40" x14ac:dyDescent="0.25">
      <c r="B397" s="30" t="s">
        <v>35</v>
      </c>
      <c r="C397" s="31">
        <v>46006</v>
      </c>
      <c r="D397" s="32">
        <v>0.45833333333333331</v>
      </c>
      <c r="E397" s="32">
        <v>0.54166666666666663</v>
      </c>
      <c r="F397" s="12">
        <f t="shared" si="90"/>
        <v>1.9999999999999996</v>
      </c>
      <c r="G397" s="12">
        <v>1.7</v>
      </c>
      <c r="H397" s="30" t="s">
        <v>33</v>
      </c>
      <c r="I397" s="30" t="s">
        <v>27</v>
      </c>
      <c r="J397" s="30" t="s">
        <v>28</v>
      </c>
      <c r="K397" s="9" t="str">
        <f>IFERROR(VLOOKUP($B397,[1]Kundenübersicht!$E$4:$AC$1003,MATCH(K$3,[1]Kundenübersicht!$E$3:$BA$3,FALSE),FALSE),"")</f>
        <v>AOK PLUS</v>
      </c>
      <c r="L397" s="13">
        <f>IFERROR(VLOOKUP(B397,[1]Kundenübersicht!$E$4:$AC$1003,MATCH(L$3,[1]Kundenübersicht!$E$3:$BA$3,FALSE),FALSE),"")</f>
        <v>107299005</v>
      </c>
      <c r="M397" s="13" t="str">
        <f>IFERROR(VLOOKUP(B397,[1]Kundenübersicht!$E$4:$AC$1003,MATCH(M$3,[1]Kundenübersicht!$E$3:$BA$3,FALSE),FALSE),"")</f>
        <v>P722909118</v>
      </c>
      <c r="N397" s="13" t="str">
        <f>IFERROR(VLOOKUP(B397,[1]Kundenübersicht!$E$4:$AC$1003,MATCH(N$3,[1]Kundenübersicht!$E$3:$BA$3,FALSE),FALSE),"")</f>
        <v>PG 3</v>
      </c>
      <c r="P397" s="9" t="s">
        <v>29</v>
      </c>
      <c r="R397" s="9" t="str">
        <f t="shared" si="88"/>
        <v>Unterschrieben</v>
      </c>
      <c r="S397" s="14" t="s">
        <v>31</v>
      </c>
      <c r="U397" s="15">
        <f>IF(YEAR(C397)&lt;=2025,IFERROR(IF(I397="Hauswirtschaft",VLOOKUP($B397,[1]Kundenübersicht!$E$4:$BA$1003,MATCH("Hauswirtschaft [€/Stunde]",[1]Kundenübersicht!$E$3:$BA$3,FALSE),FALSE),VLOOKUP($B397,[1]Kundenübersicht!$E$4:$BA$1003,MATCH("Alltagsbegleitung [€/Stunde]",[1]Kundenübersicht!$E$3:$BA$3,FALSE),FALSE)),0),IFERROR(IF(I397="Hauswirtschaft",VLOOKUP($B397,[1]Kundenübersicht!$E$4:$BA$1003,MATCH("HW ab 2026 [€/Stunde]",[1]Kundenübersicht!$E$3:$BA$3,FALSE),FALSE),VLOOKUP($B397,[1]Kundenübersicht!$E$4:$BA$1003,MATCH("Alltagsbegleitung [€/Stunde]",[1]Kundenübersicht!$E$3:$BA$3,FALSE),FALSE)),0))</f>
        <v>32.75</v>
      </c>
      <c r="V397" s="16">
        <f t="shared" si="91"/>
        <v>65.499999999999986</v>
      </c>
      <c r="W397" s="16">
        <f t="shared" si="83"/>
        <v>0</v>
      </c>
      <c r="X397" s="16" t="str">
        <f>VLOOKUP(B397,[1]Kundenübersicht!E:AG,MATCH($X$3,[1]Kundenübersicht!$E$3:$AY$3,0),FALSE)</f>
        <v>Alt</v>
      </c>
      <c r="Z397" s="20" t="str">
        <f t="shared" si="97"/>
        <v>Ja</v>
      </c>
      <c r="AA397" s="19">
        <v>46062</v>
      </c>
      <c r="AC397" s="19"/>
      <c r="AE397" s="9">
        <f t="shared" si="98"/>
        <v>2025</v>
      </c>
      <c r="AF397" s="17" t="str">
        <f t="shared" si="99"/>
        <v>12.2025</v>
      </c>
      <c r="AG397" s="17" t="str">
        <f t="shared" si="100"/>
        <v>Christiane Fiebag</v>
      </c>
      <c r="AH397" s="17" t="str">
        <f>IFERROR(VLOOKUP(B397,[1]Kundenübersicht!$E$4:$F$85,2,FALSE),"")</f>
        <v>Elke Berghold</v>
      </c>
      <c r="AI397" s="17" t="str">
        <f t="shared" si="85"/>
        <v>Hauswirtschaft</v>
      </c>
      <c r="AJ397" s="17" t="str">
        <f t="shared" si="85"/>
        <v>Entlastungsleistung</v>
      </c>
      <c r="AL397" s="18">
        <f t="shared" si="94"/>
        <v>38</v>
      </c>
      <c r="AM397" s="18">
        <f t="shared" si="95"/>
        <v>75.999999999999986</v>
      </c>
      <c r="AN397" s="18">
        <f t="shared" si="96"/>
        <v>0.59499999999999997</v>
      </c>
    </row>
    <row r="398" spans="2:40" x14ac:dyDescent="0.25">
      <c r="B398" s="30" t="s">
        <v>35</v>
      </c>
      <c r="C398" s="31">
        <v>46013</v>
      </c>
      <c r="D398" s="32">
        <v>0.41666666666666669</v>
      </c>
      <c r="E398" s="32">
        <v>0.48958333333333331</v>
      </c>
      <c r="F398" s="12">
        <f t="shared" si="90"/>
        <v>1.7499999999999991</v>
      </c>
      <c r="G398" s="12">
        <v>21</v>
      </c>
      <c r="H398" s="30" t="s">
        <v>33</v>
      </c>
      <c r="I398" s="30" t="s">
        <v>41</v>
      </c>
      <c r="J398" s="30" t="s">
        <v>28</v>
      </c>
      <c r="K398" s="9" t="str">
        <f>IFERROR(VLOOKUP($B398,[1]Kundenübersicht!$E$4:$AC$1003,MATCH(K$3,[1]Kundenübersicht!$E$3:$BA$3,FALSE),FALSE),"")</f>
        <v>AOK PLUS</v>
      </c>
      <c r="L398" s="13">
        <f>IFERROR(VLOOKUP(B398,[1]Kundenübersicht!$E$4:$AC$1003,MATCH(L$3,[1]Kundenübersicht!$E$3:$BA$3,FALSE),FALSE),"")</f>
        <v>107299005</v>
      </c>
      <c r="M398" s="13" t="str">
        <f>IFERROR(VLOOKUP(B398,[1]Kundenübersicht!$E$4:$AC$1003,MATCH(M$3,[1]Kundenübersicht!$E$3:$BA$3,FALSE),FALSE),"")</f>
        <v>P722909118</v>
      </c>
      <c r="N398" s="13" t="str">
        <f>IFERROR(VLOOKUP(B398,[1]Kundenübersicht!$E$4:$AC$1003,MATCH(N$3,[1]Kundenübersicht!$E$3:$BA$3,FALSE),FALSE),"")</f>
        <v>PG 3</v>
      </c>
      <c r="P398" s="9" t="s">
        <v>29</v>
      </c>
      <c r="R398" s="9" t="str">
        <f t="shared" si="88"/>
        <v>Unterschrieben</v>
      </c>
      <c r="S398" s="14" t="s">
        <v>31</v>
      </c>
      <c r="U398" s="15">
        <f>IF(YEAR(C398)&lt;=2025,IFERROR(IF(I398="Hauswirtschaft",VLOOKUP($B398,[1]Kundenübersicht!$E$4:$BA$1003,MATCH("Hauswirtschaft [€/Stunde]",[1]Kundenübersicht!$E$3:$BA$3,FALSE),FALSE),VLOOKUP($B398,[1]Kundenübersicht!$E$4:$BA$1003,MATCH("Alltagsbegleitung [€/Stunde]",[1]Kundenübersicht!$E$3:$BA$3,FALSE),FALSE)),0),IFERROR(IF(I398="Hauswirtschaft",VLOOKUP($B398,[1]Kundenübersicht!$E$4:$BA$1003,MATCH("HW ab 2026 [€/Stunde]",[1]Kundenübersicht!$E$3:$BA$3,FALSE),FALSE),VLOOKUP($B398,[1]Kundenübersicht!$E$4:$BA$1003,MATCH("Alltagsbegleitung [€/Stunde]",[1]Kundenübersicht!$E$3:$BA$3,FALSE),FALSE)),0))</f>
        <v>42</v>
      </c>
      <c r="V398" s="16">
        <f t="shared" si="91"/>
        <v>73.499999999999957</v>
      </c>
      <c r="W398" s="16">
        <f t="shared" si="83"/>
        <v>0</v>
      </c>
      <c r="X398" s="16" t="str">
        <f>VLOOKUP(B398,[1]Kundenübersicht!E:AG,MATCH($X$3,[1]Kundenübersicht!$E$3:$AY$3,0),FALSE)</f>
        <v>Alt</v>
      </c>
      <c r="Z398" s="20" t="str">
        <f t="shared" si="97"/>
        <v>Ja</v>
      </c>
      <c r="AA398" s="19">
        <v>46062</v>
      </c>
      <c r="AC398" s="19"/>
      <c r="AE398" s="9">
        <f t="shared" si="98"/>
        <v>2025</v>
      </c>
      <c r="AF398" s="17" t="str">
        <f t="shared" si="99"/>
        <v>12.2025</v>
      </c>
      <c r="AG398" s="17" t="str">
        <f t="shared" si="100"/>
        <v>Christiane Fiebag</v>
      </c>
      <c r="AH398" s="17" t="str">
        <f>IFERROR(VLOOKUP(B398,[1]Kundenübersicht!$E$4:$F$85,2,FALSE),"")</f>
        <v>Elke Berghold</v>
      </c>
      <c r="AI398" s="17" t="str">
        <f t="shared" ref="AI398:AJ418" si="101">IF(I398="","",I398)</f>
        <v>Alltagsbegleitung</v>
      </c>
      <c r="AJ398" s="17" t="str">
        <f t="shared" si="101"/>
        <v>Entlastungsleistung</v>
      </c>
      <c r="AL398" s="18">
        <f t="shared" si="94"/>
        <v>42</v>
      </c>
      <c r="AM398" s="18">
        <f t="shared" si="95"/>
        <v>73.499999999999957</v>
      </c>
      <c r="AN398" s="18">
        <f t="shared" si="96"/>
        <v>7.35</v>
      </c>
    </row>
    <row r="399" spans="2:40" x14ac:dyDescent="0.25">
      <c r="B399" s="30" t="s">
        <v>35</v>
      </c>
      <c r="C399" s="31">
        <v>46013</v>
      </c>
      <c r="D399" s="32">
        <v>0.57291666666666663</v>
      </c>
      <c r="E399" s="32">
        <v>0.60416666666666663</v>
      </c>
      <c r="F399" s="12">
        <f t="shared" si="90"/>
        <v>0.75</v>
      </c>
      <c r="G399" s="12">
        <v>19.2</v>
      </c>
      <c r="H399" s="30" t="s">
        <v>33</v>
      </c>
      <c r="I399" s="30" t="s">
        <v>27</v>
      </c>
      <c r="J399" s="30" t="s">
        <v>28</v>
      </c>
      <c r="K399" s="9" t="str">
        <f>IFERROR(VLOOKUP($B399,[1]Kundenübersicht!$E$4:$AC$1003,MATCH(K$3,[1]Kundenübersicht!$E$3:$BA$3,FALSE),FALSE),"")</f>
        <v>AOK PLUS</v>
      </c>
      <c r="L399" s="13">
        <f>IFERROR(VLOOKUP(B399,[1]Kundenübersicht!$E$4:$AC$1003,MATCH(L$3,[1]Kundenübersicht!$E$3:$BA$3,FALSE),FALSE),"")</f>
        <v>107299005</v>
      </c>
      <c r="M399" s="13" t="str">
        <f>IFERROR(VLOOKUP(B399,[1]Kundenübersicht!$E$4:$AC$1003,MATCH(M$3,[1]Kundenübersicht!$E$3:$BA$3,FALSE),FALSE),"")</f>
        <v>P722909118</v>
      </c>
      <c r="N399" s="13" t="str">
        <f>IFERROR(VLOOKUP(B399,[1]Kundenübersicht!$E$4:$AC$1003,MATCH(N$3,[1]Kundenübersicht!$E$3:$BA$3,FALSE),FALSE),"")</f>
        <v>PG 3</v>
      </c>
      <c r="P399" s="9" t="s">
        <v>29</v>
      </c>
      <c r="R399" s="9" t="str">
        <f t="shared" si="88"/>
        <v>Unterschrieben</v>
      </c>
      <c r="S399" s="14" t="s">
        <v>31</v>
      </c>
      <c r="U399" s="15">
        <f>IF(YEAR(C399)&lt;=2025,IFERROR(IF(I399="Hauswirtschaft",VLOOKUP($B399,[1]Kundenübersicht!$E$4:$BA$1003,MATCH("Hauswirtschaft [€/Stunde]",[1]Kundenübersicht!$E$3:$BA$3,FALSE),FALSE),VLOOKUP($B399,[1]Kundenübersicht!$E$4:$BA$1003,MATCH("Alltagsbegleitung [€/Stunde]",[1]Kundenübersicht!$E$3:$BA$3,FALSE),FALSE)),0),IFERROR(IF(I399="Hauswirtschaft",VLOOKUP($B399,[1]Kundenübersicht!$E$4:$BA$1003,MATCH("HW ab 2026 [€/Stunde]",[1]Kundenübersicht!$E$3:$BA$3,FALSE),FALSE),VLOOKUP($B399,[1]Kundenübersicht!$E$4:$BA$1003,MATCH("Alltagsbegleitung [€/Stunde]",[1]Kundenübersicht!$E$3:$BA$3,FALSE),FALSE)),0))</f>
        <v>32.75</v>
      </c>
      <c r="V399" s="16">
        <f t="shared" si="91"/>
        <v>24.5625</v>
      </c>
      <c r="W399" s="16">
        <f t="shared" si="83"/>
        <v>0</v>
      </c>
      <c r="X399" s="16" t="str">
        <f>VLOOKUP(B399,[1]Kundenübersicht!E:AG,MATCH($X$3,[1]Kundenübersicht!$E$3:$AY$3,0),FALSE)</f>
        <v>Alt</v>
      </c>
      <c r="Z399" s="20" t="str">
        <f t="shared" si="97"/>
        <v>Ja</v>
      </c>
      <c r="AA399" s="19">
        <v>46062</v>
      </c>
      <c r="AC399" s="19"/>
      <c r="AE399" s="9">
        <f t="shared" si="98"/>
        <v>2025</v>
      </c>
      <c r="AF399" s="17" t="str">
        <f t="shared" si="99"/>
        <v>12.2025</v>
      </c>
      <c r="AG399" s="17" t="str">
        <f t="shared" si="100"/>
        <v>Christiane Fiebag</v>
      </c>
      <c r="AH399" s="17" t="str">
        <f>IFERROR(VLOOKUP(B399,[1]Kundenübersicht!$E$4:$F$85,2,FALSE),"")</f>
        <v>Elke Berghold</v>
      </c>
      <c r="AI399" s="17" t="str">
        <f t="shared" si="101"/>
        <v>Hauswirtschaft</v>
      </c>
      <c r="AJ399" s="17" t="str">
        <f t="shared" si="101"/>
        <v>Entlastungsleistung</v>
      </c>
      <c r="AL399" s="18">
        <f t="shared" si="94"/>
        <v>38</v>
      </c>
      <c r="AM399" s="18">
        <f t="shared" si="95"/>
        <v>28.5</v>
      </c>
      <c r="AN399" s="18">
        <f t="shared" si="96"/>
        <v>6.72</v>
      </c>
    </row>
    <row r="400" spans="2:40" x14ac:dyDescent="0.25">
      <c r="B400" s="30" t="s">
        <v>35</v>
      </c>
      <c r="C400" s="31">
        <v>46020</v>
      </c>
      <c r="D400" s="32">
        <v>0.45833333333333331</v>
      </c>
      <c r="E400" s="32">
        <v>0.54166666666666663</v>
      </c>
      <c r="F400" s="12">
        <f t="shared" si="90"/>
        <v>1.9999999999999996</v>
      </c>
      <c r="G400" s="12">
        <v>7.3</v>
      </c>
      <c r="H400" s="30" t="s">
        <v>33</v>
      </c>
      <c r="I400" s="30" t="s">
        <v>27</v>
      </c>
      <c r="J400" s="30" t="s">
        <v>28</v>
      </c>
      <c r="K400" s="9" t="str">
        <f>IFERROR(VLOOKUP($B400,[1]Kundenübersicht!$E$4:$AC$1003,MATCH(K$3,[1]Kundenübersicht!$E$3:$BA$3,FALSE),FALSE),"")</f>
        <v>AOK PLUS</v>
      </c>
      <c r="L400" s="13">
        <f>IFERROR(VLOOKUP(B400,[1]Kundenübersicht!$E$4:$AC$1003,MATCH(L$3,[1]Kundenübersicht!$E$3:$BA$3,FALSE),FALSE),"")</f>
        <v>107299005</v>
      </c>
      <c r="M400" s="13" t="str">
        <f>IFERROR(VLOOKUP(B400,[1]Kundenübersicht!$E$4:$AC$1003,MATCH(M$3,[1]Kundenübersicht!$E$3:$BA$3,FALSE),FALSE),"")</f>
        <v>P722909118</v>
      </c>
      <c r="N400" s="13" t="str">
        <f>IFERROR(VLOOKUP(B400,[1]Kundenübersicht!$E$4:$AC$1003,MATCH(N$3,[1]Kundenübersicht!$E$3:$BA$3,FALSE),FALSE),"")</f>
        <v>PG 3</v>
      </c>
      <c r="P400" s="9" t="s">
        <v>29</v>
      </c>
      <c r="R400" s="9" t="str">
        <f t="shared" si="88"/>
        <v>Unterschrieben</v>
      </c>
      <c r="S400" s="14" t="s">
        <v>31</v>
      </c>
      <c r="U400" s="15">
        <f>IF(YEAR(C400)&lt;=2025,IFERROR(IF(I400="Hauswirtschaft",VLOOKUP($B400,[1]Kundenübersicht!$E$4:$BA$1003,MATCH("Hauswirtschaft [€/Stunde]",[1]Kundenübersicht!$E$3:$BA$3,FALSE),FALSE),VLOOKUP($B400,[1]Kundenübersicht!$E$4:$BA$1003,MATCH("Alltagsbegleitung [€/Stunde]",[1]Kundenübersicht!$E$3:$BA$3,FALSE),FALSE)),0),IFERROR(IF(I400="Hauswirtschaft",VLOOKUP($B400,[1]Kundenübersicht!$E$4:$BA$1003,MATCH("HW ab 2026 [€/Stunde]",[1]Kundenübersicht!$E$3:$BA$3,FALSE),FALSE),VLOOKUP($B400,[1]Kundenübersicht!$E$4:$BA$1003,MATCH("Alltagsbegleitung [€/Stunde]",[1]Kundenübersicht!$E$3:$BA$3,FALSE),FALSE)),0))</f>
        <v>32.75</v>
      </c>
      <c r="V400" s="16">
        <f t="shared" si="91"/>
        <v>65.499999999999986</v>
      </c>
      <c r="W400" s="16">
        <f t="shared" si="83"/>
        <v>0</v>
      </c>
      <c r="X400" s="16" t="str">
        <f>VLOOKUP(B400,[1]Kundenübersicht!E:AG,MATCH($X$3,[1]Kundenübersicht!$E$3:$AY$3,0),FALSE)</f>
        <v>Alt</v>
      </c>
      <c r="Z400" s="20" t="str">
        <f t="shared" si="97"/>
        <v>Ja</v>
      </c>
      <c r="AA400" s="19">
        <v>46062</v>
      </c>
      <c r="AC400" s="19"/>
      <c r="AE400" s="9">
        <f t="shared" si="98"/>
        <v>2025</v>
      </c>
      <c r="AF400" s="17" t="str">
        <f t="shared" si="99"/>
        <v>12.2025</v>
      </c>
      <c r="AG400" s="17" t="str">
        <f t="shared" si="100"/>
        <v>Christiane Fiebag</v>
      </c>
      <c r="AH400" s="17" t="str">
        <f>IFERROR(VLOOKUP(B400,[1]Kundenübersicht!$E$4:$F$85,2,FALSE),"")</f>
        <v>Elke Berghold</v>
      </c>
      <c r="AI400" s="17" t="str">
        <f t="shared" si="101"/>
        <v>Hauswirtschaft</v>
      </c>
      <c r="AJ400" s="17" t="str">
        <f t="shared" si="101"/>
        <v>Entlastungsleistung</v>
      </c>
      <c r="AL400" s="18">
        <f t="shared" si="94"/>
        <v>38</v>
      </c>
      <c r="AM400" s="18">
        <f t="shared" si="95"/>
        <v>75.999999999999986</v>
      </c>
      <c r="AN400" s="18">
        <f t="shared" si="96"/>
        <v>2.5549999999999997</v>
      </c>
    </row>
    <row r="401" spans="2:40" x14ac:dyDescent="0.25">
      <c r="B401" s="30" t="s">
        <v>52</v>
      </c>
      <c r="C401" s="31">
        <v>45993</v>
      </c>
      <c r="D401" s="32">
        <v>0.41666666666666669</v>
      </c>
      <c r="E401" s="32">
        <v>0.5</v>
      </c>
      <c r="F401" s="12">
        <f t="shared" si="90"/>
        <v>1.9999999999999996</v>
      </c>
      <c r="G401" s="12">
        <v>7.3</v>
      </c>
      <c r="H401" s="30" t="s">
        <v>33</v>
      </c>
      <c r="I401" s="30" t="s">
        <v>27</v>
      </c>
      <c r="J401" s="30" t="s">
        <v>28</v>
      </c>
      <c r="K401" s="9" t="str">
        <f>IFERROR(VLOOKUP($B401,[1]Kundenübersicht!$E$4:$AC$1003,MATCH(K$3,[1]Kundenübersicht!$E$3:$BA$3,FALSE),FALSE),"")</f>
        <v>AOK PLUS</v>
      </c>
      <c r="L401" s="13">
        <f>IFERROR(VLOOKUP(B401,[1]Kundenübersicht!$E$4:$AC$1003,MATCH(L$3,[1]Kundenübersicht!$E$3:$BA$3,FALSE),FALSE),"")</f>
        <v>107299005</v>
      </c>
      <c r="M401" s="13" t="str">
        <f>IFERROR(VLOOKUP(B401,[1]Kundenübersicht!$E$4:$AC$1003,MATCH(M$3,[1]Kundenübersicht!$E$3:$BA$3,FALSE),FALSE),"")</f>
        <v>G562042888</v>
      </c>
      <c r="N401" s="13" t="str">
        <f>IFERROR(VLOOKUP(B401,[1]Kundenübersicht!$E$4:$AC$1003,MATCH(N$3,[1]Kundenübersicht!$E$3:$BA$3,FALSE),FALSE),"")</f>
        <v>PG 2</v>
      </c>
      <c r="P401" s="9" t="s">
        <v>29</v>
      </c>
      <c r="R401" s="9" t="str">
        <f t="shared" si="88"/>
        <v>Unterschrieben</v>
      </c>
      <c r="S401" s="14" t="s">
        <v>31</v>
      </c>
      <c r="U401" s="15">
        <f>IF(YEAR(C401)&lt;=2025,IFERROR(IF(I401="Hauswirtschaft",VLOOKUP($B401,[1]Kundenübersicht!$E$4:$BA$1003,MATCH("Hauswirtschaft [€/Stunde]",[1]Kundenübersicht!$E$3:$BA$3,FALSE),FALSE),VLOOKUP($B401,[1]Kundenübersicht!$E$4:$BA$1003,MATCH("Alltagsbegleitung [€/Stunde]",[1]Kundenübersicht!$E$3:$BA$3,FALSE),FALSE)),0),IFERROR(IF(I401="Hauswirtschaft",VLOOKUP($B401,[1]Kundenübersicht!$E$4:$BA$1003,MATCH("HW ab 2026 [€/Stunde]",[1]Kundenübersicht!$E$3:$BA$3,FALSE),FALSE),VLOOKUP($B401,[1]Kundenübersicht!$E$4:$BA$1003,MATCH("Alltagsbegleitung [€/Stunde]",[1]Kundenübersicht!$E$3:$BA$3,FALSE),FALSE)),0))</f>
        <v>32.75</v>
      </c>
      <c r="V401" s="16">
        <f t="shared" si="91"/>
        <v>65.499999999999986</v>
      </c>
      <c r="W401" s="16">
        <f t="shared" si="83"/>
        <v>0</v>
      </c>
      <c r="X401" s="16" t="str">
        <f>VLOOKUP(B401,[1]Kundenübersicht!E:AG,MATCH($X$3,[1]Kundenübersicht!$E$3:$AY$3,0),FALSE)</f>
        <v>Alt</v>
      </c>
      <c r="Z401" s="20" t="str">
        <f t="shared" si="97"/>
        <v>Ja</v>
      </c>
      <c r="AA401" s="19">
        <v>46062</v>
      </c>
      <c r="AC401" s="19"/>
      <c r="AE401" s="9">
        <f t="shared" si="98"/>
        <v>2025</v>
      </c>
      <c r="AF401" s="17" t="str">
        <f t="shared" si="99"/>
        <v>12.2025</v>
      </c>
      <c r="AG401" s="17" t="str">
        <f t="shared" si="100"/>
        <v>Christiane Fiebag</v>
      </c>
      <c r="AH401" s="17" t="str">
        <f>IFERROR(VLOOKUP(B401,[1]Kundenübersicht!$E$4:$F$85,2,FALSE),"")</f>
        <v>Matthias Roß</v>
      </c>
      <c r="AI401" s="17" t="str">
        <f t="shared" si="101"/>
        <v>Hauswirtschaft</v>
      </c>
      <c r="AJ401" s="17" t="str">
        <f t="shared" si="101"/>
        <v>Entlastungsleistung</v>
      </c>
      <c r="AL401" s="18">
        <f t="shared" si="94"/>
        <v>38</v>
      </c>
      <c r="AM401" s="18">
        <f t="shared" si="95"/>
        <v>75.999999999999986</v>
      </c>
      <c r="AN401" s="18">
        <f t="shared" si="96"/>
        <v>2.5549999999999997</v>
      </c>
    </row>
    <row r="402" spans="2:40" x14ac:dyDescent="0.25">
      <c r="B402" s="30" t="s">
        <v>52</v>
      </c>
      <c r="C402" s="31">
        <v>46000</v>
      </c>
      <c r="D402" s="32">
        <v>0.33333333333333331</v>
      </c>
      <c r="E402" s="32">
        <v>0.41666666666666669</v>
      </c>
      <c r="F402" s="12">
        <f t="shared" si="90"/>
        <v>2.0000000000000009</v>
      </c>
      <c r="G402" s="12">
        <v>5.8</v>
      </c>
      <c r="H402" s="30" t="s">
        <v>33</v>
      </c>
      <c r="I402" s="30" t="s">
        <v>27</v>
      </c>
      <c r="J402" s="30" t="s">
        <v>28</v>
      </c>
      <c r="K402" s="9" t="str">
        <f>IFERROR(VLOOKUP($B402,[1]Kundenübersicht!$E$4:$AC$1003,MATCH(K$3,[1]Kundenübersicht!$E$3:$BA$3,FALSE),FALSE),"")</f>
        <v>AOK PLUS</v>
      </c>
      <c r="L402" s="13">
        <f>IFERROR(VLOOKUP(B402,[1]Kundenübersicht!$E$4:$AC$1003,MATCH(L$3,[1]Kundenübersicht!$E$3:$BA$3,FALSE),FALSE),"")</f>
        <v>107299005</v>
      </c>
      <c r="M402" s="13" t="str">
        <f>IFERROR(VLOOKUP(B402,[1]Kundenübersicht!$E$4:$AC$1003,MATCH(M$3,[1]Kundenübersicht!$E$3:$BA$3,FALSE),FALSE),"")</f>
        <v>G562042888</v>
      </c>
      <c r="N402" s="13" t="str">
        <f>IFERROR(VLOOKUP(B402,[1]Kundenübersicht!$E$4:$AC$1003,MATCH(N$3,[1]Kundenübersicht!$E$3:$BA$3,FALSE),FALSE),"")</f>
        <v>PG 2</v>
      </c>
      <c r="P402" s="9" t="s">
        <v>29</v>
      </c>
      <c r="R402" s="9" t="str">
        <f t="shared" si="88"/>
        <v>Unterschrieben</v>
      </c>
      <c r="S402" s="14" t="s">
        <v>31</v>
      </c>
      <c r="U402" s="15">
        <f>IF(YEAR(C402)&lt;=2025,IFERROR(IF(I402="Hauswirtschaft",VLOOKUP($B402,[1]Kundenübersicht!$E$4:$BA$1003,MATCH("Hauswirtschaft [€/Stunde]",[1]Kundenübersicht!$E$3:$BA$3,FALSE),FALSE),VLOOKUP($B402,[1]Kundenübersicht!$E$4:$BA$1003,MATCH("Alltagsbegleitung [€/Stunde]",[1]Kundenübersicht!$E$3:$BA$3,FALSE),FALSE)),0),IFERROR(IF(I402="Hauswirtschaft",VLOOKUP($B402,[1]Kundenübersicht!$E$4:$BA$1003,MATCH("HW ab 2026 [€/Stunde]",[1]Kundenübersicht!$E$3:$BA$3,FALSE),FALSE),VLOOKUP($B402,[1]Kundenübersicht!$E$4:$BA$1003,MATCH("Alltagsbegleitung [€/Stunde]",[1]Kundenübersicht!$E$3:$BA$3,FALSE),FALSE)),0))</f>
        <v>32.75</v>
      </c>
      <c r="V402" s="16">
        <f t="shared" si="91"/>
        <v>65.500000000000028</v>
      </c>
      <c r="W402" s="16">
        <f t="shared" si="83"/>
        <v>0</v>
      </c>
      <c r="X402" s="16" t="str">
        <f>VLOOKUP(B402,[1]Kundenübersicht!E:AG,MATCH($X$3,[1]Kundenübersicht!$E$3:$AY$3,0),FALSE)</f>
        <v>Alt</v>
      </c>
      <c r="Z402" s="20" t="str">
        <f t="shared" si="97"/>
        <v>Ja</v>
      </c>
      <c r="AA402" s="19">
        <v>46062</v>
      </c>
      <c r="AC402" s="19"/>
      <c r="AE402" s="9">
        <f t="shared" si="98"/>
        <v>2025</v>
      </c>
      <c r="AF402" s="17" t="str">
        <f t="shared" si="99"/>
        <v>12.2025</v>
      </c>
      <c r="AG402" s="17" t="str">
        <f t="shared" si="100"/>
        <v>Christiane Fiebag</v>
      </c>
      <c r="AH402" s="17" t="str">
        <f>IFERROR(VLOOKUP(B402,[1]Kundenübersicht!$E$4:$F$85,2,FALSE),"")</f>
        <v>Matthias Roß</v>
      </c>
      <c r="AI402" s="17" t="str">
        <f t="shared" si="101"/>
        <v>Hauswirtschaft</v>
      </c>
      <c r="AJ402" s="17" t="str">
        <f t="shared" si="101"/>
        <v>Entlastungsleistung</v>
      </c>
      <c r="AL402" s="18">
        <f t="shared" si="94"/>
        <v>38</v>
      </c>
      <c r="AM402" s="18">
        <f t="shared" si="95"/>
        <v>76.000000000000028</v>
      </c>
      <c r="AN402" s="18">
        <f t="shared" si="96"/>
        <v>2.0299999999999998</v>
      </c>
    </row>
    <row r="403" spans="2:40" x14ac:dyDescent="0.25">
      <c r="B403" s="30" t="s">
        <v>52</v>
      </c>
      <c r="C403" s="31">
        <v>46007</v>
      </c>
      <c r="D403" s="32">
        <v>0.33333333333333331</v>
      </c>
      <c r="E403" s="32">
        <v>0.41666666666666669</v>
      </c>
      <c r="F403" s="12">
        <f t="shared" si="90"/>
        <v>2.0000000000000009</v>
      </c>
      <c r="G403" s="12">
        <v>1.8</v>
      </c>
      <c r="H403" s="30" t="s">
        <v>33</v>
      </c>
      <c r="I403" s="30" t="s">
        <v>27</v>
      </c>
      <c r="J403" s="30" t="s">
        <v>28</v>
      </c>
      <c r="K403" s="9" t="str">
        <f>IFERROR(VLOOKUP($B403,[1]Kundenübersicht!$E$4:$AC$1003,MATCH(K$3,[1]Kundenübersicht!$E$3:$BA$3,FALSE),FALSE),"")</f>
        <v>AOK PLUS</v>
      </c>
      <c r="L403" s="13">
        <f>IFERROR(VLOOKUP(B403,[1]Kundenübersicht!$E$4:$AC$1003,MATCH(L$3,[1]Kundenübersicht!$E$3:$BA$3,FALSE),FALSE),"")</f>
        <v>107299005</v>
      </c>
      <c r="M403" s="13" t="str">
        <f>IFERROR(VLOOKUP(B403,[1]Kundenübersicht!$E$4:$AC$1003,MATCH(M$3,[1]Kundenübersicht!$E$3:$BA$3,FALSE),FALSE),"")</f>
        <v>G562042888</v>
      </c>
      <c r="N403" s="13" t="str">
        <f>IFERROR(VLOOKUP(B403,[1]Kundenübersicht!$E$4:$AC$1003,MATCH(N$3,[1]Kundenübersicht!$E$3:$BA$3,FALSE),FALSE),"")</f>
        <v>PG 2</v>
      </c>
      <c r="P403" s="9" t="s">
        <v>29</v>
      </c>
      <c r="R403" s="9" t="str">
        <f t="shared" si="88"/>
        <v>Unterschrieben</v>
      </c>
      <c r="S403" s="14" t="s">
        <v>31</v>
      </c>
      <c r="U403" s="15">
        <f>IF(YEAR(C403)&lt;=2025,IFERROR(IF(I403="Hauswirtschaft",VLOOKUP($B403,[1]Kundenübersicht!$E$4:$BA$1003,MATCH("Hauswirtschaft [€/Stunde]",[1]Kundenübersicht!$E$3:$BA$3,FALSE),FALSE),VLOOKUP($B403,[1]Kundenübersicht!$E$4:$BA$1003,MATCH("Alltagsbegleitung [€/Stunde]",[1]Kundenübersicht!$E$3:$BA$3,FALSE),FALSE)),0),IFERROR(IF(I403="Hauswirtschaft",VLOOKUP($B403,[1]Kundenübersicht!$E$4:$BA$1003,MATCH("HW ab 2026 [€/Stunde]",[1]Kundenübersicht!$E$3:$BA$3,FALSE),FALSE),VLOOKUP($B403,[1]Kundenübersicht!$E$4:$BA$1003,MATCH("Alltagsbegleitung [€/Stunde]",[1]Kundenübersicht!$E$3:$BA$3,FALSE),FALSE)),0))</f>
        <v>32.75</v>
      </c>
      <c r="V403" s="16">
        <f t="shared" si="91"/>
        <v>65.500000000000028</v>
      </c>
      <c r="W403" s="16">
        <f t="shared" si="83"/>
        <v>0</v>
      </c>
      <c r="X403" s="16" t="str">
        <f>VLOOKUP(B403,[1]Kundenübersicht!E:AG,MATCH($X$3,[1]Kundenübersicht!$E$3:$AY$3,0),FALSE)</f>
        <v>Alt</v>
      </c>
      <c r="Z403" s="20" t="str">
        <f t="shared" si="97"/>
        <v>Ja</v>
      </c>
      <c r="AA403" s="19">
        <v>46062</v>
      </c>
      <c r="AC403" s="19"/>
      <c r="AE403" s="9">
        <f t="shared" si="98"/>
        <v>2025</v>
      </c>
      <c r="AF403" s="17" t="str">
        <f t="shared" si="99"/>
        <v>12.2025</v>
      </c>
      <c r="AG403" s="17" t="str">
        <f t="shared" si="100"/>
        <v>Christiane Fiebag</v>
      </c>
      <c r="AH403" s="17" t="str">
        <f>IFERROR(VLOOKUP(B403,[1]Kundenübersicht!$E$4:$F$85,2,FALSE),"")</f>
        <v>Matthias Roß</v>
      </c>
      <c r="AI403" s="17" t="str">
        <f t="shared" si="101"/>
        <v>Hauswirtschaft</v>
      </c>
      <c r="AJ403" s="17" t="str">
        <f t="shared" si="101"/>
        <v>Entlastungsleistung</v>
      </c>
      <c r="AL403" s="18">
        <f t="shared" si="94"/>
        <v>38</v>
      </c>
      <c r="AM403" s="18">
        <f t="shared" si="95"/>
        <v>76.000000000000028</v>
      </c>
      <c r="AN403" s="18">
        <f t="shared" si="96"/>
        <v>0.63</v>
      </c>
    </row>
    <row r="404" spans="2:40" x14ac:dyDescent="0.25">
      <c r="B404" s="30" t="s">
        <v>52</v>
      </c>
      <c r="C404" s="31">
        <v>46020</v>
      </c>
      <c r="D404" s="32">
        <v>0.30208333333333331</v>
      </c>
      <c r="E404" s="32">
        <v>0.42708333333333331</v>
      </c>
      <c r="F404" s="12">
        <f t="shared" si="90"/>
        <v>3</v>
      </c>
      <c r="G404" s="12">
        <v>4</v>
      </c>
      <c r="H404" s="30" t="s">
        <v>33</v>
      </c>
      <c r="I404" s="30" t="s">
        <v>27</v>
      </c>
      <c r="J404" s="30" t="s">
        <v>28</v>
      </c>
      <c r="K404" s="9" t="str">
        <f>IFERROR(VLOOKUP($B404,[1]Kundenübersicht!$E$4:$AC$1003,MATCH(K$3,[1]Kundenübersicht!$E$3:$BA$3,FALSE),FALSE),"")</f>
        <v>AOK PLUS</v>
      </c>
      <c r="L404" s="13">
        <f>IFERROR(VLOOKUP(B404,[1]Kundenübersicht!$E$4:$AC$1003,MATCH(L$3,[1]Kundenübersicht!$E$3:$BA$3,FALSE),FALSE),"")</f>
        <v>107299005</v>
      </c>
      <c r="M404" s="13" t="str">
        <f>IFERROR(VLOOKUP(B404,[1]Kundenübersicht!$E$4:$AC$1003,MATCH(M$3,[1]Kundenübersicht!$E$3:$BA$3,FALSE),FALSE),"")</f>
        <v>G562042888</v>
      </c>
      <c r="N404" s="13" t="str">
        <f>IFERROR(VLOOKUP(B404,[1]Kundenübersicht!$E$4:$AC$1003,MATCH(N$3,[1]Kundenübersicht!$E$3:$BA$3,FALSE),FALSE),"")</f>
        <v>PG 2</v>
      </c>
      <c r="P404" s="9" t="s">
        <v>29</v>
      </c>
      <c r="R404" s="9" t="str">
        <f t="shared" si="88"/>
        <v>Unterschrieben</v>
      </c>
      <c r="S404" s="14" t="s">
        <v>31</v>
      </c>
      <c r="U404" s="15">
        <f>IF(YEAR(C404)&lt;=2025,IFERROR(IF(I404="Hauswirtschaft",VLOOKUP($B404,[1]Kundenübersicht!$E$4:$BA$1003,MATCH("Hauswirtschaft [€/Stunde]",[1]Kundenübersicht!$E$3:$BA$3,FALSE),FALSE),VLOOKUP($B404,[1]Kundenübersicht!$E$4:$BA$1003,MATCH("Alltagsbegleitung [€/Stunde]",[1]Kundenübersicht!$E$3:$BA$3,FALSE),FALSE)),0),IFERROR(IF(I404="Hauswirtschaft",VLOOKUP($B404,[1]Kundenübersicht!$E$4:$BA$1003,MATCH("HW ab 2026 [€/Stunde]",[1]Kundenübersicht!$E$3:$BA$3,FALSE),FALSE),VLOOKUP($B404,[1]Kundenübersicht!$E$4:$BA$1003,MATCH("Alltagsbegleitung [€/Stunde]",[1]Kundenübersicht!$E$3:$BA$3,FALSE),FALSE)),0))</f>
        <v>32.75</v>
      </c>
      <c r="V404" s="16">
        <f t="shared" si="91"/>
        <v>98.25</v>
      </c>
      <c r="W404" s="16">
        <f t="shared" si="83"/>
        <v>0</v>
      </c>
      <c r="X404" s="16" t="str">
        <f>VLOOKUP(B404,[1]Kundenübersicht!E:AG,MATCH($X$3,[1]Kundenübersicht!$E$3:$AY$3,0),FALSE)</f>
        <v>Alt</v>
      </c>
      <c r="Z404" s="20" t="str">
        <f t="shared" si="97"/>
        <v>Ja</v>
      </c>
      <c r="AA404" s="19">
        <v>46062</v>
      </c>
      <c r="AC404" s="19"/>
      <c r="AE404" s="9">
        <f t="shared" si="98"/>
        <v>2025</v>
      </c>
      <c r="AF404" s="17" t="str">
        <f t="shared" si="99"/>
        <v>12.2025</v>
      </c>
      <c r="AG404" s="17" t="str">
        <f t="shared" si="100"/>
        <v>Christiane Fiebag</v>
      </c>
      <c r="AH404" s="17" t="str">
        <f>IFERROR(VLOOKUP(B404,[1]Kundenübersicht!$E$4:$F$85,2,FALSE),"")</f>
        <v>Matthias Roß</v>
      </c>
      <c r="AI404" s="17" t="str">
        <f t="shared" si="101"/>
        <v>Hauswirtschaft</v>
      </c>
      <c r="AJ404" s="17" t="str">
        <f t="shared" si="101"/>
        <v>Entlastungsleistung</v>
      </c>
      <c r="AL404" s="18">
        <f t="shared" si="94"/>
        <v>38</v>
      </c>
      <c r="AM404" s="18">
        <f t="shared" si="95"/>
        <v>114</v>
      </c>
      <c r="AN404" s="18">
        <f t="shared" si="96"/>
        <v>1.4</v>
      </c>
    </row>
    <row r="405" spans="2:40" x14ac:dyDescent="0.25">
      <c r="B405" s="30" t="s">
        <v>38</v>
      </c>
      <c r="C405" s="31">
        <v>45993</v>
      </c>
      <c r="D405" s="32">
        <v>0.32291666666666669</v>
      </c>
      <c r="E405" s="32">
        <v>0.38541666666666669</v>
      </c>
      <c r="F405" s="12">
        <f t="shared" si="90"/>
        <v>1.5</v>
      </c>
      <c r="G405" s="12">
        <v>7.4</v>
      </c>
      <c r="H405" s="30" t="s">
        <v>33</v>
      </c>
      <c r="I405" s="30" t="s">
        <v>27</v>
      </c>
      <c r="J405" s="30" t="s">
        <v>28</v>
      </c>
      <c r="K405" s="9" t="str">
        <f>IFERROR(VLOOKUP($B405,[1]Kundenübersicht!$E$4:$AC$1003,MATCH(K$3,[1]Kundenübersicht!$E$3:$BA$3,FALSE),FALSE),"")</f>
        <v>AOK PLUS</v>
      </c>
      <c r="L405" s="13">
        <f>IFERROR(VLOOKUP(B405,[1]Kundenübersicht!$E$4:$AC$1003,MATCH(L$3,[1]Kundenübersicht!$E$3:$BA$3,FALSE),FALSE),"")</f>
        <v>107299005</v>
      </c>
      <c r="M405" s="13" t="str">
        <f>IFERROR(VLOOKUP(B405,[1]Kundenübersicht!$E$4:$AC$1003,MATCH(M$3,[1]Kundenübersicht!$E$3:$BA$3,FALSE),FALSE),"")</f>
        <v>R782602114</v>
      </c>
      <c r="N405" s="13" t="str">
        <f>IFERROR(VLOOKUP(B405,[1]Kundenübersicht!$E$4:$AC$1003,MATCH(N$3,[1]Kundenübersicht!$E$3:$BA$3,FALSE),FALSE),"")</f>
        <v>PG 1</v>
      </c>
      <c r="P405" s="9" t="s">
        <v>29</v>
      </c>
      <c r="R405" s="9" t="str">
        <f t="shared" si="88"/>
        <v>Unterschrieben</v>
      </c>
      <c r="S405" s="14" t="s">
        <v>31</v>
      </c>
      <c r="U405" s="15">
        <f>IF(YEAR(C405)&lt;=2025,IFERROR(IF(I405="Hauswirtschaft",VLOOKUP($B405,[1]Kundenübersicht!$E$4:$BA$1003,MATCH("Hauswirtschaft [€/Stunde]",[1]Kundenübersicht!$E$3:$BA$3,FALSE),FALSE),VLOOKUP($B405,[1]Kundenübersicht!$E$4:$BA$1003,MATCH("Alltagsbegleitung [€/Stunde]",[1]Kundenübersicht!$E$3:$BA$3,FALSE),FALSE)),0),IFERROR(IF(I405="Hauswirtschaft",VLOOKUP($B405,[1]Kundenübersicht!$E$4:$BA$1003,MATCH("HW ab 2026 [€/Stunde]",[1]Kundenübersicht!$E$3:$BA$3,FALSE),FALSE),VLOOKUP($B405,[1]Kundenübersicht!$E$4:$BA$1003,MATCH("Alltagsbegleitung [€/Stunde]",[1]Kundenübersicht!$E$3:$BA$3,FALSE),FALSE)),0))</f>
        <v>32.75</v>
      </c>
      <c r="V405" s="16">
        <f t="shared" si="91"/>
        <v>49.125</v>
      </c>
      <c r="W405" s="16">
        <f t="shared" si="83"/>
        <v>0</v>
      </c>
      <c r="X405" s="16" t="str">
        <f>VLOOKUP(B405,[1]Kundenübersicht!E:AG,MATCH($X$3,[1]Kundenübersicht!$E$3:$AY$3,0),FALSE)</f>
        <v>Alt</v>
      </c>
      <c r="Z405" s="20" t="s">
        <v>29</v>
      </c>
      <c r="AA405" s="19">
        <v>46062</v>
      </c>
      <c r="AC405" s="19"/>
      <c r="AE405" s="9">
        <f t="shared" si="98"/>
        <v>2025</v>
      </c>
      <c r="AF405" s="17" t="str">
        <f t="shared" si="99"/>
        <v>12.2025</v>
      </c>
      <c r="AG405" s="17" t="str">
        <f t="shared" si="100"/>
        <v>Christiane Fiebag</v>
      </c>
      <c r="AH405" s="17" t="str">
        <f>IFERROR(VLOOKUP(B405,[1]Kundenübersicht!$E$4:$F$85,2,FALSE),"")</f>
        <v>Christian Jungnickel</v>
      </c>
      <c r="AI405" s="17" t="str">
        <f t="shared" si="101"/>
        <v>Hauswirtschaft</v>
      </c>
      <c r="AJ405" s="17" t="str">
        <f t="shared" si="101"/>
        <v>Entlastungsleistung</v>
      </c>
      <c r="AL405" s="18">
        <f t="shared" si="94"/>
        <v>38</v>
      </c>
      <c r="AM405" s="18">
        <f t="shared" si="95"/>
        <v>57</v>
      </c>
      <c r="AN405" s="18">
        <f t="shared" si="96"/>
        <v>2.59</v>
      </c>
    </row>
    <row r="406" spans="2:40" x14ac:dyDescent="0.25">
      <c r="B406" s="30" t="s">
        <v>38</v>
      </c>
      <c r="C406" s="31">
        <v>46008</v>
      </c>
      <c r="D406" s="32">
        <v>0.45833333333333331</v>
      </c>
      <c r="E406" s="32">
        <v>0.53125</v>
      </c>
      <c r="F406" s="12">
        <f t="shared" si="90"/>
        <v>1.7500000000000004</v>
      </c>
      <c r="G406" s="12">
        <v>4.5</v>
      </c>
      <c r="H406" s="30" t="s">
        <v>33</v>
      </c>
      <c r="I406" s="30" t="s">
        <v>27</v>
      </c>
      <c r="J406" s="30" t="s">
        <v>28</v>
      </c>
      <c r="K406" s="9" t="str">
        <f>IFERROR(VLOOKUP($B406,[1]Kundenübersicht!$E$4:$AC$1003,MATCH(K$3,[1]Kundenübersicht!$E$3:$BA$3,FALSE),FALSE),"")</f>
        <v>AOK PLUS</v>
      </c>
      <c r="L406" s="13">
        <f>IFERROR(VLOOKUP(B406,[1]Kundenübersicht!$E$4:$AC$1003,MATCH(L$3,[1]Kundenübersicht!$E$3:$BA$3,FALSE),FALSE),"")</f>
        <v>107299005</v>
      </c>
      <c r="M406" s="13" t="str">
        <f>IFERROR(VLOOKUP(B406,[1]Kundenübersicht!$E$4:$AC$1003,MATCH(M$3,[1]Kundenübersicht!$E$3:$BA$3,FALSE),FALSE),"")</f>
        <v>R782602114</v>
      </c>
      <c r="N406" s="13" t="str">
        <f>IFERROR(VLOOKUP(B406,[1]Kundenübersicht!$E$4:$AC$1003,MATCH(N$3,[1]Kundenübersicht!$E$3:$BA$3,FALSE),FALSE),"")</f>
        <v>PG 1</v>
      </c>
      <c r="P406" s="9" t="s">
        <v>29</v>
      </c>
      <c r="R406" s="9" t="str">
        <f t="shared" si="88"/>
        <v>Unterschrieben</v>
      </c>
      <c r="S406" s="14" t="s">
        <v>31</v>
      </c>
      <c r="U406" s="15">
        <f>IF(YEAR(C406)&lt;=2025,IFERROR(IF(I406="Hauswirtschaft",VLOOKUP($B406,[1]Kundenübersicht!$E$4:$BA$1003,MATCH("Hauswirtschaft [€/Stunde]",[1]Kundenübersicht!$E$3:$BA$3,FALSE),FALSE),VLOOKUP($B406,[1]Kundenübersicht!$E$4:$BA$1003,MATCH("Alltagsbegleitung [€/Stunde]",[1]Kundenübersicht!$E$3:$BA$3,FALSE),FALSE)),0),IFERROR(IF(I406="Hauswirtschaft",VLOOKUP($B406,[1]Kundenübersicht!$E$4:$BA$1003,MATCH("HW ab 2026 [€/Stunde]",[1]Kundenübersicht!$E$3:$BA$3,FALSE),FALSE),VLOOKUP($B406,[1]Kundenübersicht!$E$4:$BA$1003,MATCH("Alltagsbegleitung [€/Stunde]",[1]Kundenübersicht!$E$3:$BA$3,FALSE),FALSE)),0))</f>
        <v>32.75</v>
      </c>
      <c r="V406" s="16">
        <f t="shared" si="91"/>
        <v>57.312500000000014</v>
      </c>
      <c r="W406" s="16">
        <f t="shared" si="83"/>
        <v>0</v>
      </c>
      <c r="X406" s="16" t="str">
        <f>VLOOKUP(B406,[1]Kundenübersicht!E:AG,MATCH($X$3,[1]Kundenübersicht!$E$3:$AY$3,0),FALSE)</f>
        <v>Alt</v>
      </c>
      <c r="Z406" s="20" t="s">
        <v>29</v>
      </c>
      <c r="AA406" s="19">
        <v>46062</v>
      </c>
      <c r="AC406" s="19"/>
      <c r="AE406" s="9">
        <f t="shared" si="98"/>
        <v>2025</v>
      </c>
      <c r="AF406" s="17" t="str">
        <f t="shared" si="99"/>
        <v>12.2025</v>
      </c>
      <c r="AG406" s="17" t="str">
        <f t="shared" si="100"/>
        <v>Christiane Fiebag</v>
      </c>
      <c r="AH406" s="17" t="str">
        <f>IFERROR(VLOOKUP(B406,[1]Kundenübersicht!$E$4:$F$85,2,FALSE),"")</f>
        <v>Christian Jungnickel</v>
      </c>
      <c r="AI406" s="17" t="str">
        <f t="shared" si="101"/>
        <v>Hauswirtschaft</v>
      </c>
      <c r="AJ406" s="17" t="str">
        <f t="shared" si="101"/>
        <v>Entlastungsleistung</v>
      </c>
      <c r="AL406" s="18">
        <f t="shared" si="94"/>
        <v>38</v>
      </c>
      <c r="AM406" s="18">
        <f t="shared" si="95"/>
        <v>66.500000000000014</v>
      </c>
      <c r="AN406" s="18">
        <f t="shared" si="96"/>
        <v>1.575</v>
      </c>
    </row>
    <row r="407" spans="2:40" x14ac:dyDescent="0.25">
      <c r="B407" s="30" t="s">
        <v>88</v>
      </c>
      <c r="C407" s="31">
        <v>46042</v>
      </c>
      <c r="D407" s="32">
        <v>0.54166666666666663</v>
      </c>
      <c r="E407" s="32">
        <v>0.60416666666666663</v>
      </c>
      <c r="F407" s="12">
        <f t="shared" si="90"/>
        <v>1.5</v>
      </c>
      <c r="G407" s="12">
        <v>5.5</v>
      </c>
      <c r="H407" s="30" t="s">
        <v>77</v>
      </c>
      <c r="I407" s="30" t="s">
        <v>27</v>
      </c>
      <c r="J407" s="30" t="s">
        <v>28</v>
      </c>
      <c r="K407" s="9" t="str">
        <f>IFERROR(VLOOKUP($B407,[1]Kundenübersicht!$E$4:$AC$1003,MATCH(K$3,[1]Kundenübersicht!$E$3:$BA$3,FALSE),FALSE),"")</f>
        <v>AOK Baden-Württemberg</v>
      </c>
      <c r="L407" s="13">
        <f>IFERROR(VLOOKUP(B407,[1]Kundenübersicht!$E$4:$AC$1003,MATCH(L$3,[1]Kundenübersicht!$E$3:$BA$3,FALSE),FALSE),"")</f>
        <v>108018007</v>
      </c>
      <c r="M407" s="13" t="str">
        <f>IFERROR(VLOOKUP(B407,[1]Kundenübersicht!$E$4:$AC$1003,MATCH(M$3,[1]Kundenübersicht!$E$3:$BA$3,FALSE),FALSE),"")</f>
        <v>B715434538</v>
      </c>
      <c r="N407" s="13" t="str">
        <f>IFERROR(VLOOKUP(B407,[1]Kundenübersicht!$E$4:$AC$1003,MATCH(N$3,[1]Kundenübersicht!$E$3:$BA$3,FALSE),FALSE),"")</f>
        <v>PG 2</v>
      </c>
      <c r="P407" s="9" t="s">
        <v>29</v>
      </c>
      <c r="R407" s="9" t="str">
        <f t="shared" si="88"/>
        <v>Unterschrieben</v>
      </c>
      <c r="S407" s="14" t="s">
        <v>31</v>
      </c>
      <c r="U407" s="15">
        <f>IF(YEAR(C407)&lt;=2025,IFERROR(IF(I407="Hauswirtschaft",VLOOKUP($B407,[1]Kundenübersicht!$E$4:$BA$1003,MATCH("Hauswirtschaft [€/Stunde]",[1]Kundenübersicht!$E$3:$BA$3,FALSE),FALSE),VLOOKUP($B407,[1]Kundenübersicht!$E$4:$BA$1003,MATCH("Alltagsbegleitung [€/Stunde]",[1]Kundenübersicht!$E$3:$BA$3,FALSE),FALSE)),0),IFERROR(IF(I407="Hauswirtschaft",VLOOKUP($B407,[1]Kundenübersicht!$E$4:$BA$1003,MATCH("HW ab 2026 [€/Stunde]",[1]Kundenübersicht!$E$3:$BA$3,FALSE),FALSE),VLOOKUP($B407,[1]Kundenübersicht!$E$4:$BA$1003,MATCH("Alltagsbegleitung [€/Stunde]",[1]Kundenübersicht!$E$3:$BA$3,FALSE),FALSE)),0))</f>
        <v>38</v>
      </c>
      <c r="V407" s="16">
        <f t="shared" si="91"/>
        <v>57</v>
      </c>
      <c r="W407" s="16">
        <f t="shared" si="83"/>
        <v>1.9249999999999998</v>
      </c>
      <c r="X407" s="16" t="s">
        <v>89</v>
      </c>
      <c r="Z407" s="20" t="s">
        <v>29</v>
      </c>
      <c r="AA407" s="19">
        <v>46085</v>
      </c>
      <c r="AC407" s="19"/>
      <c r="AE407" s="9">
        <f t="shared" si="98"/>
        <v>2026</v>
      </c>
      <c r="AF407" s="17" t="str">
        <f t="shared" si="99"/>
        <v>01.2026</v>
      </c>
      <c r="AG407" s="17" t="str">
        <f t="shared" si="100"/>
        <v>Janet Klitzsch</v>
      </c>
      <c r="AH407" s="17" t="str">
        <f>IFERROR(VLOOKUP(B407,[1]Kundenübersicht!$E$4:$F$85,2,FALSE),"")</f>
        <v>Franziska Roderfeld</v>
      </c>
      <c r="AI407" s="17" t="str">
        <f t="shared" si="101"/>
        <v>Hauswirtschaft</v>
      </c>
      <c r="AJ407" s="17" t="str">
        <f t="shared" si="101"/>
        <v>Entlastungsleistung</v>
      </c>
      <c r="AL407" s="18">
        <f t="shared" si="94"/>
        <v>38</v>
      </c>
      <c r="AM407" s="18">
        <f t="shared" si="95"/>
        <v>57</v>
      </c>
      <c r="AN407" s="18">
        <f t="shared" si="96"/>
        <v>1.9249999999999998</v>
      </c>
    </row>
    <row r="408" spans="2:40" x14ac:dyDescent="0.25">
      <c r="B408" s="30" t="s">
        <v>78</v>
      </c>
      <c r="C408" s="31">
        <v>46031</v>
      </c>
      <c r="D408" s="32">
        <v>0.58333333333333337</v>
      </c>
      <c r="E408" s="32">
        <v>0.64583333333333337</v>
      </c>
      <c r="F408" s="12">
        <f t="shared" si="90"/>
        <v>1.5</v>
      </c>
      <c r="G408" s="12">
        <v>6.3</v>
      </c>
      <c r="H408" s="30" t="s">
        <v>77</v>
      </c>
      <c r="I408" s="30" t="s">
        <v>27</v>
      </c>
      <c r="J408" s="30" t="s">
        <v>28</v>
      </c>
      <c r="K408" s="9" t="str">
        <f>IFERROR(VLOOKUP($B408,[1]Kundenübersicht!$E$4:$AC$1003,MATCH(K$3,[1]Kundenübersicht!$E$3:$BA$3,FALSE),FALSE),"")</f>
        <v>AOK PLUS</v>
      </c>
      <c r="L408" s="13">
        <f>IFERROR(VLOOKUP(B408,[1]Kundenübersicht!$E$4:$AC$1003,MATCH(L$3,[1]Kundenübersicht!$E$3:$BA$3,FALSE),FALSE),"")</f>
        <v>107299005</v>
      </c>
      <c r="M408" s="13" t="str">
        <f>IFERROR(VLOOKUP(B408,[1]Kundenübersicht!$E$4:$AC$1003,MATCH(M$3,[1]Kundenübersicht!$E$3:$BA$3,FALSE),FALSE),"")</f>
        <v>H973915536</v>
      </c>
      <c r="N408" s="13" t="str">
        <f>IFERROR(VLOOKUP(B408,[1]Kundenübersicht!$E$4:$AC$1003,MATCH(N$3,[1]Kundenübersicht!$E$3:$BA$3,FALSE),FALSE),"")</f>
        <v>PG 2</v>
      </c>
      <c r="P408" s="9" t="s">
        <v>29</v>
      </c>
      <c r="R408" s="9" t="str">
        <f t="shared" si="88"/>
        <v>Unterschrieben</v>
      </c>
      <c r="S408" s="14" t="s">
        <v>31</v>
      </c>
      <c r="U408" s="15">
        <f>IF(YEAR(C408)&lt;=2025,IFERROR(IF(I408="Hauswirtschaft",VLOOKUP($B408,[1]Kundenübersicht!$E$4:$BA$1003,MATCH("Hauswirtschaft [€/Stunde]",[1]Kundenübersicht!$E$3:$BA$3,FALSE),FALSE),VLOOKUP($B408,[1]Kundenübersicht!$E$4:$BA$1003,MATCH("Alltagsbegleitung [€/Stunde]",[1]Kundenübersicht!$E$3:$BA$3,FALSE),FALSE)),0),IFERROR(IF(I408="Hauswirtschaft",VLOOKUP($B408,[1]Kundenübersicht!$E$4:$BA$1003,MATCH("HW ab 2026 [€/Stunde]",[1]Kundenübersicht!$E$3:$BA$3,FALSE),FALSE),VLOOKUP($B408,[1]Kundenübersicht!$E$4:$BA$1003,MATCH("Alltagsbegleitung [€/Stunde]",[1]Kundenübersicht!$E$3:$BA$3,FALSE),FALSE)),0))</f>
        <v>38</v>
      </c>
      <c r="V408" s="16">
        <f t="shared" si="91"/>
        <v>57</v>
      </c>
      <c r="W408" s="16">
        <f t="shared" ref="W408:W471" si="102">IF(AND(YEAR(C408)&lt;=2025,X408="Alt"),0,G408*0.35)</f>
        <v>2.2049999999999996</v>
      </c>
      <c r="X408" s="16" t="s">
        <v>89</v>
      </c>
      <c r="Z408" s="20" t="str">
        <f>IF(AA408&lt;"","Ja","Nein")</f>
        <v>Ja</v>
      </c>
      <c r="AA408" s="19">
        <v>46077</v>
      </c>
      <c r="AC408" s="19"/>
      <c r="AE408" s="9">
        <f t="shared" si="98"/>
        <v>2026</v>
      </c>
      <c r="AF408" s="17" t="str">
        <f t="shared" si="99"/>
        <v>01.2026</v>
      </c>
      <c r="AG408" s="17" t="str">
        <f t="shared" si="100"/>
        <v>Janet Klitzsch</v>
      </c>
      <c r="AH408" s="17" t="str">
        <f>IFERROR(VLOOKUP(B408,[1]Kundenübersicht!$E$4:$F$85,2,FALSE),"")</f>
        <v>Gunnar Schenke</v>
      </c>
      <c r="AI408" s="17" t="str">
        <f t="shared" si="101"/>
        <v>Hauswirtschaft</v>
      </c>
      <c r="AJ408" s="17" t="str">
        <f t="shared" si="101"/>
        <v>Entlastungsleistung</v>
      </c>
      <c r="AL408" s="18">
        <f t="shared" si="94"/>
        <v>38</v>
      </c>
      <c r="AM408" s="18">
        <f t="shared" si="95"/>
        <v>57</v>
      </c>
      <c r="AN408" s="18">
        <f t="shared" si="96"/>
        <v>2.2049999999999996</v>
      </c>
    </row>
    <row r="409" spans="2:40" x14ac:dyDescent="0.25">
      <c r="B409" s="30" t="s">
        <v>78</v>
      </c>
      <c r="C409" s="31">
        <v>46038</v>
      </c>
      <c r="D409" s="32">
        <v>0.58333333333333337</v>
      </c>
      <c r="E409" s="32">
        <v>0.64583333333333337</v>
      </c>
      <c r="F409" s="12">
        <f t="shared" si="90"/>
        <v>1.5</v>
      </c>
      <c r="G409" s="12">
        <v>6.3</v>
      </c>
      <c r="H409" s="30" t="s">
        <v>77</v>
      </c>
      <c r="I409" s="30" t="s">
        <v>27</v>
      </c>
      <c r="J409" s="30" t="s">
        <v>28</v>
      </c>
      <c r="K409" s="9" t="str">
        <f>IFERROR(VLOOKUP($B409,[1]Kundenübersicht!$E$4:$AC$1003,MATCH(K$3,[1]Kundenübersicht!$E$3:$BA$3,FALSE),FALSE),"")</f>
        <v>AOK PLUS</v>
      </c>
      <c r="L409" s="13">
        <f>IFERROR(VLOOKUP(B409,[1]Kundenübersicht!$E$4:$AC$1003,MATCH(L$3,[1]Kundenübersicht!$E$3:$BA$3,FALSE),FALSE),"")</f>
        <v>107299005</v>
      </c>
      <c r="M409" s="13" t="str">
        <f>IFERROR(VLOOKUP(B409,[1]Kundenübersicht!$E$4:$AC$1003,MATCH(M$3,[1]Kundenübersicht!$E$3:$BA$3,FALSE),FALSE),"")</f>
        <v>H973915536</v>
      </c>
      <c r="N409" s="13" t="str">
        <f>IFERROR(VLOOKUP(B409,[1]Kundenübersicht!$E$4:$AC$1003,MATCH(N$3,[1]Kundenübersicht!$E$3:$BA$3,FALSE),FALSE),"")</f>
        <v>PG 2</v>
      </c>
      <c r="P409" s="9" t="s">
        <v>29</v>
      </c>
      <c r="R409" s="9" t="str">
        <f t="shared" si="88"/>
        <v>Unterschrieben</v>
      </c>
      <c r="S409" s="14" t="s">
        <v>31</v>
      </c>
      <c r="U409" s="15">
        <f>IF(YEAR(C409)&lt;=2025,IFERROR(IF(I409="Hauswirtschaft",VLOOKUP($B409,[1]Kundenübersicht!$E$4:$BA$1003,MATCH("Hauswirtschaft [€/Stunde]",[1]Kundenübersicht!$E$3:$BA$3,FALSE),FALSE),VLOOKUP($B409,[1]Kundenübersicht!$E$4:$BA$1003,MATCH("Alltagsbegleitung [€/Stunde]",[1]Kundenübersicht!$E$3:$BA$3,FALSE),FALSE)),0),IFERROR(IF(I409="Hauswirtschaft",VLOOKUP($B409,[1]Kundenübersicht!$E$4:$BA$1003,MATCH("HW ab 2026 [€/Stunde]",[1]Kundenübersicht!$E$3:$BA$3,FALSE),FALSE),VLOOKUP($B409,[1]Kundenübersicht!$E$4:$BA$1003,MATCH("Alltagsbegleitung [€/Stunde]",[1]Kundenübersicht!$E$3:$BA$3,FALSE),FALSE)),0))</f>
        <v>38</v>
      </c>
      <c r="V409" s="16">
        <f t="shared" si="91"/>
        <v>57</v>
      </c>
      <c r="W409" s="16">
        <f t="shared" si="102"/>
        <v>2.2049999999999996</v>
      </c>
      <c r="X409" s="16" t="s">
        <v>89</v>
      </c>
      <c r="Z409" s="20" t="str">
        <f t="shared" ref="Z409" si="103">IF(AA409&lt;"","Ja","Nein")</f>
        <v>Ja</v>
      </c>
      <c r="AA409" s="19">
        <v>46077</v>
      </c>
      <c r="AC409" s="19"/>
      <c r="AE409" s="9">
        <f t="shared" si="98"/>
        <v>2026</v>
      </c>
      <c r="AF409" s="17" t="str">
        <f t="shared" si="99"/>
        <v>01.2026</v>
      </c>
      <c r="AG409" s="17" t="str">
        <f t="shared" si="100"/>
        <v>Janet Klitzsch</v>
      </c>
      <c r="AH409" s="17" t="str">
        <f>IFERROR(VLOOKUP(B409,[1]Kundenübersicht!$E$4:$F$85,2,FALSE),"")</f>
        <v>Gunnar Schenke</v>
      </c>
      <c r="AI409" s="17" t="str">
        <f t="shared" si="101"/>
        <v>Hauswirtschaft</v>
      </c>
      <c r="AJ409" s="17" t="str">
        <f t="shared" si="101"/>
        <v>Entlastungsleistung</v>
      </c>
      <c r="AL409" s="18">
        <f t="shared" si="94"/>
        <v>38</v>
      </c>
      <c r="AM409" s="18">
        <f t="shared" si="95"/>
        <v>57</v>
      </c>
      <c r="AN409" s="18">
        <f t="shared" si="96"/>
        <v>2.2049999999999996</v>
      </c>
    </row>
    <row r="410" spans="2:40" x14ac:dyDescent="0.25">
      <c r="B410" s="30" t="s">
        <v>45</v>
      </c>
      <c r="C410" s="31">
        <v>46027</v>
      </c>
      <c r="D410" s="32">
        <v>0.58333333333333337</v>
      </c>
      <c r="E410" s="32">
        <v>0.64583333333333337</v>
      </c>
      <c r="F410" s="12">
        <f t="shared" si="90"/>
        <v>1.5</v>
      </c>
      <c r="G410" s="12">
        <v>3.6</v>
      </c>
      <c r="H410" s="30" t="s">
        <v>77</v>
      </c>
      <c r="I410" s="30" t="s">
        <v>27</v>
      </c>
      <c r="J410" s="30" t="s">
        <v>28</v>
      </c>
      <c r="K410" s="9" t="str">
        <f>IFERROR(VLOOKUP($B410,[1]Kundenübersicht!$E$4:$AC$1003,MATCH(K$3,[1]Kundenübersicht!$E$3:$BA$3,FALSE),FALSE),"")</f>
        <v>AOK PLUS</v>
      </c>
      <c r="L410" s="13">
        <f>IFERROR(VLOOKUP(B410,[1]Kundenübersicht!$E$4:$AC$1003,MATCH(L$3,[1]Kundenübersicht!$E$3:$BA$3,FALSE),FALSE),"")</f>
        <v>107299005</v>
      </c>
      <c r="M410" s="13" t="str">
        <f>IFERROR(VLOOKUP(B410,[1]Kundenübersicht!$E$4:$AC$1003,MATCH(M$3,[1]Kundenübersicht!$E$3:$BA$3,FALSE),FALSE),"")</f>
        <v>F862750970</v>
      </c>
      <c r="N410" s="13" t="str">
        <f>IFERROR(VLOOKUP(B410,[1]Kundenübersicht!$E$4:$AC$1003,MATCH(N$3,[1]Kundenübersicht!$E$3:$BA$3,FALSE),FALSE),"")</f>
        <v>PG 1</v>
      </c>
      <c r="P410" s="9" t="s">
        <v>29</v>
      </c>
      <c r="R410" s="9" t="str">
        <f t="shared" si="88"/>
        <v>Unterschrieben</v>
      </c>
      <c r="S410" s="14" t="s">
        <v>31</v>
      </c>
      <c r="U410" s="15">
        <f>IF(YEAR(C410)&lt;=2025,IFERROR(IF(I410="Hauswirtschaft",VLOOKUP($B410,[1]Kundenübersicht!$E$4:$BA$1003,MATCH("Hauswirtschaft [€/Stunde]",[1]Kundenübersicht!$E$3:$BA$3,FALSE),FALSE),VLOOKUP($B410,[1]Kundenübersicht!$E$4:$BA$1003,MATCH("Alltagsbegleitung [€/Stunde]",[1]Kundenübersicht!$E$3:$BA$3,FALSE),FALSE)),0),IFERROR(IF(I410="Hauswirtschaft",VLOOKUP($B410,[1]Kundenübersicht!$E$4:$BA$1003,MATCH("HW ab 2026 [€/Stunde]",[1]Kundenübersicht!$E$3:$BA$3,FALSE),FALSE),VLOOKUP($B410,[1]Kundenübersicht!$E$4:$BA$1003,MATCH("Alltagsbegleitung [€/Stunde]",[1]Kundenübersicht!$E$3:$BA$3,FALSE),FALSE)),0))</f>
        <v>38</v>
      </c>
      <c r="V410" s="16">
        <f t="shared" si="91"/>
        <v>57</v>
      </c>
      <c r="W410" s="16">
        <f t="shared" si="102"/>
        <v>1.26</v>
      </c>
      <c r="X410" s="16" t="s">
        <v>89</v>
      </c>
      <c r="Z410" s="20" t="str">
        <f>IF(AA410="","Nein","Ja")</f>
        <v>Ja</v>
      </c>
      <c r="AA410" s="19">
        <v>46066</v>
      </c>
      <c r="AC410" s="19"/>
      <c r="AE410" s="9">
        <f t="shared" si="98"/>
        <v>2026</v>
      </c>
      <c r="AF410" s="17" t="str">
        <f t="shared" si="99"/>
        <v>01.2026</v>
      </c>
      <c r="AG410" s="17" t="str">
        <f t="shared" si="100"/>
        <v>Janet Klitzsch</v>
      </c>
      <c r="AH410" s="17" t="str">
        <f>IFERROR(VLOOKUP(B410,[1]Kundenübersicht!$E$4:$F$85,2,FALSE),"")</f>
        <v>Hella Reißig</v>
      </c>
      <c r="AI410" s="17" t="str">
        <f t="shared" si="101"/>
        <v>Hauswirtschaft</v>
      </c>
      <c r="AJ410" s="17" t="str">
        <f t="shared" si="101"/>
        <v>Entlastungsleistung</v>
      </c>
      <c r="AL410" s="18">
        <f t="shared" si="94"/>
        <v>38</v>
      </c>
      <c r="AM410" s="18">
        <f t="shared" si="95"/>
        <v>57</v>
      </c>
      <c r="AN410" s="18">
        <f t="shared" si="96"/>
        <v>1.26</v>
      </c>
    </row>
    <row r="411" spans="2:40" x14ac:dyDescent="0.25">
      <c r="B411" s="30" t="s">
        <v>45</v>
      </c>
      <c r="C411" s="31">
        <v>46034</v>
      </c>
      <c r="D411" s="32">
        <v>0.64583333333333337</v>
      </c>
      <c r="E411" s="32">
        <v>0.70833333333333337</v>
      </c>
      <c r="F411" s="12">
        <f t="shared" si="90"/>
        <v>1.5</v>
      </c>
      <c r="G411" s="12">
        <v>3.6</v>
      </c>
      <c r="H411" s="30" t="s">
        <v>77</v>
      </c>
      <c r="I411" s="30" t="s">
        <v>27</v>
      </c>
      <c r="J411" s="30" t="s">
        <v>28</v>
      </c>
      <c r="K411" s="9" t="str">
        <f>IFERROR(VLOOKUP($B411,[1]Kundenübersicht!$E$4:$AC$1003,MATCH(K$3,[1]Kundenübersicht!$E$3:$BA$3,FALSE),FALSE),"")</f>
        <v>AOK PLUS</v>
      </c>
      <c r="L411" s="13">
        <f>IFERROR(VLOOKUP(B411,[1]Kundenübersicht!$E$4:$AC$1003,MATCH(L$3,[1]Kundenübersicht!$E$3:$BA$3,FALSE),FALSE),"")</f>
        <v>107299005</v>
      </c>
      <c r="M411" s="13" t="str">
        <f>IFERROR(VLOOKUP(B411,[1]Kundenübersicht!$E$4:$AC$1003,MATCH(M$3,[1]Kundenübersicht!$E$3:$BA$3,FALSE),FALSE),"")</f>
        <v>F862750970</v>
      </c>
      <c r="N411" s="13" t="str">
        <f>IFERROR(VLOOKUP(B411,[1]Kundenübersicht!$E$4:$AC$1003,MATCH(N$3,[1]Kundenübersicht!$E$3:$BA$3,FALSE),FALSE),"")</f>
        <v>PG 1</v>
      </c>
      <c r="P411" s="9" t="s">
        <v>29</v>
      </c>
      <c r="R411" s="9" t="str">
        <f t="shared" si="88"/>
        <v>Unterschrieben</v>
      </c>
      <c r="S411" s="14" t="s">
        <v>31</v>
      </c>
      <c r="U411" s="15">
        <f>IF(YEAR(C411)&lt;=2025,IFERROR(IF(I411="Hauswirtschaft",VLOOKUP($B411,[1]Kundenübersicht!$E$4:$BA$1003,MATCH("Hauswirtschaft [€/Stunde]",[1]Kundenübersicht!$E$3:$BA$3,FALSE),FALSE),VLOOKUP($B411,[1]Kundenübersicht!$E$4:$BA$1003,MATCH("Alltagsbegleitung [€/Stunde]",[1]Kundenübersicht!$E$3:$BA$3,FALSE),FALSE)),0),IFERROR(IF(I411="Hauswirtschaft",VLOOKUP($B411,[1]Kundenübersicht!$E$4:$BA$1003,MATCH("HW ab 2026 [€/Stunde]",[1]Kundenübersicht!$E$3:$BA$3,FALSE),FALSE),VLOOKUP($B411,[1]Kundenübersicht!$E$4:$BA$1003,MATCH("Alltagsbegleitung [€/Stunde]",[1]Kundenübersicht!$E$3:$BA$3,FALSE),FALSE)),0))</f>
        <v>38</v>
      </c>
      <c r="V411" s="16">
        <f t="shared" si="91"/>
        <v>57</v>
      </c>
      <c r="W411" s="16">
        <f t="shared" si="102"/>
        <v>1.26</v>
      </c>
      <c r="X411" s="16" t="s">
        <v>89</v>
      </c>
      <c r="Z411" s="20" t="str">
        <f t="shared" ref="Z411:Z413" si="104">IF(AA411="","Nein","Ja")</f>
        <v>Ja</v>
      </c>
      <c r="AA411" s="19">
        <v>46066</v>
      </c>
      <c r="AC411" s="19"/>
      <c r="AE411" s="9">
        <f t="shared" si="98"/>
        <v>2026</v>
      </c>
      <c r="AF411" s="17" t="str">
        <f t="shared" si="99"/>
        <v>01.2026</v>
      </c>
      <c r="AG411" s="17" t="str">
        <f t="shared" si="100"/>
        <v>Janet Klitzsch</v>
      </c>
      <c r="AH411" s="17" t="str">
        <f>IFERROR(VLOOKUP(B411,[1]Kundenübersicht!$E$4:$F$85,2,FALSE),"")</f>
        <v>Hella Reißig</v>
      </c>
      <c r="AI411" s="17" t="str">
        <f t="shared" si="101"/>
        <v>Hauswirtschaft</v>
      </c>
      <c r="AJ411" s="17" t="str">
        <f t="shared" si="101"/>
        <v>Entlastungsleistung</v>
      </c>
      <c r="AL411" s="18">
        <f t="shared" si="94"/>
        <v>38</v>
      </c>
      <c r="AM411" s="18">
        <f t="shared" si="95"/>
        <v>57</v>
      </c>
      <c r="AN411" s="18">
        <f t="shared" si="96"/>
        <v>1.26</v>
      </c>
    </row>
    <row r="412" spans="2:40" x14ac:dyDescent="0.25">
      <c r="B412" s="30" t="s">
        <v>45</v>
      </c>
      <c r="C412" s="31">
        <v>46041</v>
      </c>
      <c r="D412" s="32">
        <v>0.64583333333333337</v>
      </c>
      <c r="E412" s="32">
        <v>0.70833333333333337</v>
      </c>
      <c r="F412" s="12">
        <f t="shared" si="90"/>
        <v>1.5</v>
      </c>
      <c r="G412" s="12">
        <v>3.6</v>
      </c>
      <c r="H412" s="30" t="s">
        <v>77</v>
      </c>
      <c r="I412" s="30" t="s">
        <v>27</v>
      </c>
      <c r="J412" s="30" t="s">
        <v>28</v>
      </c>
      <c r="K412" s="9" t="str">
        <f>IFERROR(VLOOKUP($B412,[1]Kundenübersicht!$E$4:$AC$1003,MATCH(K$3,[1]Kundenübersicht!$E$3:$BA$3,FALSE),FALSE),"")</f>
        <v>AOK PLUS</v>
      </c>
      <c r="L412" s="13">
        <f>IFERROR(VLOOKUP(B412,[1]Kundenübersicht!$E$4:$AC$1003,MATCH(L$3,[1]Kundenübersicht!$E$3:$BA$3,FALSE),FALSE),"")</f>
        <v>107299005</v>
      </c>
      <c r="M412" s="13" t="str">
        <f>IFERROR(VLOOKUP(B412,[1]Kundenübersicht!$E$4:$AC$1003,MATCH(M$3,[1]Kundenübersicht!$E$3:$BA$3,FALSE),FALSE),"")</f>
        <v>F862750970</v>
      </c>
      <c r="N412" s="13" t="str">
        <f>IFERROR(VLOOKUP(B412,[1]Kundenübersicht!$E$4:$AC$1003,MATCH(N$3,[1]Kundenübersicht!$E$3:$BA$3,FALSE),FALSE),"")</f>
        <v>PG 1</v>
      </c>
      <c r="P412" s="9" t="s">
        <v>29</v>
      </c>
      <c r="R412" s="9" t="str">
        <f t="shared" si="88"/>
        <v>Unterschrieben</v>
      </c>
      <c r="S412" s="14" t="s">
        <v>31</v>
      </c>
      <c r="U412" s="15">
        <f>IF(YEAR(C412)&lt;=2025,IFERROR(IF(I412="Hauswirtschaft",VLOOKUP($B412,[1]Kundenübersicht!$E$4:$BA$1003,MATCH("Hauswirtschaft [€/Stunde]",[1]Kundenübersicht!$E$3:$BA$3,FALSE),FALSE),VLOOKUP($B412,[1]Kundenübersicht!$E$4:$BA$1003,MATCH("Alltagsbegleitung [€/Stunde]",[1]Kundenübersicht!$E$3:$BA$3,FALSE),FALSE)),0),IFERROR(IF(I412="Hauswirtschaft",VLOOKUP($B412,[1]Kundenübersicht!$E$4:$BA$1003,MATCH("HW ab 2026 [€/Stunde]",[1]Kundenübersicht!$E$3:$BA$3,FALSE),FALSE),VLOOKUP($B412,[1]Kundenübersicht!$E$4:$BA$1003,MATCH("Alltagsbegleitung [€/Stunde]",[1]Kundenübersicht!$E$3:$BA$3,FALSE),FALSE)),0))</f>
        <v>38</v>
      </c>
      <c r="V412" s="16">
        <f t="shared" si="91"/>
        <v>57</v>
      </c>
      <c r="W412" s="16">
        <f t="shared" si="102"/>
        <v>1.26</v>
      </c>
      <c r="X412" s="16" t="s">
        <v>89</v>
      </c>
      <c r="Z412" s="20" t="str">
        <f t="shared" si="104"/>
        <v>Ja</v>
      </c>
      <c r="AA412" s="19">
        <v>46066</v>
      </c>
      <c r="AC412" s="19"/>
      <c r="AE412" s="9">
        <f t="shared" si="98"/>
        <v>2026</v>
      </c>
      <c r="AF412" s="17" t="str">
        <f t="shared" si="99"/>
        <v>01.2026</v>
      </c>
      <c r="AG412" s="17" t="str">
        <f t="shared" si="100"/>
        <v>Janet Klitzsch</v>
      </c>
      <c r="AH412" s="17" t="str">
        <f>IFERROR(VLOOKUP(B412,[1]Kundenübersicht!$E$4:$F$85,2,FALSE),"")</f>
        <v>Hella Reißig</v>
      </c>
      <c r="AI412" s="17" t="str">
        <f t="shared" si="101"/>
        <v>Hauswirtschaft</v>
      </c>
      <c r="AJ412" s="17" t="str">
        <f t="shared" si="101"/>
        <v>Entlastungsleistung</v>
      </c>
      <c r="AL412" s="18">
        <f t="shared" si="94"/>
        <v>38</v>
      </c>
      <c r="AM412" s="18">
        <f t="shared" si="95"/>
        <v>57</v>
      </c>
      <c r="AN412" s="18">
        <f t="shared" si="96"/>
        <v>1.26</v>
      </c>
    </row>
    <row r="413" spans="2:40" x14ac:dyDescent="0.25">
      <c r="B413" s="30" t="s">
        <v>45</v>
      </c>
      <c r="C413" s="31">
        <v>46048</v>
      </c>
      <c r="D413" s="32">
        <v>0.64583333333333337</v>
      </c>
      <c r="E413" s="32">
        <v>0.70833333333333337</v>
      </c>
      <c r="F413" s="12">
        <f t="shared" si="90"/>
        <v>1.5</v>
      </c>
      <c r="G413" s="12">
        <v>3.6</v>
      </c>
      <c r="H413" s="30" t="s">
        <v>77</v>
      </c>
      <c r="I413" s="30" t="s">
        <v>27</v>
      </c>
      <c r="J413" s="30" t="s">
        <v>28</v>
      </c>
      <c r="K413" s="9" t="str">
        <f>IFERROR(VLOOKUP($B413,[1]Kundenübersicht!$E$4:$AC$1003,MATCH(K$3,[1]Kundenübersicht!$E$3:$BA$3,FALSE),FALSE),"")</f>
        <v>AOK PLUS</v>
      </c>
      <c r="L413" s="13">
        <f>IFERROR(VLOOKUP(B413,[1]Kundenübersicht!$E$4:$AC$1003,MATCH(L$3,[1]Kundenübersicht!$E$3:$BA$3,FALSE),FALSE),"")</f>
        <v>107299005</v>
      </c>
      <c r="M413" s="13" t="str">
        <f>IFERROR(VLOOKUP(B413,[1]Kundenübersicht!$E$4:$AC$1003,MATCH(M$3,[1]Kundenübersicht!$E$3:$BA$3,FALSE),FALSE),"")</f>
        <v>F862750970</v>
      </c>
      <c r="N413" s="13" t="str">
        <f>IFERROR(VLOOKUP(B413,[1]Kundenübersicht!$E$4:$AC$1003,MATCH(N$3,[1]Kundenübersicht!$E$3:$BA$3,FALSE),FALSE),"")</f>
        <v>PG 1</v>
      </c>
      <c r="P413" s="9" t="s">
        <v>29</v>
      </c>
      <c r="R413" s="9" t="str">
        <f t="shared" si="88"/>
        <v>Unterschrieben</v>
      </c>
      <c r="S413" s="14" t="s">
        <v>31</v>
      </c>
      <c r="U413" s="15">
        <f>IF(YEAR(C413)&lt;=2025,IFERROR(IF(I413="Hauswirtschaft",VLOOKUP($B413,[1]Kundenübersicht!$E$4:$BA$1003,MATCH("Hauswirtschaft [€/Stunde]",[1]Kundenübersicht!$E$3:$BA$3,FALSE),FALSE),VLOOKUP($B413,[1]Kundenübersicht!$E$4:$BA$1003,MATCH("Alltagsbegleitung [€/Stunde]",[1]Kundenübersicht!$E$3:$BA$3,FALSE),FALSE)),0),IFERROR(IF(I413="Hauswirtschaft",VLOOKUP($B413,[1]Kundenübersicht!$E$4:$BA$1003,MATCH("HW ab 2026 [€/Stunde]",[1]Kundenübersicht!$E$3:$BA$3,FALSE),FALSE),VLOOKUP($B413,[1]Kundenübersicht!$E$4:$BA$1003,MATCH("Alltagsbegleitung [€/Stunde]",[1]Kundenübersicht!$E$3:$BA$3,FALSE),FALSE)),0))</f>
        <v>38</v>
      </c>
      <c r="V413" s="16">
        <f t="shared" si="91"/>
        <v>57</v>
      </c>
      <c r="W413" s="16">
        <f t="shared" si="102"/>
        <v>1.26</v>
      </c>
      <c r="X413" s="16" t="s">
        <v>89</v>
      </c>
      <c r="Z413" s="20" t="str">
        <f t="shared" si="104"/>
        <v>Ja</v>
      </c>
      <c r="AA413" s="19">
        <v>46066</v>
      </c>
      <c r="AC413" s="19"/>
      <c r="AE413" s="9">
        <f t="shared" si="98"/>
        <v>2026</v>
      </c>
      <c r="AF413" s="17" t="str">
        <f t="shared" si="99"/>
        <v>01.2026</v>
      </c>
      <c r="AG413" s="17" t="str">
        <f t="shared" si="100"/>
        <v>Janet Klitzsch</v>
      </c>
      <c r="AH413" s="17" t="str">
        <f>IFERROR(VLOOKUP(B413,[1]Kundenübersicht!$E$4:$F$85,2,FALSE),"")</f>
        <v>Hella Reißig</v>
      </c>
      <c r="AI413" s="17" t="str">
        <f t="shared" si="101"/>
        <v>Hauswirtschaft</v>
      </c>
      <c r="AJ413" s="17" t="str">
        <f t="shared" si="101"/>
        <v>Entlastungsleistung</v>
      </c>
      <c r="AL413" s="18">
        <f t="shared" si="94"/>
        <v>38</v>
      </c>
      <c r="AM413" s="18">
        <f t="shared" si="95"/>
        <v>57</v>
      </c>
      <c r="AN413" s="18">
        <f t="shared" si="96"/>
        <v>1.26</v>
      </c>
    </row>
    <row r="414" spans="2:40" x14ac:dyDescent="0.25">
      <c r="B414" s="30" t="s">
        <v>90</v>
      </c>
      <c r="C414" s="31">
        <v>46049</v>
      </c>
      <c r="D414" s="32">
        <v>0.54166666666666663</v>
      </c>
      <c r="E414" s="32">
        <v>0.60416666666666663</v>
      </c>
      <c r="F414" s="12">
        <f t="shared" si="90"/>
        <v>1.5</v>
      </c>
      <c r="G414" s="12">
        <v>5.5</v>
      </c>
      <c r="H414" s="30" t="s">
        <v>77</v>
      </c>
      <c r="I414" s="30" t="s">
        <v>27</v>
      </c>
      <c r="J414" s="30" t="s">
        <v>28</v>
      </c>
      <c r="K414" s="9" t="str">
        <f>IFERROR(VLOOKUP($B414,[1]Kundenübersicht!$E$4:$AC$1003,MATCH(K$3,[1]Kundenübersicht!$E$3:$BA$3,FALSE),FALSE),"")</f>
        <v>AOK Baden-Württemberg</v>
      </c>
      <c r="L414" s="13">
        <f>IFERROR(VLOOKUP(B414,[1]Kundenübersicht!$E$4:$AC$1003,MATCH(L$3,[1]Kundenübersicht!$E$3:$BA$3,FALSE),FALSE),"")</f>
        <v>108018007</v>
      </c>
      <c r="M414" s="13" t="str">
        <f>IFERROR(VLOOKUP(B414,[1]Kundenübersicht!$E$4:$AC$1003,MATCH(M$3,[1]Kundenübersicht!$E$3:$BA$3,FALSE),FALSE),"")</f>
        <v>H314976082</v>
      </c>
      <c r="N414" s="13" t="str">
        <f>IFERROR(VLOOKUP(B414,[1]Kundenübersicht!$E$4:$AC$1003,MATCH(N$3,[1]Kundenübersicht!$E$3:$BA$3,FALSE),FALSE),"")</f>
        <v>PG 3</v>
      </c>
      <c r="P414" s="9" t="s">
        <v>29</v>
      </c>
      <c r="R414" s="9" t="str">
        <f t="shared" si="88"/>
        <v>Unterschrieben</v>
      </c>
      <c r="S414" s="14" t="s">
        <v>31</v>
      </c>
      <c r="U414" s="15">
        <f>IF(YEAR(C414)&lt;=2025,IFERROR(IF(I414="Hauswirtschaft",VLOOKUP($B414,[1]Kundenübersicht!$E$4:$BA$1003,MATCH("Hauswirtschaft [€/Stunde]",[1]Kundenübersicht!$E$3:$BA$3,FALSE),FALSE),VLOOKUP($B414,[1]Kundenübersicht!$E$4:$BA$1003,MATCH("Alltagsbegleitung [€/Stunde]",[1]Kundenübersicht!$E$3:$BA$3,FALSE),FALSE)),0),IFERROR(IF(I414="Hauswirtschaft",VLOOKUP($B414,[1]Kundenübersicht!$E$4:$BA$1003,MATCH("HW ab 2026 [€/Stunde]",[1]Kundenübersicht!$E$3:$BA$3,FALSE),FALSE),VLOOKUP($B414,[1]Kundenübersicht!$E$4:$BA$1003,MATCH("Alltagsbegleitung [€/Stunde]",[1]Kundenübersicht!$E$3:$BA$3,FALSE),FALSE)),0))</f>
        <v>38</v>
      </c>
      <c r="V414" s="16">
        <f t="shared" si="91"/>
        <v>57</v>
      </c>
      <c r="W414" s="16">
        <f t="shared" si="102"/>
        <v>1.9249999999999998</v>
      </c>
      <c r="X414" s="16" t="s">
        <v>89</v>
      </c>
      <c r="Z414" s="20" t="s">
        <v>29</v>
      </c>
      <c r="AA414" s="19">
        <v>46085</v>
      </c>
      <c r="AC414" s="19"/>
      <c r="AE414" s="9">
        <f t="shared" si="98"/>
        <v>2026</v>
      </c>
      <c r="AF414" s="17" t="str">
        <f t="shared" si="99"/>
        <v>01.2026</v>
      </c>
      <c r="AG414" s="17" t="str">
        <f t="shared" si="100"/>
        <v>Janet Klitzsch</v>
      </c>
      <c r="AH414" s="17" t="str">
        <f>IFERROR(VLOOKUP(B414,[1]Kundenübersicht!$E$4:$F$85,2,FALSE),"")</f>
        <v>Julian Pascal Roderfeld</v>
      </c>
      <c r="AI414" s="17" t="str">
        <f t="shared" si="101"/>
        <v>Hauswirtschaft</v>
      </c>
      <c r="AJ414" s="17" t="str">
        <f t="shared" si="101"/>
        <v>Entlastungsleistung</v>
      </c>
      <c r="AL414" s="18">
        <f t="shared" si="94"/>
        <v>38</v>
      </c>
      <c r="AM414" s="18">
        <f t="shared" si="95"/>
        <v>57</v>
      </c>
      <c r="AN414" s="18">
        <f t="shared" si="96"/>
        <v>1.9249999999999998</v>
      </c>
    </row>
    <row r="415" spans="2:40" x14ac:dyDescent="0.25">
      <c r="B415" s="30" t="s">
        <v>79</v>
      </c>
      <c r="C415" s="31">
        <v>46029</v>
      </c>
      <c r="D415" s="32">
        <v>0.58333333333333337</v>
      </c>
      <c r="E415" s="32">
        <v>0.66666666666666663</v>
      </c>
      <c r="F415" s="12">
        <f t="shared" si="90"/>
        <v>1.9999999999999982</v>
      </c>
      <c r="G415" s="12">
        <v>2.4</v>
      </c>
      <c r="H415" s="30" t="s">
        <v>77</v>
      </c>
      <c r="I415" s="30" t="s">
        <v>27</v>
      </c>
      <c r="J415" s="30" t="s">
        <v>28</v>
      </c>
      <c r="K415" s="9" t="str">
        <f>IFERROR(VLOOKUP($B415,[1]Kundenübersicht!$E$4:$AC$1003,MATCH(K$3,[1]Kundenübersicht!$E$3:$BA$3,FALSE),FALSE),"")</f>
        <v>AOK PLUS</v>
      </c>
      <c r="L415" s="13">
        <f>IFERROR(VLOOKUP(B415,[1]Kundenübersicht!$E$4:$AC$1003,MATCH(L$3,[1]Kundenübersicht!$E$3:$BA$3,FALSE),FALSE),"")</f>
        <v>107299005</v>
      </c>
      <c r="M415" s="13" t="str">
        <f>IFERROR(VLOOKUP(B415,[1]Kundenübersicht!$E$4:$AC$1003,MATCH(M$3,[1]Kundenübersicht!$E$3:$BA$3,FALSE),FALSE),"")</f>
        <v>Z531781988</v>
      </c>
      <c r="N415" s="13" t="str">
        <f>IFERROR(VLOOKUP(B415,[1]Kundenübersicht!$E$4:$AC$1003,MATCH(N$3,[1]Kundenübersicht!$E$3:$BA$3,FALSE),FALSE),"")</f>
        <v>PG 1</v>
      </c>
      <c r="P415" s="9" t="s">
        <v>29</v>
      </c>
      <c r="R415" s="9" t="str">
        <f t="shared" si="88"/>
        <v>Unterschrieben</v>
      </c>
      <c r="S415" s="14" t="s">
        <v>31</v>
      </c>
      <c r="U415" s="15">
        <f>IF(YEAR(C415)&lt;=2025,IFERROR(IF(I415="Hauswirtschaft",VLOOKUP($B415,[1]Kundenübersicht!$E$4:$BA$1003,MATCH("Hauswirtschaft [€/Stunde]",[1]Kundenübersicht!$E$3:$BA$3,FALSE),FALSE),VLOOKUP($B415,[1]Kundenübersicht!$E$4:$BA$1003,MATCH("Alltagsbegleitung [€/Stunde]",[1]Kundenübersicht!$E$3:$BA$3,FALSE),FALSE)),0),IFERROR(IF(I415="Hauswirtschaft",VLOOKUP($B415,[1]Kundenübersicht!$E$4:$BA$1003,MATCH("HW ab 2026 [€/Stunde]",[1]Kundenübersicht!$E$3:$BA$3,FALSE),FALSE),VLOOKUP($B415,[1]Kundenübersicht!$E$4:$BA$1003,MATCH("Alltagsbegleitung [€/Stunde]",[1]Kundenübersicht!$E$3:$BA$3,FALSE),FALSE)),0))</f>
        <v>38</v>
      </c>
      <c r="V415" s="16">
        <f t="shared" si="91"/>
        <v>75.999999999999929</v>
      </c>
      <c r="W415" s="16">
        <f t="shared" si="102"/>
        <v>0.84</v>
      </c>
      <c r="X415" s="16" t="s">
        <v>89</v>
      </c>
      <c r="Z415" s="20" t="str">
        <f t="shared" ref="Z415:Z418" si="105">IF(AA415="","Nein","Ja")</f>
        <v>Ja</v>
      </c>
      <c r="AA415" s="19">
        <v>46066</v>
      </c>
      <c r="AC415" s="19"/>
      <c r="AE415" s="9">
        <f t="shared" si="98"/>
        <v>2026</v>
      </c>
      <c r="AF415" s="17" t="str">
        <f t="shared" si="99"/>
        <v>01.2026</v>
      </c>
      <c r="AG415" s="17" t="str">
        <f t="shared" si="100"/>
        <v>Janet Klitzsch</v>
      </c>
      <c r="AH415" s="17" t="str">
        <f>IFERROR(VLOOKUP(B415,[1]Kundenübersicht!$E$4:$F$85,2,FALSE),"")</f>
        <v>Lianne Kröher</v>
      </c>
      <c r="AI415" s="17" t="str">
        <f t="shared" si="101"/>
        <v>Hauswirtschaft</v>
      </c>
      <c r="AJ415" s="17" t="str">
        <f t="shared" si="101"/>
        <v>Entlastungsleistung</v>
      </c>
      <c r="AL415" s="18">
        <f t="shared" si="94"/>
        <v>38</v>
      </c>
      <c r="AM415" s="18">
        <f t="shared" si="95"/>
        <v>75.999999999999929</v>
      </c>
      <c r="AN415" s="18">
        <f t="shared" si="96"/>
        <v>0.84</v>
      </c>
    </row>
    <row r="416" spans="2:40" x14ac:dyDescent="0.25">
      <c r="B416" s="30" t="s">
        <v>79</v>
      </c>
      <c r="C416" s="31">
        <v>46036</v>
      </c>
      <c r="D416" s="32">
        <v>0.58333333333333337</v>
      </c>
      <c r="E416" s="32">
        <v>0.66666666666666663</v>
      </c>
      <c r="F416" s="12">
        <f t="shared" si="90"/>
        <v>1.9999999999999982</v>
      </c>
      <c r="G416" s="12">
        <v>2.4</v>
      </c>
      <c r="H416" s="30" t="s">
        <v>77</v>
      </c>
      <c r="I416" s="30" t="s">
        <v>27</v>
      </c>
      <c r="J416" s="30" t="s">
        <v>28</v>
      </c>
      <c r="K416" s="9" t="str">
        <f>IFERROR(VLOOKUP($B416,[1]Kundenübersicht!$E$4:$AC$1003,MATCH(K$3,[1]Kundenübersicht!$E$3:$BA$3,FALSE),FALSE),"")</f>
        <v>AOK PLUS</v>
      </c>
      <c r="L416" s="13">
        <f>IFERROR(VLOOKUP(B416,[1]Kundenübersicht!$E$4:$AC$1003,MATCH(L$3,[1]Kundenübersicht!$E$3:$BA$3,FALSE),FALSE),"")</f>
        <v>107299005</v>
      </c>
      <c r="M416" s="13" t="str">
        <f>IFERROR(VLOOKUP(B416,[1]Kundenübersicht!$E$4:$AC$1003,MATCH(M$3,[1]Kundenübersicht!$E$3:$BA$3,FALSE),FALSE),"")</f>
        <v>Z531781988</v>
      </c>
      <c r="N416" s="13" t="str">
        <f>IFERROR(VLOOKUP(B416,[1]Kundenübersicht!$E$4:$AC$1003,MATCH(N$3,[1]Kundenübersicht!$E$3:$BA$3,FALSE),FALSE),"")</f>
        <v>PG 1</v>
      </c>
      <c r="P416" s="9" t="s">
        <v>29</v>
      </c>
      <c r="R416" s="9" t="str">
        <f t="shared" si="88"/>
        <v>Unterschrieben</v>
      </c>
      <c r="S416" s="14" t="s">
        <v>31</v>
      </c>
      <c r="U416" s="15">
        <f>IF(YEAR(C416)&lt;=2025,IFERROR(IF(I416="Hauswirtschaft",VLOOKUP($B416,[1]Kundenübersicht!$E$4:$BA$1003,MATCH("Hauswirtschaft [€/Stunde]",[1]Kundenübersicht!$E$3:$BA$3,FALSE),FALSE),VLOOKUP($B416,[1]Kundenübersicht!$E$4:$BA$1003,MATCH("Alltagsbegleitung [€/Stunde]",[1]Kundenübersicht!$E$3:$BA$3,FALSE),FALSE)),0),IFERROR(IF(I416="Hauswirtschaft",VLOOKUP($B416,[1]Kundenübersicht!$E$4:$BA$1003,MATCH("HW ab 2026 [€/Stunde]",[1]Kundenübersicht!$E$3:$BA$3,FALSE),FALSE),VLOOKUP($B416,[1]Kundenübersicht!$E$4:$BA$1003,MATCH("Alltagsbegleitung [€/Stunde]",[1]Kundenübersicht!$E$3:$BA$3,FALSE),FALSE)),0))</f>
        <v>38</v>
      </c>
      <c r="V416" s="16">
        <f t="shared" si="91"/>
        <v>75.999999999999929</v>
      </c>
      <c r="W416" s="16">
        <f t="shared" si="102"/>
        <v>0.84</v>
      </c>
      <c r="X416" s="16" t="s">
        <v>89</v>
      </c>
      <c r="Z416" s="20" t="str">
        <f t="shared" si="105"/>
        <v>Ja</v>
      </c>
      <c r="AA416" s="19">
        <v>46066</v>
      </c>
      <c r="AC416" s="19"/>
      <c r="AE416" s="9">
        <f t="shared" si="98"/>
        <v>2026</v>
      </c>
      <c r="AF416" s="17" t="str">
        <f t="shared" si="99"/>
        <v>01.2026</v>
      </c>
      <c r="AG416" s="17" t="str">
        <f t="shared" si="100"/>
        <v>Janet Klitzsch</v>
      </c>
      <c r="AH416" s="17" t="str">
        <f>IFERROR(VLOOKUP(B416,[1]Kundenübersicht!$E$4:$F$85,2,FALSE),"")</f>
        <v>Lianne Kröher</v>
      </c>
      <c r="AI416" s="17" t="str">
        <f t="shared" si="101"/>
        <v>Hauswirtschaft</v>
      </c>
      <c r="AJ416" s="17" t="str">
        <f t="shared" si="101"/>
        <v>Entlastungsleistung</v>
      </c>
      <c r="AL416" s="18">
        <f t="shared" si="94"/>
        <v>38</v>
      </c>
      <c r="AM416" s="18">
        <f t="shared" si="95"/>
        <v>75.999999999999929</v>
      </c>
      <c r="AN416" s="18">
        <f t="shared" si="96"/>
        <v>0.84</v>
      </c>
    </row>
    <row r="417" spans="2:40" x14ac:dyDescent="0.25">
      <c r="B417" s="30" t="s">
        <v>79</v>
      </c>
      <c r="C417" s="31">
        <v>46043</v>
      </c>
      <c r="D417" s="32">
        <v>0.58333333333333337</v>
      </c>
      <c r="E417" s="32">
        <v>0.66666666666666663</v>
      </c>
      <c r="F417" s="12">
        <f t="shared" si="90"/>
        <v>1.9999999999999982</v>
      </c>
      <c r="G417" s="12">
        <v>2.4</v>
      </c>
      <c r="H417" s="30" t="s">
        <v>77</v>
      </c>
      <c r="I417" s="30" t="s">
        <v>27</v>
      </c>
      <c r="J417" s="30" t="s">
        <v>28</v>
      </c>
      <c r="K417" s="9" t="str">
        <f>IFERROR(VLOOKUP($B417,[1]Kundenübersicht!$E$4:$AC$1003,MATCH(K$3,[1]Kundenübersicht!$E$3:$BA$3,FALSE),FALSE),"")</f>
        <v>AOK PLUS</v>
      </c>
      <c r="L417" s="13">
        <f>IFERROR(VLOOKUP(B417,[1]Kundenübersicht!$E$4:$AC$1003,MATCH(L$3,[1]Kundenübersicht!$E$3:$BA$3,FALSE),FALSE),"")</f>
        <v>107299005</v>
      </c>
      <c r="M417" s="13" t="str">
        <f>IFERROR(VLOOKUP(B417,[1]Kundenübersicht!$E$4:$AC$1003,MATCH(M$3,[1]Kundenübersicht!$E$3:$BA$3,FALSE),FALSE),"")</f>
        <v>Z531781988</v>
      </c>
      <c r="N417" s="13" t="str">
        <f>IFERROR(VLOOKUP(B417,[1]Kundenübersicht!$E$4:$AC$1003,MATCH(N$3,[1]Kundenübersicht!$E$3:$BA$3,FALSE),FALSE),"")</f>
        <v>PG 1</v>
      </c>
      <c r="P417" s="9" t="s">
        <v>29</v>
      </c>
      <c r="R417" s="9" t="str">
        <f t="shared" si="88"/>
        <v>Unterschrieben</v>
      </c>
      <c r="S417" s="14" t="s">
        <v>31</v>
      </c>
      <c r="U417" s="15">
        <f>IF(YEAR(C417)&lt;=2025,IFERROR(IF(I417="Hauswirtschaft",VLOOKUP($B417,[1]Kundenübersicht!$E$4:$BA$1003,MATCH("Hauswirtschaft [€/Stunde]",[1]Kundenübersicht!$E$3:$BA$3,FALSE),FALSE),VLOOKUP($B417,[1]Kundenübersicht!$E$4:$BA$1003,MATCH("Alltagsbegleitung [€/Stunde]",[1]Kundenübersicht!$E$3:$BA$3,FALSE),FALSE)),0),IFERROR(IF(I417="Hauswirtschaft",VLOOKUP($B417,[1]Kundenübersicht!$E$4:$BA$1003,MATCH("HW ab 2026 [€/Stunde]",[1]Kundenübersicht!$E$3:$BA$3,FALSE),FALSE),VLOOKUP($B417,[1]Kundenübersicht!$E$4:$BA$1003,MATCH("Alltagsbegleitung [€/Stunde]",[1]Kundenübersicht!$E$3:$BA$3,FALSE),FALSE)),0))</f>
        <v>38</v>
      </c>
      <c r="V417" s="16">
        <f t="shared" si="91"/>
        <v>75.999999999999929</v>
      </c>
      <c r="W417" s="16">
        <f t="shared" si="102"/>
        <v>0.84</v>
      </c>
      <c r="X417" s="16" t="s">
        <v>89</v>
      </c>
      <c r="Z417" s="20" t="str">
        <f t="shared" si="105"/>
        <v>Ja</v>
      </c>
      <c r="AA417" s="19">
        <v>46066</v>
      </c>
      <c r="AC417" s="19"/>
      <c r="AE417" s="9">
        <f t="shared" si="98"/>
        <v>2026</v>
      </c>
      <c r="AF417" s="17" t="str">
        <f t="shared" si="99"/>
        <v>01.2026</v>
      </c>
      <c r="AG417" s="17" t="str">
        <f t="shared" si="100"/>
        <v>Janet Klitzsch</v>
      </c>
      <c r="AH417" s="17" t="str">
        <f>IFERROR(VLOOKUP(B417,[1]Kundenübersicht!$E$4:$F$85,2,FALSE),"")</f>
        <v>Lianne Kröher</v>
      </c>
      <c r="AI417" s="17" t="str">
        <f t="shared" si="101"/>
        <v>Hauswirtschaft</v>
      </c>
      <c r="AJ417" s="17" t="str">
        <f t="shared" si="101"/>
        <v>Entlastungsleistung</v>
      </c>
      <c r="AL417" s="18">
        <f t="shared" si="94"/>
        <v>38</v>
      </c>
      <c r="AM417" s="18">
        <f t="shared" si="95"/>
        <v>75.999999999999929</v>
      </c>
      <c r="AN417" s="18">
        <f t="shared" si="96"/>
        <v>0.84</v>
      </c>
    </row>
    <row r="418" spans="2:40" x14ac:dyDescent="0.25">
      <c r="B418" s="30" t="s">
        <v>79</v>
      </c>
      <c r="C418" s="31">
        <v>46050</v>
      </c>
      <c r="D418" s="32">
        <v>0.58333333333333337</v>
      </c>
      <c r="E418" s="32">
        <v>0.66666666666666663</v>
      </c>
      <c r="F418" s="12">
        <f t="shared" si="90"/>
        <v>1.9999999999999982</v>
      </c>
      <c r="G418" s="12">
        <v>2.4</v>
      </c>
      <c r="H418" s="30" t="s">
        <v>77</v>
      </c>
      <c r="I418" s="30" t="s">
        <v>27</v>
      </c>
      <c r="J418" s="30" t="s">
        <v>28</v>
      </c>
      <c r="K418" s="9" t="str">
        <f>IFERROR(VLOOKUP($B418,[1]Kundenübersicht!$E$4:$AC$1003,MATCH(K$3,[1]Kundenübersicht!$E$3:$BA$3,FALSE),FALSE),"")</f>
        <v>AOK PLUS</v>
      </c>
      <c r="L418" s="13">
        <f>IFERROR(VLOOKUP(B418,[1]Kundenübersicht!$E$4:$AC$1003,MATCH(L$3,[1]Kundenübersicht!$E$3:$BA$3,FALSE),FALSE),"")</f>
        <v>107299005</v>
      </c>
      <c r="M418" s="13" t="str">
        <f>IFERROR(VLOOKUP(B418,[1]Kundenübersicht!$E$4:$AC$1003,MATCH(M$3,[1]Kundenübersicht!$E$3:$BA$3,FALSE),FALSE),"")</f>
        <v>Z531781988</v>
      </c>
      <c r="N418" s="13" t="str">
        <f>IFERROR(VLOOKUP(B418,[1]Kundenübersicht!$E$4:$AC$1003,MATCH(N$3,[1]Kundenübersicht!$E$3:$BA$3,FALSE),FALSE),"")</f>
        <v>PG 1</v>
      </c>
      <c r="P418" s="9" t="s">
        <v>29</v>
      </c>
      <c r="R418" s="9" t="str">
        <f t="shared" si="88"/>
        <v>Unterschrieben</v>
      </c>
      <c r="S418" s="14" t="s">
        <v>31</v>
      </c>
      <c r="U418" s="15">
        <f>IF(YEAR(C418)&lt;=2025,IFERROR(IF(I418="Hauswirtschaft",VLOOKUP($B418,[1]Kundenübersicht!$E$4:$BA$1003,MATCH("Hauswirtschaft [€/Stunde]",[1]Kundenübersicht!$E$3:$BA$3,FALSE),FALSE),VLOOKUP($B418,[1]Kundenübersicht!$E$4:$BA$1003,MATCH("Alltagsbegleitung [€/Stunde]",[1]Kundenübersicht!$E$3:$BA$3,FALSE),FALSE)),0),IFERROR(IF(I418="Hauswirtschaft",VLOOKUP($B418,[1]Kundenübersicht!$E$4:$BA$1003,MATCH("HW ab 2026 [€/Stunde]",[1]Kundenübersicht!$E$3:$BA$3,FALSE),FALSE),VLOOKUP($B418,[1]Kundenübersicht!$E$4:$BA$1003,MATCH("Alltagsbegleitung [€/Stunde]",[1]Kundenübersicht!$E$3:$BA$3,FALSE),FALSE)),0))</f>
        <v>38</v>
      </c>
      <c r="V418" s="16">
        <f t="shared" si="91"/>
        <v>75.999999999999929</v>
      </c>
      <c r="W418" s="16">
        <f t="shared" si="102"/>
        <v>0.84</v>
      </c>
      <c r="X418" s="16" t="s">
        <v>89</v>
      </c>
      <c r="Z418" s="20" t="str">
        <f t="shared" si="105"/>
        <v>Ja</v>
      </c>
      <c r="AA418" s="19">
        <v>46066</v>
      </c>
      <c r="AC418" s="19"/>
      <c r="AE418" s="9">
        <f t="shared" si="98"/>
        <v>2026</v>
      </c>
      <c r="AF418" s="17" t="str">
        <f t="shared" si="99"/>
        <v>01.2026</v>
      </c>
      <c r="AG418" s="17" t="str">
        <f t="shared" si="100"/>
        <v>Janet Klitzsch</v>
      </c>
      <c r="AH418" s="17" t="str">
        <f>IFERROR(VLOOKUP(B418,[1]Kundenübersicht!$E$4:$F$85,2,FALSE),"")</f>
        <v>Lianne Kröher</v>
      </c>
      <c r="AI418" s="17" t="str">
        <f t="shared" si="101"/>
        <v>Hauswirtschaft</v>
      </c>
      <c r="AJ418" s="17" t="str">
        <f t="shared" si="101"/>
        <v>Entlastungsleistung</v>
      </c>
      <c r="AL418" s="18">
        <f t="shared" si="94"/>
        <v>38</v>
      </c>
      <c r="AM418" s="18">
        <f t="shared" si="95"/>
        <v>75.999999999999929</v>
      </c>
      <c r="AN418" s="18">
        <f t="shared" si="96"/>
        <v>0.84</v>
      </c>
    </row>
    <row r="419" spans="2:40" x14ac:dyDescent="0.25">
      <c r="B419" s="30" t="s">
        <v>25</v>
      </c>
      <c r="C419" s="31">
        <v>46043</v>
      </c>
      <c r="D419" s="32">
        <v>0.375</v>
      </c>
      <c r="E419" s="32">
        <v>0.4375</v>
      </c>
      <c r="F419" s="12">
        <f t="shared" si="90"/>
        <v>1.5</v>
      </c>
      <c r="G419" s="12">
        <v>2.6</v>
      </c>
      <c r="H419" s="30" t="s">
        <v>77</v>
      </c>
      <c r="I419" s="30" t="s">
        <v>27</v>
      </c>
      <c r="J419" s="30" t="s">
        <v>28</v>
      </c>
      <c r="K419" s="9" t="str">
        <f>IFERROR(VLOOKUP($B419,[1]Kundenübersicht!$E$4:$AC$1003,MATCH(K$3,[1]Kundenübersicht!$E$3:$BA$3,FALSE),FALSE),"")</f>
        <v>Barmer Pflegekasse</v>
      </c>
      <c r="L419" s="13">
        <f>IFERROR(VLOOKUP(B419,[1]Kundenübersicht!$E$4:$AC$1003,MATCH(L$3,[1]Kundenübersicht!$E$3:$BA$3,FALSE),FALSE),"")</f>
        <v>184940005</v>
      </c>
      <c r="M419" s="13" t="str">
        <f>IFERROR(VLOOKUP(B419,[1]Kundenübersicht!$E$4:$AC$1003,MATCH(M$3,[1]Kundenübersicht!$E$3:$BA$3,FALSE),FALSE),"")</f>
        <v>Z817157321</v>
      </c>
      <c r="N419" s="13" t="str">
        <f>IFERROR(VLOOKUP(B419,[1]Kundenübersicht!$E$4:$AC$1003,MATCH(N$3,[1]Kundenübersicht!$E$3:$BA$3,FALSE),FALSE),"")</f>
        <v>PG 1</v>
      </c>
      <c r="P419" s="9" t="s">
        <v>29</v>
      </c>
      <c r="R419" s="9" t="str">
        <f t="shared" si="88"/>
        <v>Unterschrieben</v>
      </c>
      <c r="S419" s="14" t="s">
        <v>31</v>
      </c>
      <c r="U419" s="15">
        <f>IF(YEAR(C419)&lt;=2025,IFERROR(IF(I419="Hauswirtschaft",VLOOKUP($B419,[1]Kundenübersicht!$E$4:$BA$1003,MATCH("Hauswirtschaft [€/Stunde]",[1]Kundenübersicht!$E$3:$BA$3,FALSE),FALSE),VLOOKUP($B419,[1]Kundenübersicht!$E$4:$BA$1003,MATCH("Alltagsbegleitung [€/Stunde]",[1]Kundenübersicht!$E$3:$BA$3,FALSE),FALSE)),0),IFERROR(IF(I419="Hauswirtschaft",VLOOKUP($B419,[1]Kundenübersicht!$E$4:$BA$1003,MATCH("HW ab 2026 [€/Stunde]",[1]Kundenübersicht!$E$3:$BA$3,FALSE),FALSE),VLOOKUP($B419,[1]Kundenübersicht!$E$4:$BA$1003,MATCH("Alltagsbegleitung [€/Stunde]",[1]Kundenübersicht!$E$3:$BA$3,FALSE),FALSE)),0))</f>
        <v>38</v>
      </c>
      <c r="V419" s="16">
        <f t="shared" si="91"/>
        <v>57</v>
      </c>
      <c r="W419" s="16">
        <f t="shared" si="102"/>
        <v>0.90999999999999992</v>
      </c>
      <c r="X419" s="16" t="s">
        <v>89</v>
      </c>
      <c r="Z419" s="20" t="str">
        <f>IF(AA419="","Nein","Ja")</f>
        <v>Ja</v>
      </c>
      <c r="AA419" s="19">
        <v>46066</v>
      </c>
      <c r="AC419" s="19"/>
      <c r="AE419" s="9">
        <f t="shared" si="98"/>
        <v>2026</v>
      </c>
      <c r="AF419" s="17" t="str">
        <f t="shared" si="99"/>
        <v>01.2026</v>
      </c>
      <c r="AG419" s="17" t="str">
        <f t="shared" si="100"/>
        <v>Janet Klitzsch</v>
      </c>
      <c r="AH419" s="17" t="str">
        <f>IFERROR(VLOOKUP(B419,[1]Kundenübersicht!$E$4:$F$85,2,FALSE),"")</f>
        <v>Rosemarie Schröder</v>
      </c>
      <c r="AI419" s="17" t="str">
        <f t="shared" ref="AI419:AJ450" si="106">IF(I419="","",I419)</f>
        <v>Hauswirtschaft</v>
      </c>
      <c r="AJ419" s="17" t="str">
        <f t="shared" si="106"/>
        <v>Entlastungsleistung</v>
      </c>
      <c r="AL419" s="18">
        <f t="shared" si="94"/>
        <v>38</v>
      </c>
      <c r="AM419" s="18">
        <f t="shared" si="95"/>
        <v>57</v>
      </c>
      <c r="AN419" s="18">
        <f t="shared" si="96"/>
        <v>0.90999999999999992</v>
      </c>
    </row>
    <row r="420" spans="2:40" x14ac:dyDescent="0.25">
      <c r="B420" s="30" t="s">
        <v>49</v>
      </c>
      <c r="C420" s="31">
        <v>46030</v>
      </c>
      <c r="D420" s="32">
        <v>0.60416666666666663</v>
      </c>
      <c r="E420" s="32">
        <v>0.64583333333333337</v>
      </c>
      <c r="F420" s="12">
        <f t="shared" si="90"/>
        <v>1.0000000000000018</v>
      </c>
      <c r="G420" s="12"/>
      <c r="H420" s="30" t="s">
        <v>46</v>
      </c>
      <c r="I420" s="30" t="s">
        <v>27</v>
      </c>
      <c r="J420" s="30" t="s">
        <v>28</v>
      </c>
      <c r="K420" s="9" t="str">
        <f>IFERROR(VLOOKUP($B420,[1]Kundenübersicht!$E$4:$AC$1003,MATCH(K$3,[1]Kundenübersicht!$E$3:$BA$3,FALSE),FALSE),"")</f>
        <v>AOK PLUS</v>
      </c>
      <c r="L420" s="13">
        <f>IFERROR(VLOOKUP(B420,[1]Kundenübersicht!$E$4:$AC$1003,MATCH(L$3,[1]Kundenübersicht!$E$3:$BA$3,FALSE),FALSE),"")</f>
        <v>107299005</v>
      </c>
      <c r="M420" s="13" t="str">
        <f>IFERROR(VLOOKUP(B420,[1]Kundenübersicht!$E$4:$AC$1003,MATCH(M$3,[1]Kundenübersicht!$E$3:$BA$3,FALSE),FALSE),"")</f>
        <v>T309560658</v>
      </c>
      <c r="N420" s="13" t="str">
        <f>IFERROR(VLOOKUP(B420,[1]Kundenübersicht!$E$4:$AC$1003,MATCH(N$3,[1]Kundenübersicht!$E$3:$BA$3,FALSE),FALSE),"")</f>
        <v>PG 2</v>
      </c>
      <c r="P420" s="9" t="s">
        <v>29</v>
      </c>
      <c r="R420" s="9" t="str">
        <f t="shared" si="88"/>
        <v>Unterschrieben</v>
      </c>
      <c r="S420" s="14" t="s">
        <v>31</v>
      </c>
      <c r="U420" s="15">
        <f>IF(YEAR(C420)&lt;=2025,IFERROR(IF(I420="Hauswirtschaft",VLOOKUP($B420,[1]Kundenübersicht!$E$4:$BA$1003,MATCH("Hauswirtschaft [€/Stunde]",[1]Kundenübersicht!$E$3:$BA$3,FALSE),FALSE),VLOOKUP($B420,[1]Kundenübersicht!$E$4:$BA$1003,MATCH("Alltagsbegleitung [€/Stunde]",[1]Kundenübersicht!$E$3:$BA$3,FALSE),FALSE)),0),IFERROR(IF(I420="Hauswirtschaft",VLOOKUP($B420,[1]Kundenübersicht!$E$4:$BA$1003,MATCH("HW ab 2026 [€/Stunde]",[1]Kundenübersicht!$E$3:$BA$3,FALSE),FALSE),VLOOKUP($B420,[1]Kundenübersicht!$E$4:$BA$1003,MATCH("Alltagsbegleitung [€/Stunde]",[1]Kundenübersicht!$E$3:$BA$3,FALSE),FALSE)),0))</f>
        <v>38</v>
      </c>
      <c r="V420" s="16">
        <f t="shared" si="91"/>
        <v>38.000000000000071</v>
      </c>
      <c r="W420" s="16">
        <f t="shared" si="102"/>
        <v>0</v>
      </c>
      <c r="X420" s="16" t="s">
        <v>89</v>
      </c>
      <c r="Z420" s="20" t="str">
        <f t="shared" ref="Z420:Z423" si="107">IF(AA420="","Nein","Ja")</f>
        <v>Ja</v>
      </c>
      <c r="AA420" s="19">
        <v>46066</v>
      </c>
      <c r="AC420" s="19"/>
      <c r="AE420" s="9">
        <f t="shared" si="98"/>
        <v>2026</v>
      </c>
      <c r="AF420" s="17" t="str">
        <f t="shared" si="99"/>
        <v>01.2026</v>
      </c>
      <c r="AG420" s="17" t="str">
        <f t="shared" si="100"/>
        <v>Manuela Richter</v>
      </c>
      <c r="AH420" s="17" t="str">
        <f>IFERROR(VLOOKUP(B420,[1]Kundenübersicht!$E$4:$F$85,2,FALSE),"")</f>
        <v>Rita Neubert</v>
      </c>
      <c r="AI420" s="17" t="str">
        <f t="shared" si="106"/>
        <v>Hauswirtschaft</v>
      </c>
      <c r="AJ420" s="17" t="str">
        <f t="shared" si="106"/>
        <v>Entlastungsleistung</v>
      </c>
      <c r="AL420" s="18">
        <f t="shared" si="94"/>
        <v>38</v>
      </c>
      <c r="AM420" s="18">
        <f t="shared" si="95"/>
        <v>38.000000000000071</v>
      </c>
      <c r="AN420" s="18">
        <f t="shared" si="96"/>
        <v>0</v>
      </c>
    </row>
    <row r="421" spans="2:40" x14ac:dyDescent="0.25">
      <c r="B421" s="30" t="s">
        <v>49</v>
      </c>
      <c r="C421" s="31">
        <v>46044</v>
      </c>
      <c r="D421" s="32">
        <v>0.60416666666666663</v>
      </c>
      <c r="E421" s="32">
        <v>0.64583333333333337</v>
      </c>
      <c r="F421" s="12">
        <f t="shared" si="90"/>
        <v>1.0000000000000018</v>
      </c>
      <c r="G421" s="12"/>
      <c r="H421" s="30" t="s">
        <v>46</v>
      </c>
      <c r="I421" s="30" t="s">
        <v>27</v>
      </c>
      <c r="J421" s="30" t="s">
        <v>28</v>
      </c>
      <c r="K421" s="9" t="str">
        <f>IFERROR(VLOOKUP($B421,[1]Kundenübersicht!$E$4:$AC$1003,MATCH(K$3,[1]Kundenübersicht!$E$3:$BA$3,FALSE),FALSE),"")</f>
        <v>AOK PLUS</v>
      </c>
      <c r="L421" s="13">
        <f>IFERROR(VLOOKUP(B421,[1]Kundenübersicht!$E$4:$AC$1003,MATCH(L$3,[1]Kundenübersicht!$E$3:$BA$3,FALSE),FALSE),"")</f>
        <v>107299005</v>
      </c>
      <c r="M421" s="13" t="str">
        <f>IFERROR(VLOOKUP(B421,[1]Kundenübersicht!$E$4:$AC$1003,MATCH(M$3,[1]Kundenübersicht!$E$3:$BA$3,FALSE),FALSE),"")</f>
        <v>T309560658</v>
      </c>
      <c r="N421" s="13" t="str">
        <f>IFERROR(VLOOKUP(B421,[1]Kundenübersicht!$E$4:$AC$1003,MATCH(N$3,[1]Kundenübersicht!$E$3:$BA$3,FALSE),FALSE),"")</f>
        <v>PG 2</v>
      </c>
      <c r="P421" s="9" t="s">
        <v>29</v>
      </c>
      <c r="R421" s="9" t="str">
        <f t="shared" si="88"/>
        <v>Unterschrieben</v>
      </c>
      <c r="S421" s="14" t="s">
        <v>31</v>
      </c>
      <c r="U421" s="15">
        <f>IF(YEAR(C421)&lt;=2025,IFERROR(IF(I421="Hauswirtschaft",VLOOKUP($B421,[1]Kundenübersicht!$E$4:$BA$1003,MATCH("Hauswirtschaft [€/Stunde]",[1]Kundenübersicht!$E$3:$BA$3,FALSE),FALSE),VLOOKUP($B421,[1]Kundenübersicht!$E$4:$BA$1003,MATCH("Alltagsbegleitung [€/Stunde]",[1]Kundenübersicht!$E$3:$BA$3,FALSE),FALSE)),0),IFERROR(IF(I421="Hauswirtschaft",VLOOKUP($B421,[1]Kundenübersicht!$E$4:$BA$1003,MATCH("HW ab 2026 [€/Stunde]",[1]Kundenübersicht!$E$3:$BA$3,FALSE),FALSE),VLOOKUP($B421,[1]Kundenübersicht!$E$4:$BA$1003,MATCH("Alltagsbegleitung [€/Stunde]",[1]Kundenübersicht!$E$3:$BA$3,FALSE),FALSE)),0))</f>
        <v>38</v>
      </c>
      <c r="V421" s="16">
        <f t="shared" si="91"/>
        <v>38.000000000000071</v>
      </c>
      <c r="W421" s="16">
        <f t="shared" si="102"/>
        <v>0</v>
      </c>
      <c r="X421" s="16" t="s">
        <v>89</v>
      </c>
      <c r="Z421" s="20" t="str">
        <f t="shared" si="107"/>
        <v>Ja</v>
      </c>
      <c r="AA421" s="19">
        <v>46066</v>
      </c>
      <c r="AC421" s="19"/>
      <c r="AE421" s="9">
        <f t="shared" si="98"/>
        <v>2026</v>
      </c>
      <c r="AF421" s="17" t="str">
        <f t="shared" si="99"/>
        <v>01.2026</v>
      </c>
      <c r="AG421" s="17" t="str">
        <f t="shared" si="100"/>
        <v>Manuela Richter</v>
      </c>
      <c r="AH421" s="17" t="str">
        <f>IFERROR(VLOOKUP(B421,[1]Kundenübersicht!$E$4:$F$85,2,FALSE),"")</f>
        <v>Rita Neubert</v>
      </c>
      <c r="AI421" s="17" t="str">
        <f t="shared" si="106"/>
        <v>Hauswirtschaft</v>
      </c>
      <c r="AJ421" s="17" t="str">
        <f t="shared" si="106"/>
        <v>Entlastungsleistung</v>
      </c>
      <c r="AL421" s="18">
        <f t="shared" si="94"/>
        <v>38</v>
      </c>
      <c r="AM421" s="18">
        <f t="shared" si="95"/>
        <v>38.000000000000071</v>
      </c>
      <c r="AN421" s="18">
        <f t="shared" si="96"/>
        <v>0</v>
      </c>
    </row>
    <row r="422" spans="2:40" x14ac:dyDescent="0.25">
      <c r="B422" s="30" t="s">
        <v>50</v>
      </c>
      <c r="C422" s="31">
        <v>46037</v>
      </c>
      <c r="D422" s="32">
        <v>0.58333333333333337</v>
      </c>
      <c r="E422" s="32">
        <v>0.66666666666666663</v>
      </c>
      <c r="F422" s="12">
        <f t="shared" si="90"/>
        <v>1.9999999999999982</v>
      </c>
      <c r="G422" s="12"/>
      <c r="H422" s="30" t="s">
        <v>46</v>
      </c>
      <c r="I422" s="30" t="s">
        <v>27</v>
      </c>
      <c r="J422" s="30" t="s">
        <v>28</v>
      </c>
      <c r="K422" s="9" t="str">
        <f>IFERROR(VLOOKUP($B422,[1]Kundenübersicht!$E$4:$AC$1003,MATCH(K$3,[1]Kundenübersicht!$E$3:$BA$3,FALSE),FALSE),"")</f>
        <v>AOK PLUS</v>
      </c>
      <c r="L422" s="13">
        <f>IFERROR(VLOOKUP(B422,[1]Kundenübersicht!$E$4:$AC$1003,MATCH(L$3,[1]Kundenübersicht!$E$3:$BA$3,FALSE),FALSE),"")</f>
        <v>107299005</v>
      </c>
      <c r="M422" s="13" t="str">
        <f>IFERROR(VLOOKUP(B422,[1]Kundenübersicht!$E$4:$AC$1003,MATCH(M$3,[1]Kundenübersicht!$E$3:$BA$3,FALSE),FALSE),"")</f>
        <v>L212281967</v>
      </c>
      <c r="N422" s="13" t="str">
        <f>IFERROR(VLOOKUP(B422,[1]Kundenübersicht!$E$4:$AC$1003,MATCH(N$3,[1]Kundenübersicht!$E$3:$BA$3,FALSE),FALSE),"")</f>
        <v>PG 1</v>
      </c>
      <c r="P422" s="9" t="s">
        <v>29</v>
      </c>
      <c r="R422" s="9" t="str">
        <f t="shared" si="88"/>
        <v>Unterschrieben</v>
      </c>
      <c r="S422" s="14" t="s">
        <v>31</v>
      </c>
      <c r="U422" s="15">
        <f>IF(YEAR(C422)&lt;=2025,IFERROR(IF(I422="Hauswirtschaft",VLOOKUP($B422,[1]Kundenübersicht!$E$4:$BA$1003,MATCH("Hauswirtschaft [€/Stunde]",[1]Kundenübersicht!$E$3:$BA$3,FALSE),FALSE),VLOOKUP($B422,[1]Kundenübersicht!$E$4:$BA$1003,MATCH("Alltagsbegleitung [€/Stunde]",[1]Kundenübersicht!$E$3:$BA$3,FALSE),FALSE)),0),IFERROR(IF(I422="Hauswirtschaft",VLOOKUP($B422,[1]Kundenübersicht!$E$4:$BA$1003,MATCH("HW ab 2026 [€/Stunde]",[1]Kundenübersicht!$E$3:$BA$3,FALSE),FALSE),VLOOKUP($B422,[1]Kundenübersicht!$E$4:$BA$1003,MATCH("Alltagsbegleitung [€/Stunde]",[1]Kundenübersicht!$E$3:$BA$3,FALSE),FALSE)),0))</f>
        <v>38</v>
      </c>
      <c r="V422" s="16">
        <f t="shared" si="91"/>
        <v>75.999999999999929</v>
      </c>
      <c r="W422" s="16">
        <f t="shared" si="102"/>
        <v>0</v>
      </c>
      <c r="X422" s="16" t="s">
        <v>89</v>
      </c>
      <c r="Z422" s="20" t="str">
        <f t="shared" si="107"/>
        <v>Ja</v>
      </c>
      <c r="AA422" s="19">
        <v>46066</v>
      </c>
      <c r="AC422" s="19"/>
      <c r="AE422" s="9">
        <f t="shared" si="98"/>
        <v>2026</v>
      </c>
      <c r="AF422" s="17" t="str">
        <f t="shared" si="99"/>
        <v>01.2026</v>
      </c>
      <c r="AG422" s="17" t="str">
        <f t="shared" si="100"/>
        <v>Manuela Richter</v>
      </c>
      <c r="AH422" s="17" t="str">
        <f>IFERROR(VLOOKUP(B422,[1]Kundenübersicht!$E$4:$F$85,2,FALSE),"")</f>
        <v>Lothar Krawalski</v>
      </c>
      <c r="AI422" s="17" t="str">
        <f t="shared" si="106"/>
        <v>Hauswirtschaft</v>
      </c>
      <c r="AJ422" s="17" t="str">
        <f t="shared" si="106"/>
        <v>Entlastungsleistung</v>
      </c>
      <c r="AL422" s="18">
        <f t="shared" si="94"/>
        <v>38</v>
      </c>
      <c r="AM422" s="18">
        <f t="shared" si="95"/>
        <v>75.999999999999929</v>
      </c>
      <c r="AN422" s="18">
        <f t="shared" si="96"/>
        <v>0</v>
      </c>
    </row>
    <row r="423" spans="2:40" x14ac:dyDescent="0.25">
      <c r="B423" s="30" t="s">
        <v>50</v>
      </c>
      <c r="C423" s="31">
        <v>46052</v>
      </c>
      <c r="D423" s="32">
        <v>0.58333333333333337</v>
      </c>
      <c r="E423" s="32">
        <v>0.66666666666666663</v>
      </c>
      <c r="F423" s="12">
        <f t="shared" si="90"/>
        <v>1.9999999999999982</v>
      </c>
      <c r="G423" s="12"/>
      <c r="H423" s="30" t="s">
        <v>46</v>
      </c>
      <c r="I423" s="30" t="s">
        <v>27</v>
      </c>
      <c r="J423" s="30" t="s">
        <v>28</v>
      </c>
      <c r="K423" s="9" t="str">
        <f>IFERROR(VLOOKUP($B423,[1]Kundenübersicht!$E$4:$AC$1003,MATCH(K$3,[1]Kundenübersicht!$E$3:$BA$3,FALSE),FALSE),"")</f>
        <v>AOK PLUS</v>
      </c>
      <c r="L423" s="13">
        <f>IFERROR(VLOOKUP(B423,[1]Kundenübersicht!$E$4:$AC$1003,MATCH(L$3,[1]Kundenübersicht!$E$3:$BA$3,FALSE),FALSE),"")</f>
        <v>107299005</v>
      </c>
      <c r="M423" s="13" t="str">
        <f>IFERROR(VLOOKUP(B423,[1]Kundenübersicht!$E$4:$AC$1003,MATCH(M$3,[1]Kundenübersicht!$E$3:$BA$3,FALSE),FALSE),"")</f>
        <v>L212281967</v>
      </c>
      <c r="N423" s="13" t="str">
        <f>IFERROR(VLOOKUP(B423,[1]Kundenübersicht!$E$4:$AC$1003,MATCH(N$3,[1]Kundenübersicht!$E$3:$BA$3,FALSE),FALSE),"")</f>
        <v>PG 1</v>
      </c>
      <c r="P423" s="9" t="s">
        <v>29</v>
      </c>
      <c r="R423" s="9" t="str">
        <f t="shared" si="88"/>
        <v>Unterschrieben</v>
      </c>
      <c r="S423" s="14" t="s">
        <v>31</v>
      </c>
      <c r="U423" s="15">
        <f>IF(YEAR(C423)&lt;=2025,IFERROR(IF(I423="Hauswirtschaft",VLOOKUP($B423,[1]Kundenübersicht!$E$4:$BA$1003,MATCH("Hauswirtschaft [€/Stunde]",[1]Kundenübersicht!$E$3:$BA$3,FALSE),FALSE),VLOOKUP($B423,[1]Kundenübersicht!$E$4:$BA$1003,MATCH("Alltagsbegleitung [€/Stunde]",[1]Kundenübersicht!$E$3:$BA$3,FALSE),FALSE)),0),IFERROR(IF(I423="Hauswirtschaft",VLOOKUP($B423,[1]Kundenübersicht!$E$4:$BA$1003,MATCH("HW ab 2026 [€/Stunde]",[1]Kundenübersicht!$E$3:$BA$3,FALSE),FALSE),VLOOKUP($B423,[1]Kundenübersicht!$E$4:$BA$1003,MATCH("Alltagsbegleitung [€/Stunde]",[1]Kundenübersicht!$E$3:$BA$3,FALSE),FALSE)),0))</f>
        <v>38</v>
      </c>
      <c r="V423" s="16">
        <f t="shared" si="91"/>
        <v>75.999999999999929</v>
      </c>
      <c r="W423" s="16">
        <f t="shared" si="102"/>
        <v>0</v>
      </c>
      <c r="X423" s="16" t="s">
        <v>89</v>
      </c>
      <c r="Z423" s="20" t="str">
        <f t="shared" si="107"/>
        <v>Ja</v>
      </c>
      <c r="AA423" s="19">
        <v>46066</v>
      </c>
      <c r="AC423" s="19"/>
      <c r="AE423" s="9">
        <f t="shared" si="98"/>
        <v>2026</v>
      </c>
      <c r="AF423" s="17" t="str">
        <f t="shared" si="99"/>
        <v>01.2026</v>
      </c>
      <c r="AG423" s="17" t="str">
        <f t="shared" si="100"/>
        <v>Manuela Richter</v>
      </c>
      <c r="AH423" s="17" t="str">
        <f>IFERROR(VLOOKUP(B423,[1]Kundenübersicht!$E$4:$F$85,2,FALSE),"")</f>
        <v>Lothar Krawalski</v>
      </c>
      <c r="AI423" s="17" t="str">
        <f t="shared" si="106"/>
        <v>Hauswirtschaft</v>
      </c>
      <c r="AJ423" s="17" t="str">
        <f t="shared" si="106"/>
        <v>Entlastungsleistung</v>
      </c>
      <c r="AL423" s="18">
        <f t="shared" si="94"/>
        <v>38</v>
      </c>
      <c r="AM423" s="18">
        <f t="shared" si="95"/>
        <v>75.999999999999929</v>
      </c>
      <c r="AN423" s="18">
        <f t="shared" si="96"/>
        <v>0</v>
      </c>
    </row>
    <row r="424" spans="2:40" x14ac:dyDescent="0.25">
      <c r="B424" s="30" t="s">
        <v>91</v>
      </c>
      <c r="C424" s="31">
        <v>46024</v>
      </c>
      <c r="D424" s="32">
        <v>0.45833333333333331</v>
      </c>
      <c r="E424" s="32">
        <v>0.5</v>
      </c>
      <c r="F424" s="12">
        <f t="shared" si="90"/>
        <v>1.0000000000000004</v>
      </c>
      <c r="G424" s="12">
        <v>4</v>
      </c>
      <c r="H424" s="30" t="s">
        <v>92</v>
      </c>
      <c r="I424" s="30" t="s">
        <v>27</v>
      </c>
      <c r="J424" s="30" t="s">
        <v>28</v>
      </c>
      <c r="K424" s="9" t="str">
        <f>IFERROR(VLOOKUP($B424,[1]Kundenübersicht!$E$4:$AC$1003,MATCH(K$3,[1]Kundenübersicht!$E$3:$BA$3,FALSE),FALSE),"")</f>
        <v>IKK Classic</v>
      </c>
      <c r="L424" s="13">
        <f>IFERROR(VLOOKUP(B424,[1]Kundenübersicht!$E$4:$AC$1003,MATCH(L$3,[1]Kundenübersicht!$E$3:$BA$3,FALSE),FALSE),"")</f>
        <v>187202793</v>
      </c>
      <c r="M424" s="13" t="str">
        <f>IFERROR(VLOOKUP(B424,[1]Kundenübersicht!$E$4:$AC$1003,MATCH(M$3,[1]Kundenübersicht!$E$3:$BA$3,FALSE),FALSE),"")</f>
        <v>Z291375506</v>
      </c>
      <c r="N424" s="13" t="str">
        <f>IFERROR(VLOOKUP(B424,[1]Kundenübersicht!$E$4:$AC$1003,MATCH(N$3,[1]Kundenübersicht!$E$3:$BA$3,FALSE),FALSE),"")</f>
        <v>PG 3</v>
      </c>
      <c r="P424" s="9" t="s">
        <v>29</v>
      </c>
      <c r="R424" s="9" t="s">
        <v>30</v>
      </c>
      <c r="S424" s="14" t="s">
        <v>31</v>
      </c>
      <c r="U424" s="15">
        <f>IF(YEAR(C424)&lt;=2025,IFERROR(IF(I424="Hauswirtschaft",VLOOKUP($B424,[1]Kundenübersicht!$E$4:$BA$1003,MATCH("Hauswirtschaft [€/Stunde]",[1]Kundenübersicht!$E$3:$BA$3,FALSE),FALSE),VLOOKUP($B424,[1]Kundenübersicht!$E$4:$BA$1003,MATCH("Alltagsbegleitung [€/Stunde]",[1]Kundenübersicht!$E$3:$BA$3,FALSE),FALSE)),0),IFERROR(IF(I424="Hauswirtschaft",VLOOKUP($B424,[1]Kundenübersicht!$E$4:$BA$1003,MATCH("HW ab 2026 [€/Stunde]",[1]Kundenübersicht!$E$3:$BA$3,FALSE),FALSE),VLOOKUP($B424,[1]Kundenübersicht!$E$4:$BA$1003,MATCH("Alltagsbegleitung [€/Stunde]",[1]Kundenübersicht!$E$3:$BA$3,FALSE),FALSE)),0))</f>
        <v>38</v>
      </c>
      <c r="V424" s="16">
        <f t="shared" si="91"/>
        <v>38.000000000000014</v>
      </c>
      <c r="W424" s="16">
        <f t="shared" si="102"/>
        <v>1.4</v>
      </c>
      <c r="X424" s="16" t="s">
        <v>89</v>
      </c>
      <c r="Z424" s="20" t="str">
        <f>IF(AA424="","Nein","Ja")</f>
        <v>Ja</v>
      </c>
      <c r="AA424" s="19">
        <v>46066</v>
      </c>
      <c r="AC424" s="19"/>
      <c r="AE424" s="9">
        <f t="shared" si="98"/>
        <v>2026</v>
      </c>
      <c r="AF424" s="17" t="str">
        <f t="shared" si="99"/>
        <v>01.2026</v>
      </c>
      <c r="AG424" s="17" t="str">
        <f t="shared" si="100"/>
        <v>Ute Ahnert</v>
      </c>
      <c r="AH424" s="17" t="str">
        <f>IFERROR(VLOOKUP(B424,[1]Kundenübersicht!$E$4:$F$85,2,FALSE),"")</f>
        <v>Maria Löscher</v>
      </c>
      <c r="AI424" s="17" t="str">
        <f t="shared" si="106"/>
        <v>Hauswirtschaft</v>
      </c>
      <c r="AJ424" s="17" t="str">
        <f t="shared" si="106"/>
        <v>Entlastungsleistung</v>
      </c>
      <c r="AL424" s="18">
        <f t="shared" si="94"/>
        <v>38</v>
      </c>
      <c r="AM424" s="18">
        <f t="shared" si="95"/>
        <v>38.000000000000014</v>
      </c>
      <c r="AN424" s="18">
        <f t="shared" si="96"/>
        <v>1.4</v>
      </c>
    </row>
    <row r="425" spans="2:40" x14ac:dyDescent="0.25">
      <c r="B425" s="30" t="s">
        <v>91</v>
      </c>
      <c r="C425" s="31">
        <v>46030</v>
      </c>
      <c r="D425" s="32">
        <v>0.41666666666666669</v>
      </c>
      <c r="E425" s="32">
        <v>0.45833333333333331</v>
      </c>
      <c r="F425" s="12">
        <f t="shared" si="90"/>
        <v>0.99999999999999911</v>
      </c>
      <c r="G425" s="12">
        <v>4</v>
      </c>
      <c r="H425" s="30" t="s">
        <v>92</v>
      </c>
      <c r="I425" s="30" t="s">
        <v>27</v>
      </c>
      <c r="J425" s="30" t="s">
        <v>28</v>
      </c>
      <c r="K425" s="9" t="str">
        <f>IFERROR(VLOOKUP($B425,[1]Kundenübersicht!$E$4:$AC$1003,MATCH(K$3,[1]Kundenübersicht!$E$3:$BA$3,FALSE),FALSE),"")</f>
        <v>IKK Classic</v>
      </c>
      <c r="L425" s="13">
        <f>IFERROR(VLOOKUP(B425,[1]Kundenübersicht!$E$4:$AC$1003,MATCH(L$3,[1]Kundenübersicht!$E$3:$BA$3,FALSE),FALSE),"")</f>
        <v>187202793</v>
      </c>
      <c r="M425" s="13" t="str">
        <f>IFERROR(VLOOKUP(B425,[1]Kundenübersicht!$E$4:$AC$1003,MATCH(M$3,[1]Kundenübersicht!$E$3:$BA$3,FALSE),FALSE),"")</f>
        <v>Z291375506</v>
      </c>
      <c r="N425" s="13" t="str">
        <f>IFERROR(VLOOKUP(B425,[1]Kundenübersicht!$E$4:$AC$1003,MATCH(N$3,[1]Kundenübersicht!$E$3:$BA$3,FALSE),FALSE),"")</f>
        <v>PG 3</v>
      </c>
      <c r="P425" s="9" t="s">
        <v>29</v>
      </c>
      <c r="R425" s="9" t="s">
        <v>30</v>
      </c>
      <c r="S425" s="14" t="s">
        <v>31</v>
      </c>
      <c r="U425" s="15">
        <f>IF(YEAR(C425)&lt;=2025,IFERROR(IF(I425="Hauswirtschaft",VLOOKUP($B425,[1]Kundenübersicht!$E$4:$BA$1003,MATCH("Hauswirtschaft [€/Stunde]",[1]Kundenübersicht!$E$3:$BA$3,FALSE),FALSE),VLOOKUP($B425,[1]Kundenübersicht!$E$4:$BA$1003,MATCH("Alltagsbegleitung [€/Stunde]",[1]Kundenübersicht!$E$3:$BA$3,FALSE),FALSE)),0),IFERROR(IF(I425="Hauswirtschaft",VLOOKUP($B425,[1]Kundenübersicht!$E$4:$BA$1003,MATCH("HW ab 2026 [€/Stunde]",[1]Kundenübersicht!$E$3:$BA$3,FALSE),FALSE),VLOOKUP($B425,[1]Kundenübersicht!$E$4:$BA$1003,MATCH("Alltagsbegleitung [€/Stunde]",[1]Kundenübersicht!$E$3:$BA$3,FALSE),FALSE)),0))</f>
        <v>38</v>
      </c>
      <c r="V425" s="16">
        <f t="shared" si="91"/>
        <v>37.999999999999964</v>
      </c>
      <c r="W425" s="16">
        <f t="shared" si="102"/>
        <v>1.4</v>
      </c>
      <c r="X425" s="16" t="s">
        <v>89</v>
      </c>
      <c r="Z425" s="20" t="str">
        <f t="shared" ref="Z425:Z438" si="108">IF(AA425="","Nein","Ja")</f>
        <v>Ja</v>
      </c>
      <c r="AA425" s="19">
        <v>46066</v>
      </c>
      <c r="AC425" s="19"/>
      <c r="AE425" s="9">
        <f t="shared" si="98"/>
        <v>2026</v>
      </c>
      <c r="AF425" s="17" t="str">
        <f t="shared" si="99"/>
        <v>01.2026</v>
      </c>
      <c r="AG425" s="17" t="str">
        <f t="shared" si="100"/>
        <v>Ute Ahnert</v>
      </c>
      <c r="AH425" s="17" t="str">
        <f>IFERROR(VLOOKUP(B425,[1]Kundenübersicht!$E$4:$F$85,2,FALSE),"")</f>
        <v>Maria Löscher</v>
      </c>
      <c r="AI425" s="17" t="str">
        <f t="shared" si="106"/>
        <v>Hauswirtschaft</v>
      </c>
      <c r="AJ425" s="17" t="str">
        <f t="shared" si="106"/>
        <v>Entlastungsleistung</v>
      </c>
      <c r="AL425" s="18">
        <f t="shared" si="94"/>
        <v>38</v>
      </c>
      <c r="AM425" s="18">
        <f t="shared" si="95"/>
        <v>37.999999999999964</v>
      </c>
      <c r="AN425" s="18">
        <f t="shared" si="96"/>
        <v>1.4</v>
      </c>
    </row>
    <row r="426" spans="2:40" x14ac:dyDescent="0.25">
      <c r="B426" s="30" t="s">
        <v>91</v>
      </c>
      <c r="C426" s="31">
        <v>46034</v>
      </c>
      <c r="D426" s="32">
        <v>0.375</v>
      </c>
      <c r="E426" s="32">
        <v>0.39583333333333331</v>
      </c>
      <c r="F426" s="12">
        <f t="shared" si="90"/>
        <v>0.49999999999999956</v>
      </c>
      <c r="G426" s="12">
        <v>4</v>
      </c>
      <c r="H426" s="30" t="s">
        <v>92</v>
      </c>
      <c r="I426" s="30" t="s">
        <v>27</v>
      </c>
      <c r="J426" s="30" t="s">
        <v>28</v>
      </c>
      <c r="K426" s="9" t="str">
        <f>IFERROR(VLOOKUP($B426,[1]Kundenübersicht!$E$4:$AC$1003,MATCH(K$3,[1]Kundenübersicht!$E$3:$BA$3,FALSE),FALSE),"")</f>
        <v>IKK Classic</v>
      </c>
      <c r="L426" s="13">
        <f>IFERROR(VLOOKUP(B426,[1]Kundenübersicht!$E$4:$AC$1003,MATCH(L$3,[1]Kundenübersicht!$E$3:$BA$3,FALSE),FALSE),"")</f>
        <v>187202793</v>
      </c>
      <c r="M426" s="13" t="str">
        <f>IFERROR(VLOOKUP(B426,[1]Kundenübersicht!$E$4:$AC$1003,MATCH(M$3,[1]Kundenübersicht!$E$3:$BA$3,FALSE),FALSE),"")</f>
        <v>Z291375506</v>
      </c>
      <c r="N426" s="13" t="str">
        <f>IFERROR(VLOOKUP(B426,[1]Kundenübersicht!$E$4:$AC$1003,MATCH(N$3,[1]Kundenübersicht!$E$3:$BA$3,FALSE),FALSE),"")</f>
        <v>PG 3</v>
      </c>
      <c r="P426" s="9" t="s">
        <v>29</v>
      </c>
      <c r="R426" s="9" t="s">
        <v>30</v>
      </c>
      <c r="S426" s="14" t="s">
        <v>31</v>
      </c>
      <c r="U426" s="15">
        <f>IF(YEAR(C426)&lt;=2025,IFERROR(IF(I426="Hauswirtschaft",VLOOKUP($B426,[1]Kundenübersicht!$E$4:$BA$1003,MATCH("Hauswirtschaft [€/Stunde]",[1]Kundenübersicht!$E$3:$BA$3,FALSE),FALSE),VLOOKUP($B426,[1]Kundenübersicht!$E$4:$BA$1003,MATCH("Alltagsbegleitung [€/Stunde]",[1]Kundenübersicht!$E$3:$BA$3,FALSE),FALSE)),0),IFERROR(IF(I426="Hauswirtschaft",VLOOKUP($B426,[1]Kundenübersicht!$E$4:$BA$1003,MATCH("HW ab 2026 [€/Stunde]",[1]Kundenübersicht!$E$3:$BA$3,FALSE),FALSE),VLOOKUP($B426,[1]Kundenübersicht!$E$4:$BA$1003,MATCH("Alltagsbegleitung [€/Stunde]",[1]Kundenübersicht!$E$3:$BA$3,FALSE),FALSE)),0))</f>
        <v>38</v>
      </c>
      <c r="V426" s="16">
        <f t="shared" si="91"/>
        <v>18.999999999999982</v>
      </c>
      <c r="W426" s="16">
        <f t="shared" si="102"/>
        <v>1.4</v>
      </c>
      <c r="X426" s="16" t="s">
        <v>89</v>
      </c>
      <c r="Z426" s="20" t="str">
        <f t="shared" si="108"/>
        <v>Ja</v>
      </c>
      <c r="AA426" s="19">
        <v>46066</v>
      </c>
      <c r="AC426" s="19"/>
      <c r="AE426" s="9">
        <f t="shared" si="98"/>
        <v>2026</v>
      </c>
      <c r="AF426" s="17" t="str">
        <f t="shared" si="99"/>
        <v>01.2026</v>
      </c>
      <c r="AG426" s="17" t="str">
        <f t="shared" si="100"/>
        <v>Ute Ahnert</v>
      </c>
      <c r="AH426" s="17" t="str">
        <f>IFERROR(VLOOKUP(B426,[1]Kundenübersicht!$E$4:$F$85,2,FALSE),"")</f>
        <v>Maria Löscher</v>
      </c>
      <c r="AI426" s="17" t="str">
        <f t="shared" si="106"/>
        <v>Hauswirtschaft</v>
      </c>
      <c r="AJ426" s="17" t="str">
        <f t="shared" si="106"/>
        <v>Entlastungsleistung</v>
      </c>
      <c r="AL426" s="18">
        <f t="shared" si="94"/>
        <v>38</v>
      </c>
      <c r="AM426" s="18">
        <f t="shared" si="95"/>
        <v>18.999999999999982</v>
      </c>
      <c r="AN426" s="18">
        <f t="shared" si="96"/>
        <v>1.4</v>
      </c>
    </row>
    <row r="427" spans="2:40" x14ac:dyDescent="0.25">
      <c r="B427" s="30" t="s">
        <v>91</v>
      </c>
      <c r="C427" s="31">
        <v>46041</v>
      </c>
      <c r="D427" s="32">
        <v>0.5625</v>
      </c>
      <c r="E427" s="32">
        <v>0.60416666666666663</v>
      </c>
      <c r="F427" s="12">
        <f t="shared" si="90"/>
        <v>0.99999999999999911</v>
      </c>
      <c r="G427" s="12">
        <v>4</v>
      </c>
      <c r="H427" s="30" t="s">
        <v>92</v>
      </c>
      <c r="I427" s="30" t="s">
        <v>27</v>
      </c>
      <c r="J427" s="30" t="s">
        <v>28</v>
      </c>
      <c r="K427" s="9" t="str">
        <f>IFERROR(VLOOKUP($B427,[1]Kundenübersicht!$E$4:$AC$1003,MATCH(K$3,[1]Kundenübersicht!$E$3:$BA$3,FALSE),FALSE),"")</f>
        <v>IKK Classic</v>
      </c>
      <c r="L427" s="13">
        <f>IFERROR(VLOOKUP(B427,[1]Kundenübersicht!$E$4:$AC$1003,MATCH(L$3,[1]Kundenübersicht!$E$3:$BA$3,FALSE),FALSE),"")</f>
        <v>187202793</v>
      </c>
      <c r="M427" s="13" t="str">
        <f>IFERROR(VLOOKUP(B427,[1]Kundenübersicht!$E$4:$AC$1003,MATCH(M$3,[1]Kundenübersicht!$E$3:$BA$3,FALSE),FALSE),"")</f>
        <v>Z291375506</v>
      </c>
      <c r="N427" s="13" t="str">
        <f>IFERROR(VLOOKUP(B427,[1]Kundenübersicht!$E$4:$AC$1003,MATCH(N$3,[1]Kundenübersicht!$E$3:$BA$3,FALSE),FALSE),"")</f>
        <v>PG 3</v>
      </c>
      <c r="P427" s="9" t="s">
        <v>29</v>
      </c>
      <c r="R427" s="9" t="s">
        <v>30</v>
      </c>
      <c r="S427" s="14" t="s">
        <v>31</v>
      </c>
      <c r="U427" s="15">
        <f>IF(YEAR(C427)&lt;=2025,IFERROR(IF(I427="Hauswirtschaft",VLOOKUP($B427,[1]Kundenübersicht!$E$4:$BA$1003,MATCH("Hauswirtschaft [€/Stunde]",[1]Kundenübersicht!$E$3:$BA$3,FALSE),FALSE),VLOOKUP($B427,[1]Kundenübersicht!$E$4:$BA$1003,MATCH("Alltagsbegleitung [€/Stunde]",[1]Kundenübersicht!$E$3:$BA$3,FALSE),FALSE)),0),IFERROR(IF(I427="Hauswirtschaft",VLOOKUP($B427,[1]Kundenübersicht!$E$4:$BA$1003,MATCH("HW ab 2026 [€/Stunde]",[1]Kundenübersicht!$E$3:$BA$3,FALSE),FALSE),VLOOKUP($B427,[1]Kundenübersicht!$E$4:$BA$1003,MATCH("Alltagsbegleitung [€/Stunde]",[1]Kundenübersicht!$E$3:$BA$3,FALSE),FALSE)),0))</f>
        <v>38</v>
      </c>
      <c r="V427" s="16">
        <f t="shared" si="91"/>
        <v>37.999999999999964</v>
      </c>
      <c r="W427" s="16">
        <f t="shared" si="102"/>
        <v>1.4</v>
      </c>
      <c r="X427" s="16" t="s">
        <v>89</v>
      </c>
      <c r="Z427" s="20" t="str">
        <f t="shared" si="108"/>
        <v>Ja</v>
      </c>
      <c r="AA427" s="19">
        <v>46066</v>
      </c>
      <c r="AC427" s="19"/>
      <c r="AE427" s="9">
        <f t="shared" si="98"/>
        <v>2026</v>
      </c>
      <c r="AF427" s="17" t="str">
        <f t="shared" si="99"/>
        <v>01.2026</v>
      </c>
      <c r="AG427" s="17" t="str">
        <f t="shared" si="100"/>
        <v>Ute Ahnert</v>
      </c>
      <c r="AH427" s="17" t="str">
        <f>IFERROR(VLOOKUP(B427,[1]Kundenübersicht!$E$4:$F$85,2,FALSE),"")</f>
        <v>Maria Löscher</v>
      </c>
      <c r="AI427" s="17" t="str">
        <f t="shared" si="106"/>
        <v>Hauswirtschaft</v>
      </c>
      <c r="AJ427" s="17" t="str">
        <f t="shared" si="106"/>
        <v>Entlastungsleistung</v>
      </c>
      <c r="AL427" s="18">
        <f t="shared" si="94"/>
        <v>38</v>
      </c>
      <c r="AM427" s="18">
        <f t="shared" si="95"/>
        <v>37.999999999999964</v>
      </c>
      <c r="AN427" s="18">
        <f t="shared" si="96"/>
        <v>1.4</v>
      </c>
    </row>
    <row r="428" spans="2:40" x14ac:dyDescent="0.25">
      <c r="B428" s="30" t="s">
        <v>91</v>
      </c>
      <c r="C428" s="31">
        <v>46048</v>
      </c>
      <c r="D428" s="32">
        <v>0.5625</v>
      </c>
      <c r="E428" s="32">
        <v>0.60416666666666663</v>
      </c>
      <c r="F428" s="12">
        <f t="shared" si="90"/>
        <v>0.99999999999999911</v>
      </c>
      <c r="G428" s="12">
        <v>4</v>
      </c>
      <c r="H428" s="30" t="s">
        <v>92</v>
      </c>
      <c r="I428" s="30" t="s">
        <v>27</v>
      </c>
      <c r="J428" s="30" t="s">
        <v>28</v>
      </c>
      <c r="K428" s="9" t="str">
        <f>IFERROR(VLOOKUP($B428,[1]Kundenübersicht!$E$4:$AC$1003,MATCH(K$3,[1]Kundenübersicht!$E$3:$BA$3,FALSE),FALSE),"")</f>
        <v>IKK Classic</v>
      </c>
      <c r="L428" s="13">
        <f>IFERROR(VLOOKUP(B428,[1]Kundenübersicht!$E$4:$AC$1003,MATCH(L$3,[1]Kundenübersicht!$E$3:$BA$3,FALSE),FALSE),"")</f>
        <v>187202793</v>
      </c>
      <c r="M428" s="13" t="str">
        <f>IFERROR(VLOOKUP(B428,[1]Kundenübersicht!$E$4:$AC$1003,MATCH(M$3,[1]Kundenübersicht!$E$3:$BA$3,FALSE),FALSE),"")</f>
        <v>Z291375506</v>
      </c>
      <c r="N428" s="13" t="str">
        <f>IFERROR(VLOOKUP(B428,[1]Kundenübersicht!$E$4:$AC$1003,MATCH(N$3,[1]Kundenübersicht!$E$3:$BA$3,FALSE),FALSE),"")</f>
        <v>PG 3</v>
      </c>
      <c r="P428" s="9" t="s">
        <v>29</v>
      </c>
      <c r="R428" s="9" t="s">
        <v>30</v>
      </c>
      <c r="S428" s="14" t="s">
        <v>31</v>
      </c>
      <c r="U428" s="15">
        <f>IF(YEAR(C428)&lt;=2025,IFERROR(IF(I428="Hauswirtschaft",VLOOKUP($B428,[1]Kundenübersicht!$E$4:$BA$1003,MATCH("Hauswirtschaft [€/Stunde]",[1]Kundenübersicht!$E$3:$BA$3,FALSE),FALSE),VLOOKUP($B428,[1]Kundenübersicht!$E$4:$BA$1003,MATCH("Alltagsbegleitung [€/Stunde]",[1]Kundenübersicht!$E$3:$BA$3,FALSE),FALSE)),0),IFERROR(IF(I428="Hauswirtschaft",VLOOKUP($B428,[1]Kundenübersicht!$E$4:$BA$1003,MATCH("HW ab 2026 [€/Stunde]",[1]Kundenübersicht!$E$3:$BA$3,FALSE),FALSE),VLOOKUP($B428,[1]Kundenübersicht!$E$4:$BA$1003,MATCH("Alltagsbegleitung [€/Stunde]",[1]Kundenübersicht!$E$3:$BA$3,FALSE),FALSE)),0))</f>
        <v>38</v>
      </c>
      <c r="V428" s="16">
        <f t="shared" si="91"/>
        <v>37.999999999999964</v>
      </c>
      <c r="W428" s="16">
        <f t="shared" si="102"/>
        <v>1.4</v>
      </c>
      <c r="X428" s="16" t="s">
        <v>89</v>
      </c>
      <c r="Z428" s="20" t="str">
        <f t="shared" si="108"/>
        <v>Ja</v>
      </c>
      <c r="AA428" s="19">
        <v>46066</v>
      </c>
      <c r="AC428" s="19"/>
      <c r="AE428" s="9">
        <f t="shared" si="98"/>
        <v>2026</v>
      </c>
      <c r="AF428" s="17" t="str">
        <f t="shared" si="99"/>
        <v>01.2026</v>
      </c>
      <c r="AG428" s="17" t="str">
        <f t="shared" si="100"/>
        <v>Ute Ahnert</v>
      </c>
      <c r="AH428" s="17" t="str">
        <f>IFERROR(VLOOKUP(B428,[1]Kundenübersicht!$E$4:$F$85,2,FALSE),"")</f>
        <v>Maria Löscher</v>
      </c>
      <c r="AI428" s="17" t="str">
        <f t="shared" si="106"/>
        <v>Hauswirtschaft</v>
      </c>
      <c r="AJ428" s="17" t="str">
        <f t="shared" si="106"/>
        <v>Entlastungsleistung</v>
      </c>
      <c r="AL428" s="18">
        <f t="shared" si="94"/>
        <v>38</v>
      </c>
      <c r="AM428" s="18">
        <f t="shared" si="95"/>
        <v>37.999999999999964</v>
      </c>
      <c r="AN428" s="18">
        <f t="shared" si="96"/>
        <v>1.4</v>
      </c>
    </row>
    <row r="429" spans="2:40" x14ac:dyDescent="0.25">
      <c r="B429" s="30" t="s">
        <v>93</v>
      </c>
      <c r="C429" s="31">
        <v>46041</v>
      </c>
      <c r="D429" s="32">
        <v>0.52083333333333337</v>
      </c>
      <c r="E429" s="32">
        <v>0.5625</v>
      </c>
      <c r="F429" s="12">
        <f t="shared" si="90"/>
        <v>0.99999999999999911</v>
      </c>
      <c r="G429" s="12">
        <v>4</v>
      </c>
      <c r="H429" s="30" t="s">
        <v>92</v>
      </c>
      <c r="I429" s="30" t="s">
        <v>27</v>
      </c>
      <c r="J429" s="30" t="s">
        <v>28</v>
      </c>
      <c r="K429" s="9" t="str">
        <f>IFERROR(VLOOKUP($B429,[1]Kundenübersicht!$E$4:$AC$1003,MATCH(K$3,[1]Kundenübersicht!$E$3:$BA$3,FALSE),FALSE),"")</f>
        <v>AOK PLUS</v>
      </c>
      <c r="L429" s="13">
        <f>IFERROR(VLOOKUP(B429,[1]Kundenübersicht!$E$4:$AC$1003,MATCH(L$3,[1]Kundenübersicht!$E$3:$BA$3,FALSE),FALSE),"")</f>
        <v>107299005</v>
      </c>
      <c r="M429" s="13" t="str">
        <f>IFERROR(VLOOKUP(B429,[1]Kundenübersicht!$E$4:$AC$1003,MATCH(M$3,[1]Kundenübersicht!$E$3:$BA$3,FALSE),FALSE),"")</f>
        <v>B111217515</v>
      </c>
      <c r="N429" s="13" t="str">
        <f>IFERROR(VLOOKUP(B429,[1]Kundenübersicht!$E$4:$AC$1003,MATCH(N$3,[1]Kundenübersicht!$E$3:$BA$3,FALSE),FALSE),"")</f>
        <v>PG 1</v>
      </c>
      <c r="P429" s="9" t="s">
        <v>29</v>
      </c>
      <c r="R429" s="9" t="s">
        <v>30</v>
      </c>
      <c r="S429" s="14" t="s">
        <v>31</v>
      </c>
      <c r="U429" s="15">
        <f>IF(YEAR(C429)&lt;=2025,IFERROR(IF(I429="Hauswirtschaft",VLOOKUP($B429,[1]Kundenübersicht!$E$4:$BA$1003,MATCH("Hauswirtschaft [€/Stunde]",[1]Kundenübersicht!$E$3:$BA$3,FALSE),FALSE),VLOOKUP($B429,[1]Kundenübersicht!$E$4:$BA$1003,MATCH("Alltagsbegleitung [€/Stunde]",[1]Kundenübersicht!$E$3:$BA$3,FALSE),FALSE)),0),IFERROR(IF(I429="Hauswirtschaft",VLOOKUP($B429,[1]Kundenübersicht!$E$4:$BA$1003,MATCH("HW ab 2026 [€/Stunde]",[1]Kundenübersicht!$E$3:$BA$3,FALSE),FALSE),VLOOKUP($B429,[1]Kundenübersicht!$E$4:$BA$1003,MATCH("Alltagsbegleitung [€/Stunde]",[1]Kundenübersicht!$E$3:$BA$3,FALSE),FALSE)),0))</f>
        <v>38</v>
      </c>
      <c r="V429" s="16">
        <f t="shared" si="91"/>
        <v>37.999999999999964</v>
      </c>
      <c r="W429" s="16">
        <f t="shared" si="102"/>
        <v>1.4</v>
      </c>
      <c r="X429" s="16" t="s">
        <v>89</v>
      </c>
      <c r="Z429" s="20" t="str">
        <f t="shared" si="108"/>
        <v>Ja</v>
      </c>
      <c r="AA429" s="19">
        <v>46066</v>
      </c>
      <c r="AC429" s="19"/>
      <c r="AE429" s="9">
        <f t="shared" si="98"/>
        <v>2026</v>
      </c>
      <c r="AF429" s="17" t="str">
        <f t="shared" si="99"/>
        <v>01.2026</v>
      </c>
      <c r="AG429" s="17" t="str">
        <f t="shared" si="100"/>
        <v>Ute Ahnert</v>
      </c>
      <c r="AH429" s="17" t="str">
        <f>IFERROR(VLOOKUP(B429,[1]Kundenübersicht!$E$4:$F$85,2,FALSE),"")</f>
        <v>Sieglinde Jacobi</v>
      </c>
      <c r="AI429" s="17" t="str">
        <f t="shared" si="106"/>
        <v>Hauswirtschaft</v>
      </c>
      <c r="AJ429" s="17" t="str">
        <f t="shared" si="106"/>
        <v>Entlastungsleistung</v>
      </c>
      <c r="AL429" s="18">
        <f t="shared" si="94"/>
        <v>38</v>
      </c>
      <c r="AM429" s="18">
        <f t="shared" si="95"/>
        <v>37.999999999999964</v>
      </c>
      <c r="AN429" s="18">
        <f t="shared" si="96"/>
        <v>1.4</v>
      </c>
    </row>
    <row r="430" spans="2:40" x14ac:dyDescent="0.25">
      <c r="B430" s="30" t="s">
        <v>93</v>
      </c>
      <c r="C430" s="31">
        <v>46048</v>
      </c>
      <c r="D430" s="32">
        <v>0.52083333333333337</v>
      </c>
      <c r="E430" s="32">
        <v>0.5625</v>
      </c>
      <c r="F430" s="12">
        <f t="shared" si="90"/>
        <v>0.99999999999999911</v>
      </c>
      <c r="G430" s="12">
        <v>4</v>
      </c>
      <c r="H430" s="30" t="s">
        <v>92</v>
      </c>
      <c r="I430" s="30" t="s">
        <v>27</v>
      </c>
      <c r="J430" s="30" t="s">
        <v>28</v>
      </c>
      <c r="K430" s="9" t="str">
        <f>IFERROR(VLOOKUP($B430,[1]Kundenübersicht!$E$4:$AC$1003,MATCH(K$3,[1]Kundenübersicht!$E$3:$BA$3,FALSE),FALSE),"")</f>
        <v>AOK PLUS</v>
      </c>
      <c r="L430" s="13">
        <f>IFERROR(VLOOKUP(B430,[1]Kundenübersicht!$E$4:$AC$1003,MATCH(L$3,[1]Kundenübersicht!$E$3:$BA$3,FALSE),FALSE),"")</f>
        <v>107299005</v>
      </c>
      <c r="M430" s="13" t="str">
        <f>IFERROR(VLOOKUP(B430,[1]Kundenübersicht!$E$4:$AC$1003,MATCH(M$3,[1]Kundenübersicht!$E$3:$BA$3,FALSE),FALSE),"")</f>
        <v>B111217515</v>
      </c>
      <c r="N430" s="13" t="str">
        <f>IFERROR(VLOOKUP(B430,[1]Kundenübersicht!$E$4:$AC$1003,MATCH(N$3,[1]Kundenübersicht!$E$3:$BA$3,FALSE),FALSE),"")</f>
        <v>PG 1</v>
      </c>
      <c r="P430" s="9" t="s">
        <v>29</v>
      </c>
      <c r="R430" s="9" t="s">
        <v>30</v>
      </c>
      <c r="S430" s="14" t="s">
        <v>31</v>
      </c>
      <c r="U430" s="15">
        <f>IF(YEAR(C430)&lt;=2025,IFERROR(IF(I430="Hauswirtschaft",VLOOKUP($B430,[1]Kundenübersicht!$E$4:$BA$1003,MATCH("Hauswirtschaft [€/Stunde]",[1]Kundenübersicht!$E$3:$BA$3,FALSE),FALSE),VLOOKUP($B430,[1]Kundenübersicht!$E$4:$BA$1003,MATCH("Alltagsbegleitung [€/Stunde]",[1]Kundenübersicht!$E$3:$BA$3,FALSE),FALSE)),0),IFERROR(IF(I430="Hauswirtschaft",VLOOKUP($B430,[1]Kundenübersicht!$E$4:$BA$1003,MATCH("HW ab 2026 [€/Stunde]",[1]Kundenübersicht!$E$3:$BA$3,FALSE),FALSE),VLOOKUP($B430,[1]Kundenübersicht!$E$4:$BA$1003,MATCH("Alltagsbegleitung [€/Stunde]",[1]Kundenübersicht!$E$3:$BA$3,FALSE),FALSE)),0))</f>
        <v>38</v>
      </c>
      <c r="V430" s="16">
        <f t="shared" si="91"/>
        <v>37.999999999999964</v>
      </c>
      <c r="W430" s="16">
        <f t="shared" si="102"/>
        <v>1.4</v>
      </c>
      <c r="X430" s="16" t="s">
        <v>89</v>
      </c>
      <c r="Z430" s="20" t="str">
        <f t="shared" si="108"/>
        <v>Ja</v>
      </c>
      <c r="AA430" s="19">
        <v>46066</v>
      </c>
      <c r="AC430" s="19"/>
      <c r="AE430" s="9">
        <f t="shared" si="98"/>
        <v>2026</v>
      </c>
      <c r="AF430" s="17" t="str">
        <f t="shared" si="99"/>
        <v>01.2026</v>
      </c>
      <c r="AG430" s="17" t="str">
        <f t="shared" si="100"/>
        <v>Ute Ahnert</v>
      </c>
      <c r="AH430" s="17" t="str">
        <f>IFERROR(VLOOKUP(B430,[1]Kundenübersicht!$E$4:$F$85,2,FALSE),"")</f>
        <v>Sieglinde Jacobi</v>
      </c>
      <c r="AI430" s="17" t="str">
        <f t="shared" si="106"/>
        <v>Hauswirtschaft</v>
      </c>
      <c r="AJ430" s="17" t="str">
        <f t="shared" si="106"/>
        <v>Entlastungsleistung</v>
      </c>
      <c r="AL430" s="18">
        <f t="shared" si="94"/>
        <v>38</v>
      </c>
      <c r="AM430" s="18">
        <f t="shared" si="95"/>
        <v>37.999999999999964</v>
      </c>
      <c r="AN430" s="18">
        <f t="shared" si="96"/>
        <v>1.4</v>
      </c>
    </row>
    <row r="431" spans="2:40" x14ac:dyDescent="0.25">
      <c r="B431" s="30" t="s">
        <v>94</v>
      </c>
      <c r="C431" s="31">
        <v>46034</v>
      </c>
      <c r="D431" s="32">
        <v>0.41666666666666669</v>
      </c>
      <c r="E431" s="32">
        <v>0.5</v>
      </c>
      <c r="F431" s="12">
        <f t="shared" si="90"/>
        <v>1.9999999999999996</v>
      </c>
      <c r="G431" s="12">
        <v>4</v>
      </c>
      <c r="H431" s="30" t="s">
        <v>92</v>
      </c>
      <c r="I431" s="30" t="s">
        <v>27</v>
      </c>
      <c r="J431" s="30" t="s">
        <v>28</v>
      </c>
      <c r="K431" s="9" t="str">
        <f>IFERROR(VLOOKUP($B431,[1]Kundenübersicht!$E$4:$AC$1003,MATCH(K$3,[1]Kundenübersicht!$E$3:$BA$3,FALSE),FALSE),"")</f>
        <v>AOK PLUS</v>
      </c>
      <c r="L431" s="13">
        <f>IFERROR(VLOOKUP(B431,[1]Kundenübersicht!$E$4:$AC$1003,MATCH(L$3,[1]Kundenübersicht!$E$3:$BA$3,FALSE),FALSE),"")</f>
        <v>107299005</v>
      </c>
      <c r="M431" s="13" t="str">
        <f>IFERROR(VLOOKUP(B431,[1]Kundenübersicht!$E$4:$AC$1003,MATCH(M$3,[1]Kundenübersicht!$E$3:$BA$3,FALSE),FALSE),"")</f>
        <v>T152854691</v>
      </c>
      <c r="N431" s="13" t="str">
        <f>IFERROR(VLOOKUP(B431,[1]Kundenübersicht!$E$4:$AC$1003,MATCH(N$3,[1]Kundenübersicht!$E$3:$BA$3,FALSE),FALSE),"")</f>
        <v>PG 2</v>
      </c>
      <c r="P431" s="9" t="s">
        <v>29</v>
      </c>
      <c r="R431" s="9" t="s">
        <v>30</v>
      </c>
      <c r="S431" s="14" t="s">
        <v>31</v>
      </c>
      <c r="U431" s="15">
        <f>IF(YEAR(C431)&lt;=2025,IFERROR(IF(I431="Hauswirtschaft",VLOOKUP($B431,[1]Kundenübersicht!$E$4:$BA$1003,MATCH("Hauswirtschaft [€/Stunde]",[1]Kundenübersicht!$E$3:$BA$3,FALSE),FALSE),VLOOKUP($B431,[1]Kundenübersicht!$E$4:$BA$1003,MATCH("Alltagsbegleitung [€/Stunde]",[1]Kundenübersicht!$E$3:$BA$3,FALSE),FALSE)),0),IFERROR(IF(I431="Hauswirtschaft",VLOOKUP($B431,[1]Kundenübersicht!$E$4:$BA$1003,MATCH("HW ab 2026 [€/Stunde]",[1]Kundenübersicht!$E$3:$BA$3,FALSE),FALSE),VLOOKUP($B431,[1]Kundenübersicht!$E$4:$BA$1003,MATCH("Alltagsbegleitung [€/Stunde]",[1]Kundenübersicht!$E$3:$BA$3,FALSE),FALSE)),0))</f>
        <v>38</v>
      </c>
      <c r="V431" s="16">
        <f t="shared" si="91"/>
        <v>75.999999999999986</v>
      </c>
      <c r="W431" s="16">
        <f t="shared" si="102"/>
        <v>1.4</v>
      </c>
      <c r="X431" s="16" t="s">
        <v>89</v>
      </c>
      <c r="Z431" s="20" t="str">
        <f t="shared" si="108"/>
        <v>Ja</v>
      </c>
      <c r="AA431" s="19">
        <v>46066</v>
      </c>
      <c r="AC431" s="19"/>
      <c r="AE431" s="9">
        <f t="shared" si="98"/>
        <v>2026</v>
      </c>
      <c r="AF431" s="17" t="str">
        <f t="shared" si="99"/>
        <v>01.2026</v>
      </c>
      <c r="AG431" s="17" t="str">
        <f t="shared" si="100"/>
        <v>Ute Ahnert</v>
      </c>
      <c r="AH431" s="17" t="str">
        <f>IFERROR(VLOOKUP(B431,[1]Kundenübersicht!$E$4:$F$85,2,FALSE),"")</f>
        <v>Katrin Vavrin</v>
      </c>
      <c r="AI431" s="17" t="str">
        <f t="shared" si="106"/>
        <v>Hauswirtschaft</v>
      </c>
      <c r="AJ431" s="17" t="str">
        <f t="shared" si="106"/>
        <v>Entlastungsleistung</v>
      </c>
      <c r="AL431" s="18">
        <f t="shared" si="94"/>
        <v>38</v>
      </c>
      <c r="AM431" s="18">
        <f t="shared" si="95"/>
        <v>75.999999999999986</v>
      </c>
      <c r="AN431" s="18">
        <f t="shared" si="96"/>
        <v>1.4</v>
      </c>
    </row>
    <row r="432" spans="2:40" x14ac:dyDescent="0.25">
      <c r="B432" s="30" t="s">
        <v>94</v>
      </c>
      <c r="C432" s="31">
        <v>46042</v>
      </c>
      <c r="D432" s="32">
        <v>0.41666666666666669</v>
      </c>
      <c r="E432" s="32">
        <v>0.5</v>
      </c>
      <c r="F432" s="12">
        <f t="shared" si="90"/>
        <v>1.9999999999999996</v>
      </c>
      <c r="G432" s="12">
        <v>4</v>
      </c>
      <c r="H432" s="30" t="s">
        <v>92</v>
      </c>
      <c r="I432" s="30" t="s">
        <v>27</v>
      </c>
      <c r="J432" s="30" t="s">
        <v>28</v>
      </c>
      <c r="K432" s="9" t="str">
        <f>IFERROR(VLOOKUP($B432,[1]Kundenübersicht!$E$4:$AC$1003,MATCH(K$3,[1]Kundenübersicht!$E$3:$BA$3,FALSE),FALSE),"")</f>
        <v>AOK PLUS</v>
      </c>
      <c r="L432" s="13">
        <f>IFERROR(VLOOKUP(B432,[1]Kundenübersicht!$E$4:$AC$1003,MATCH(L$3,[1]Kundenübersicht!$E$3:$BA$3,FALSE),FALSE),"")</f>
        <v>107299005</v>
      </c>
      <c r="M432" s="13" t="str">
        <f>IFERROR(VLOOKUP(B432,[1]Kundenübersicht!$E$4:$AC$1003,MATCH(M$3,[1]Kundenübersicht!$E$3:$BA$3,FALSE),FALSE),"")</f>
        <v>T152854691</v>
      </c>
      <c r="N432" s="13" t="str">
        <f>IFERROR(VLOOKUP(B432,[1]Kundenübersicht!$E$4:$AC$1003,MATCH(N$3,[1]Kundenübersicht!$E$3:$BA$3,FALSE),FALSE),"")</f>
        <v>PG 2</v>
      </c>
      <c r="P432" s="9" t="s">
        <v>29</v>
      </c>
      <c r="R432" s="9" t="s">
        <v>30</v>
      </c>
      <c r="S432" s="14" t="s">
        <v>31</v>
      </c>
      <c r="U432" s="15">
        <f>IF(YEAR(C432)&lt;=2025,IFERROR(IF(I432="Hauswirtschaft",VLOOKUP($B432,[1]Kundenübersicht!$E$4:$BA$1003,MATCH("Hauswirtschaft [€/Stunde]",[1]Kundenübersicht!$E$3:$BA$3,FALSE),FALSE),VLOOKUP($B432,[1]Kundenübersicht!$E$4:$BA$1003,MATCH("Alltagsbegleitung [€/Stunde]",[1]Kundenübersicht!$E$3:$BA$3,FALSE),FALSE)),0),IFERROR(IF(I432="Hauswirtschaft",VLOOKUP($B432,[1]Kundenübersicht!$E$4:$BA$1003,MATCH("HW ab 2026 [€/Stunde]",[1]Kundenübersicht!$E$3:$BA$3,FALSE),FALSE),VLOOKUP($B432,[1]Kundenübersicht!$E$4:$BA$1003,MATCH("Alltagsbegleitung [€/Stunde]",[1]Kundenübersicht!$E$3:$BA$3,FALSE),FALSE)),0))</f>
        <v>38</v>
      </c>
      <c r="V432" s="16">
        <f t="shared" si="91"/>
        <v>75.999999999999986</v>
      </c>
      <c r="W432" s="16">
        <f t="shared" si="102"/>
        <v>1.4</v>
      </c>
      <c r="X432" s="16" t="s">
        <v>89</v>
      </c>
      <c r="Z432" s="20" t="str">
        <f t="shared" si="108"/>
        <v>Ja</v>
      </c>
      <c r="AA432" s="19">
        <v>46066</v>
      </c>
      <c r="AC432" s="19"/>
      <c r="AE432" s="9">
        <f t="shared" si="98"/>
        <v>2026</v>
      </c>
      <c r="AF432" s="17" t="str">
        <f t="shared" si="99"/>
        <v>01.2026</v>
      </c>
      <c r="AG432" s="17" t="str">
        <f t="shared" si="100"/>
        <v>Ute Ahnert</v>
      </c>
      <c r="AH432" s="17" t="str">
        <f>IFERROR(VLOOKUP(B432,[1]Kundenübersicht!$E$4:$F$85,2,FALSE),"")</f>
        <v>Katrin Vavrin</v>
      </c>
      <c r="AI432" s="17" t="str">
        <f t="shared" si="106"/>
        <v>Hauswirtschaft</v>
      </c>
      <c r="AJ432" s="17" t="str">
        <f t="shared" si="106"/>
        <v>Entlastungsleistung</v>
      </c>
      <c r="AL432" s="18">
        <f t="shared" si="94"/>
        <v>38</v>
      </c>
      <c r="AM432" s="18">
        <f t="shared" si="95"/>
        <v>75.999999999999986</v>
      </c>
      <c r="AN432" s="18">
        <f t="shared" si="96"/>
        <v>1.4</v>
      </c>
    </row>
    <row r="433" spans="1:40" x14ac:dyDescent="0.25">
      <c r="B433" s="30" t="s">
        <v>94</v>
      </c>
      <c r="C433" s="31">
        <v>46049</v>
      </c>
      <c r="D433" s="32">
        <v>0.41666666666666669</v>
      </c>
      <c r="E433" s="32">
        <v>0.5</v>
      </c>
      <c r="F433" s="12">
        <f t="shared" si="90"/>
        <v>1.9999999999999996</v>
      </c>
      <c r="G433" s="12">
        <v>4</v>
      </c>
      <c r="H433" s="30" t="s">
        <v>92</v>
      </c>
      <c r="I433" s="30" t="s">
        <v>41</v>
      </c>
      <c r="J433" s="30" t="s">
        <v>28</v>
      </c>
      <c r="K433" s="9" t="str">
        <f>IFERROR(VLOOKUP($B433,[1]Kundenübersicht!$E$4:$AC$1003,MATCH(K$3,[1]Kundenübersicht!$E$3:$BA$3,FALSE),FALSE),"")</f>
        <v>AOK PLUS</v>
      </c>
      <c r="L433" s="13">
        <f>IFERROR(VLOOKUP(B433,[1]Kundenübersicht!$E$4:$AC$1003,MATCH(L$3,[1]Kundenübersicht!$E$3:$BA$3,FALSE),FALSE),"")</f>
        <v>107299005</v>
      </c>
      <c r="M433" s="13" t="str">
        <f>IFERROR(VLOOKUP(B433,[1]Kundenübersicht!$E$4:$AC$1003,MATCH(M$3,[1]Kundenübersicht!$E$3:$BA$3,FALSE),FALSE),"")</f>
        <v>T152854691</v>
      </c>
      <c r="N433" s="13" t="str">
        <f>IFERROR(VLOOKUP(B433,[1]Kundenübersicht!$E$4:$AC$1003,MATCH(N$3,[1]Kundenübersicht!$E$3:$BA$3,FALSE),FALSE),"")</f>
        <v>PG 2</v>
      </c>
      <c r="P433" s="9" t="s">
        <v>29</v>
      </c>
      <c r="R433" s="9" t="s">
        <v>30</v>
      </c>
      <c r="S433" s="14" t="s">
        <v>31</v>
      </c>
      <c r="U433" s="15">
        <f>IF(YEAR(C433)&lt;=2025,IFERROR(IF(I433="Hauswirtschaft",VLOOKUP($B433,[1]Kundenübersicht!$E$4:$BA$1003,MATCH("Hauswirtschaft [€/Stunde]",[1]Kundenübersicht!$E$3:$BA$3,FALSE),FALSE),VLOOKUP($B433,[1]Kundenübersicht!$E$4:$BA$1003,MATCH("Alltagsbegleitung [€/Stunde]",[1]Kundenübersicht!$E$3:$BA$3,FALSE),FALSE)),0),IFERROR(IF(I433="Hauswirtschaft",VLOOKUP($B433,[1]Kundenübersicht!$E$4:$BA$1003,MATCH("HW ab 2026 [€/Stunde]",[1]Kundenübersicht!$E$3:$BA$3,FALSE),FALSE),VLOOKUP($B433,[1]Kundenübersicht!$E$4:$BA$1003,MATCH("Alltagsbegleitung [€/Stunde]",[1]Kundenübersicht!$E$3:$BA$3,FALSE),FALSE)),0))</f>
        <v>42</v>
      </c>
      <c r="V433" s="16">
        <f t="shared" si="91"/>
        <v>83.999999999999986</v>
      </c>
      <c r="W433" s="16">
        <f t="shared" si="102"/>
        <v>1.4</v>
      </c>
      <c r="X433" s="16" t="s">
        <v>89</v>
      </c>
      <c r="Z433" s="20" t="str">
        <f t="shared" si="108"/>
        <v>Ja</v>
      </c>
      <c r="AA433" s="19">
        <v>46066</v>
      </c>
      <c r="AC433" s="19"/>
      <c r="AE433" s="9">
        <f t="shared" si="98"/>
        <v>2026</v>
      </c>
      <c r="AF433" s="17" t="str">
        <f t="shared" si="99"/>
        <v>01.2026</v>
      </c>
      <c r="AG433" s="17" t="str">
        <f t="shared" si="100"/>
        <v>Ute Ahnert</v>
      </c>
      <c r="AH433" s="17" t="str">
        <f>IFERROR(VLOOKUP(B433,[1]Kundenübersicht!$E$4:$F$85,2,FALSE),"")</f>
        <v>Katrin Vavrin</v>
      </c>
      <c r="AI433" s="17" t="str">
        <f t="shared" si="106"/>
        <v>Alltagsbegleitung</v>
      </c>
      <c r="AJ433" s="17" t="str">
        <f t="shared" si="106"/>
        <v>Entlastungsleistung</v>
      </c>
      <c r="AL433" s="18">
        <f t="shared" si="94"/>
        <v>42</v>
      </c>
      <c r="AM433" s="18">
        <f t="shared" si="95"/>
        <v>83.999999999999986</v>
      </c>
      <c r="AN433" s="18">
        <f t="shared" si="96"/>
        <v>1.4</v>
      </c>
    </row>
    <row r="434" spans="1:40" x14ac:dyDescent="0.25">
      <c r="B434" s="30" t="s">
        <v>94</v>
      </c>
      <c r="C434" s="31">
        <v>46052</v>
      </c>
      <c r="D434" s="32">
        <v>0.375</v>
      </c>
      <c r="E434" s="32">
        <v>0.47916666666666669</v>
      </c>
      <c r="F434" s="12">
        <f t="shared" si="90"/>
        <v>2.5000000000000004</v>
      </c>
      <c r="G434" s="12">
        <v>4</v>
      </c>
      <c r="H434" s="30" t="s">
        <v>92</v>
      </c>
      <c r="I434" s="30" t="s">
        <v>41</v>
      </c>
      <c r="J434" s="30" t="s">
        <v>28</v>
      </c>
      <c r="K434" s="9" t="str">
        <f>IFERROR(VLOOKUP($B434,[1]Kundenübersicht!$E$4:$AC$1003,MATCH(K$3,[1]Kundenübersicht!$E$3:$BA$3,FALSE),FALSE),"")</f>
        <v>AOK PLUS</v>
      </c>
      <c r="L434" s="13">
        <f>IFERROR(VLOOKUP(B434,[1]Kundenübersicht!$E$4:$AC$1003,MATCH(L$3,[1]Kundenübersicht!$E$3:$BA$3,FALSE),FALSE),"")</f>
        <v>107299005</v>
      </c>
      <c r="M434" s="13" t="str">
        <f>IFERROR(VLOOKUP(B434,[1]Kundenübersicht!$E$4:$AC$1003,MATCH(M$3,[1]Kundenübersicht!$E$3:$BA$3,FALSE),FALSE),"")</f>
        <v>T152854691</v>
      </c>
      <c r="N434" s="13" t="str">
        <f>IFERROR(VLOOKUP(B434,[1]Kundenübersicht!$E$4:$AC$1003,MATCH(N$3,[1]Kundenübersicht!$E$3:$BA$3,FALSE),FALSE),"")</f>
        <v>PG 2</v>
      </c>
      <c r="P434" s="9" t="s">
        <v>29</v>
      </c>
      <c r="R434" s="9" t="s">
        <v>30</v>
      </c>
      <c r="S434" s="14" t="s">
        <v>31</v>
      </c>
      <c r="U434" s="15">
        <f>IF(YEAR(C434)&lt;=2025,IFERROR(IF(I434="Hauswirtschaft",VLOOKUP($B434,[1]Kundenübersicht!$E$4:$BA$1003,MATCH("Hauswirtschaft [€/Stunde]",[1]Kundenübersicht!$E$3:$BA$3,FALSE),FALSE),VLOOKUP($B434,[1]Kundenübersicht!$E$4:$BA$1003,MATCH("Alltagsbegleitung [€/Stunde]",[1]Kundenübersicht!$E$3:$BA$3,FALSE),FALSE)),0),IFERROR(IF(I434="Hauswirtschaft",VLOOKUP($B434,[1]Kundenübersicht!$E$4:$BA$1003,MATCH("HW ab 2026 [€/Stunde]",[1]Kundenübersicht!$E$3:$BA$3,FALSE),FALSE),VLOOKUP($B434,[1]Kundenübersicht!$E$4:$BA$1003,MATCH("Alltagsbegleitung [€/Stunde]",[1]Kundenübersicht!$E$3:$BA$3,FALSE),FALSE)),0))</f>
        <v>42</v>
      </c>
      <c r="V434" s="16">
        <f t="shared" si="91"/>
        <v>105.00000000000001</v>
      </c>
      <c r="W434" s="16">
        <f t="shared" si="102"/>
        <v>1.4</v>
      </c>
      <c r="X434" s="16" t="s">
        <v>89</v>
      </c>
      <c r="Z434" s="20" t="str">
        <f t="shared" si="108"/>
        <v>Ja</v>
      </c>
      <c r="AA434" s="19">
        <v>46066</v>
      </c>
      <c r="AC434" s="19"/>
      <c r="AE434" s="9">
        <f t="shared" si="98"/>
        <v>2026</v>
      </c>
      <c r="AF434" s="17" t="str">
        <f t="shared" si="99"/>
        <v>01.2026</v>
      </c>
      <c r="AG434" s="17" t="str">
        <f t="shared" si="100"/>
        <v>Ute Ahnert</v>
      </c>
      <c r="AH434" s="17" t="str">
        <f>IFERROR(VLOOKUP(B434,[1]Kundenübersicht!$E$4:$F$85,2,FALSE),"")</f>
        <v>Katrin Vavrin</v>
      </c>
      <c r="AI434" s="17" t="str">
        <f t="shared" si="106"/>
        <v>Alltagsbegleitung</v>
      </c>
      <c r="AJ434" s="17" t="str">
        <f t="shared" si="106"/>
        <v>Entlastungsleistung</v>
      </c>
      <c r="AL434" s="18">
        <f t="shared" si="94"/>
        <v>42</v>
      </c>
      <c r="AM434" s="18">
        <f t="shared" si="95"/>
        <v>105.00000000000001</v>
      </c>
      <c r="AN434" s="18">
        <f t="shared" si="96"/>
        <v>1.4</v>
      </c>
    </row>
    <row r="435" spans="1:40" x14ac:dyDescent="0.25">
      <c r="B435" s="30" t="s">
        <v>39</v>
      </c>
      <c r="C435" s="31">
        <v>46028</v>
      </c>
      <c r="D435" s="32">
        <v>0.70833333333333337</v>
      </c>
      <c r="E435" s="32">
        <v>0.75</v>
      </c>
      <c r="F435" s="12">
        <f t="shared" si="90"/>
        <v>0.99999999999999911</v>
      </c>
      <c r="G435" s="12">
        <v>2</v>
      </c>
      <c r="H435" s="30" t="s">
        <v>40</v>
      </c>
      <c r="I435" s="30" t="s">
        <v>27</v>
      </c>
      <c r="J435" s="30" t="s">
        <v>28</v>
      </c>
      <c r="K435" s="9" t="str">
        <f>IFERROR(VLOOKUP($B435,[1]Kundenübersicht!$E$4:$AC$1003,MATCH(K$3,[1]Kundenübersicht!$E$3:$BA$3,FALSE),FALSE),"")</f>
        <v>AOK PLUS</v>
      </c>
      <c r="L435" s="13">
        <f>IFERROR(VLOOKUP(B435,[1]Kundenübersicht!$E$4:$AC$1003,MATCH(L$3,[1]Kundenübersicht!$E$3:$BA$3,FALSE),FALSE),"")</f>
        <v>107299005</v>
      </c>
      <c r="M435" s="13" t="str">
        <f>IFERROR(VLOOKUP(B435,[1]Kundenübersicht!$E$4:$AC$1003,MATCH(M$3,[1]Kundenübersicht!$E$3:$BA$3,FALSE),FALSE),"")</f>
        <v>Q445657677</v>
      </c>
      <c r="N435" s="13" t="str">
        <f>IFERROR(VLOOKUP(B435,[1]Kundenübersicht!$E$4:$AC$1003,MATCH(N$3,[1]Kundenübersicht!$E$3:$BA$3,FALSE),FALSE),"")</f>
        <v>PG 2</v>
      </c>
      <c r="P435" s="9" t="s">
        <v>29</v>
      </c>
      <c r="R435" s="9" t="s">
        <v>30</v>
      </c>
      <c r="S435" s="14" t="s">
        <v>31</v>
      </c>
      <c r="U435" s="15">
        <f>IF(YEAR(C435)&lt;=2025,IFERROR(IF(I435="Hauswirtschaft",VLOOKUP($B435,[1]Kundenübersicht!$E$4:$BA$1003,MATCH("Hauswirtschaft [€/Stunde]",[1]Kundenübersicht!$E$3:$BA$3,FALSE),FALSE),VLOOKUP($B435,[1]Kundenübersicht!$E$4:$BA$1003,MATCH("Alltagsbegleitung [€/Stunde]",[1]Kundenübersicht!$E$3:$BA$3,FALSE),FALSE)),0),IFERROR(IF(I435="Hauswirtschaft",VLOOKUP($B435,[1]Kundenübersicht!$E$4:$BA$1003,MATCH("HW ab 2026 [€/Stunde]",[1]Kundenübersicht!$E$3:$BA$3,FALSE),FALSE),VLOOKUP($B435,[1]Kundenübersicht!$E$4:$BA$1003,MATCH("Alltagsbegleitung [€/Stunde]",[1]Kundenübersicht!$E$3:$BA$3,FALSE),FALSE)),0))</f>
        <v>38</v>
      </c>
      <c r="V435" s="16">
        <f t="shared" si="91"/>
        <v>37.999999999999964</v>
      </c>
      <c r="W435" s="16">
        <f t="shared" si="102"/>
        <v>0.7</v>
      </c>
      <c r="X435" s="16" t="s">
        <v>89</v>
      </c>
      <c r="Z435" s="20" t="str">
        <f t="shared" si="108"/>
        <v>Ja</v>
      </c>
      <c r="AA435" s="19">
        <v>46066</v>
      </c>
      <c r="AC435" s="19"/>
      <c r="AE435" s="9">
        <f t="shared" si="98"/>
        <v>2026</v>
      </c>
      <c r="AF435" s="17" t="str">
        <f t="shared" si="99"/>
        <v>01.2026</v>
      </c>
      <c r="AG435" s="17" t="str">
        <f t="shared" si="100"/>
        <v>Franziska Wächtler</v>
      </c>
      <c r="AH435" s="17" t="str">
        <f>IFERROR(VLOOKUP(B435,[1]Kundenübersicht!$E$4:$F$85,2,FALSE),"")</f>
        <v>Helga Dienelt</v>
      </c>
      <c r="AI435" s="17" t="str">
        <f t="shared" si="106"/>
        <v>Hauswirtschaft</v>
      </c>
      <c r="AJ435" s="17" t="str">
        <f t="shared" si="106"/>
        <v>Entlastungsleistung</v>
      </c>
      <c r="AL435" s="18">
        <f t="shared" si="94"/>
        <v>38</v>
      </c>
      <c r="AM435" s="18">
        <f t="shared" si="95"/>
        <v>37.999999999999964</v>
      </c>
      <c r="AN435" s="18">
        <f t="shared" si="96"/>
        <v>0.7</v>
      </c>
    </row>
    <row r="436" spans="1:40" x14ac:dyDescent="0.25">
      <c r="B436" s="30" t="s">
        <v>39</v>
      </c>
      <c r="C436" s="31">
        <v>46034</v>
      </c>
      <c r="D436" s="32">
        <v>0.64583333333333337</v>
      </c>
      <c r="E436" s="32">
        <v>0.6875</v>
      </c>
      <c r="F436" s="12">
        <f t="shared" si="90"/>
        <v>0.99999999999999911</v>
      </c>
      <c r="G436" s="12">
        <v>2</v>
      </c>
      <c r="H436" s="30" t="s">
        <v>40</v>
      </c>
      <c r="I436" s="30" t="s">
        <v>27</v>
      </c>
      <c r="J436" s="30" t="s">
        <v>28</v>
      </c>
      <c r="K436" s="9" t="str">
        <f>IFERROR(VLOOKUP($B436,[1]Kundenübersicht!$E$4:$AC$1003,MATCH(K$3,[1]Kundenübersicht!$E$3:$BA$3,FALSE),FALSE),"")</f>
        <v>AOK PLUS</v>
      </c>
      <c r="L436" s="13">
        <f>IFERROR(VLOOKUP(B436,[1]Kundenübersicht!$E$4:$AC$1003,MATCH(L$3,[1]Kundenübersicht!$E$3:$BA$3,FALSE),FALSE),"")</f>
        <v>107299005</v>
      </c>
      <c r="M436" s="13" t="str">
        <f>IFERROR(VLOOKUP(B436,[1]Kundenübersicht!$E$4:$AC$1003,MATCH(M$3,[1]Kundenübersicht!$E$3:$BA$3,FALSE),FALSE),"")</f>
        <v>Q445657677</v>
      </c>
      <c r="N436" s="13" t="str">
        <f>IFERROR(VLOOKUP(B436,[1]Kundenübersicht!$E$4:$AC$1003,MATCH(N$3,[1]Kundenübersicht!$E$3:$BA$3,FALSE),FALSE),"")</f>
        <v>PG 2</v>
      </c>
      <c r="P436" s="9" t="s">
        <v>29</v>
      </c>
      <c r="R436" s="9" t="s">
        <v>30</v>
      </c>
      <c r="S436" s="14" t="s">
        <v>31</v>
      </c>
      <c r="U436" s="15">
        <f>IF(YEAR(C436)&lt;=2025,IFERROR(IF(I436="Hauswirtschaft",VLOOKUP($B436,[1]Kundenübersicht!$E$4:$BA$1003,MATCH("Hauswirtschaft [€/Stunde]",[1]Kundenübersicht!$E$3:$BA$3,FALSE),FALSE),VLOOKUP($B436,[1]Kundenübersicht!$E$4:$BA$1003,MATCH("Alltagsbegleitung [€/Stunde]",[1]Kundenübersicht!$E$3:$BA$3,FALSE),FALSE)),0),IFERROR(IF(I436="Hauswirtschaft",VLOOKUP($B436,[1]Kundenübersicht!$E$4:$BA$1003,MATCH("HW ab 2026 [€/Stunde]",[1]Kundenübersicht!$E$3:$BA$3,FALSE),FALSE),VLOOKUP($B436,[1]Kundenübersicht!$E$4:$BA$1003,MATCH("Alltagsbegleitung [€/Stunde]",[1]Kundenübersicht!$E$3:$BA$3,FALSE),FALSE)),0))</f>
        <v>38</v>
      </c>
      <c r="V436" s="16">
        <f t="shared" si="91"/>
        <v>37.999999999999964</v>
      </c>
      <c r="W436" s="16">
        <f t="shared" si="102"/>
        <v>0.7</v>
      </c>
      <c r="X436" s="16" t="s">
        <v>89</v>
      </c>
      <c r="Z436" s="20" t="str">
        <f t="shared" si="108"/>
        <v>Ja</v>
      </c>
      <c r="AA436" s="19">
        <v>46066</v>
      </c>
      <c r="AC436" s="19"/>
      <c r="AE436" s="9">
        <f t="shared" si="98"/>
        <v>2026</v>
      </c>
      <c r="AF436" s="17" t="str">
        <f t="shared" si="99"/>
        <v>01.2026</v>
      </c>
      <c r="AG436" s="17" t="str">
        <f t="shared" si="100"/>
        <v>Franziska Wächtler</v>
      </c>
      <c r="AH436" s="17" t="str">
        <f>IFERROR(VLOOKUP(B436,[1]Kundenübersicht!$E$4:$F$85,2,FALSE),"")</f>
        <v>Helga Dienelt</v>
      </c>
      <c r="AI436" s="17" t="str">
        <f t="shared" si="106"/>
        <v>Hauswirtschaft</v>
      </c>
      <c r="AJ436" s="17" t="str">
        <f t="shared" si="106"/>
        <v>Entlastungsleistung</v>
      </c>
      <c r="AL436" s="18">
        <f t="shared" si="94"/>
        <v>38</v>
      </c>
      <c r="AM436" s="18">
        <f t="shared" si="95"/>
        <v>37.999999999999964</v>
      </c>
      <c r="AN436" s="18">
        <f t="shared" si="96"/>
        <v>0.7</v>
      </c>
    </row>
    <row r="437" spans="1:40" x14ac:dyDescent="0.25">
      <c r="B437" s="30" t="s">
        <v>39</v>
      </c>
      <c r="C437" s="31">
        <v>46042</v>
      </c>
      <c r="D437" s="32">
        <v>0.64583333333333337</v>
      </c>
      <c r="E437" s="32">
        <v>0.6875</v>
      </c>
      <c r="F437" s="12">
        <f t="shared" si="90"/>
        <v>0.99999999999999911</v>
      </c>
      <c r="G437" s="12">
        <v>2</v>
      </c>
      <c r="H437" s="30" t="s">
        <v>40</v>
      </c>
      <c r="I437" s="30" t="s">
        <v>27</v>
      </c>
      <c r="J437" s="30" t="s">
        <v>28</v>
      </c>
      <c r="K437" s="9" t="str">
        <f>IFERROR(VLOOKUP($B437,[1]Kundenübersicht!$E$4:$AC$1003,MATCH(K$3,[1]Kundenübersicht!$E$3:$BA$3,FALSE),FALSE),"")</f>
        <v>AOK PLUS</v>
      </c>
      <c r="L437" s="13">
        <f>IFERROR(VLOOKUP(B437,[1]Kundenübersicht!$E$4:$AC$1003,MATCH(L$3,[1]Kundenübersicht!$E$3:$BA$3,FALSE),FALSE),"")</f>
        <v>107299005</v>
      </c>
      <c r="M437" s="13" t="str">
        <f>IFERROR(VLOOKUP(B437,[1]Kundenübersicht!$E$4:$AC$1003,MATCH(M$3,[1]Kundenübersicht!$E$3:$BA$3,FALSE),FALSE),"")</f>
        <v>Q445657677</v>
      </c>
      <c r="N437" s="13" t="str">
        <f>IFERROR(VLOOKUP(B437,[1]Kundenübersicht!$E$4:$AC$1003,MATCH(N$3,[1]Kundenübersicht!$E$3:$BA$3,FALSE),FALSE),"")</f>
        <v>PG 2</v>
      </c>
      <c r="P437" s="9" t="s">
        <v>29</v>
      </c>
      <c r="R437" s="9" t="s">
        <v>30</v>
      </c>
      <c r="S437" s="14" t="s">
        <v>31</v>
      </c>
      <c r="U437" s="15">
        <f>IF(YEAR(C437)&lt;=2025,IFERROR(IF(I437="Hauswirtschaft",VLOOKUP($B437,[1]Kundenübersicht!$E$4:$BA$1003,MATCH("Hauswirtschaft [€/Stunde]",[1]Kundenübersicht!$E$3:$BA$3,FALSE),FALSE),VLOOKUP($B437,[1]Kundenübersicht!$E$4:$BA$1003,MATCH("Alltagsbegleitung [€/Stunde]",[1]Kundenübersicht!$E$3:$BA$3,FALSE),FALSE)),0),IFERROR(IF(I437="Hauswirtschaft",VLOOKUP($B437,[1]Kundenübersicht!$E$4:$BA$1003,MATCH("HW ab 2026 [€/Stunde]",[1]Kundenübersicht!$E$3:$BA$3,FALSE),FALSE),VLOOKUP($B437,[1]Kundenübersicht!$E$4:$BA$1003,MATCH("Alltagsbegleitung [€/Stunde]",[1]Kundenübersicht!$E$3:$BA$3,FALSE),FALSE)),0))</f>
        <v>38</v>
      </c>
      <c r="V437" s="16">
        <f t="shared" si="91"/>
        <v>37.999999999999964</v>
      </c>
      <c r="W437" s="16">
        <f t="shared" si="102"/>
        <v>0.7</v>
      </c>
      <c r="X437" s="16" t="s">
        <v>89</v>
      </c>
      <c r="Z437" s="20" t="str">
        <f t="shared" si="108"/>
        <v>Ja</v>
      </c>
      <c r="AA437" s="19">
        <v>46066</v>
      </c>
      <c r="AC437" s="19"/>
      <c r="AE437" s="9">
        <f t="shared" si="98"/>
        <v>2026</v>
      </c>
      <c r="AF437" s="17" t="str">
        <f t="shared" si="99"/>
        <v>01.2026</v>
      </c>
      <c r="AG437" s="17" t="str">
        <f t="shared" si="100"/>
        <v>Franziska Wächtler</v>
      </c>
      <c r="AH437" s="17" t="str">
        <f>IFERROR(VLOOKUP(B437,[1]Kundenübersicht!$E$4:$F$85,2,FALSE),"")</f>
        <v>Helga Dienelt</v>
      </c>
      <c r="AI437" s="17" t="str">
        <f t="shared" si="106"/>
        <v>Hauswirtschaft</v>
      </c>
      <c r="AJ437" s="17" t="str">
        <f t="shared" si="106"/>
        <v>Entlastungsleistung</v>
      </c>
      <c r="AL437" s="18">
        <f t="shared" si="94"/>
        <v>38</v>
      </c>
      <c r="AM437" s="18">
        <f t="shared" si="95"/>
        <v>37.999999999999964</v>
      </c>
      <c r="AN437" s="18">
        <f t="shared" si="96"/>
        <v>0.7</v>
      </c>
    </row>
    <row r="438" spans="1:40" x14ac:dyDescent="0.25">
      <c r="B438" s="30" t="s">
        <v>39</v>
      </c>
      <c r="C438" s="31">
        <v>46049</v>
      </c>
      <c r="D438" s="32">
        <v>0.63541666666666663</v>
      </c>
      <c r="E438" s="32">
        <v>0.67708333333333337</v>
      </c>
      <c r="F438" s="12">
        <f t="shared" si="90"/>
        <v>1.0000000000000018</v>
      </c>
      <c r="G438" s="12">
        <v>2</v>
      </c>
      <c r="H438" s="30" t="s">
        <v>40</v>
      </c>
      <c r="I438" s="30" t="s">
        <v>27</v>
      </c>
      <c r="J438" s="30" t="s">
        <v>28</v>
      </c>
      <c r="K438" s="9" t="str">
        <f>IFERROR(VLOOKUP($B438,[1]Kundenübersicht!$E$4:$AC$1003,MATCH(K$3,[1]Kundenübersicht!$E$3:$BA$3,FALSE),FALSE),"")</f>
        <v>AOK PLUS</v>
      </c>
      <c r="L438" s="13">
        <f>IFERROR(VLOOKUP(B438,[1]Kundenübersicht!$E$4:$AC$1003,MATCH(L$3,[1]Kundenübersicht!$E$3:$BA$3,FALSE),FALSE),"")</f>
        <v>107299005</v>
      </c>
      <c r="M438" s="13" t="str">
        <f>IFERROR(VLOOKUP(B438,[1]Kundenübersicht!$E$4:$AC$1003,MATCH(M$3,[1]Kundenübersicht!$E$3:$BA$3,FALSE),FALSE),"")</f>
        <v>Q445657677</v>
      </c>
      <c r="N438" s="13" t="str">
        <f>IFERROR(VLOOKUP(B438,[1]Kundenübersicht!$E$4:$AC$1003,MATCH(N$3,[1]Kundenübersicht!$E$3:$BA$3,FALSE),FALSE),"")</f>
        <v>PG 2</v>
      </c>
      <c r="P438" s="9" t="s">
        <v>29</v>
      </c>
      <c r="R438" s="9" t="s">
        <v>30</v>
      </c>
      <c r="S438" s="14" t="s">
        <v>31</v>
      </c>
      <c r="U438" s="15">
        <f>IF(YEAR(C438)&lt;=2025,IFERROR(IF(I438="Hauswirtschaft",VLOOKUP($B438,[1]Kundenübersicht!$E$4:$BA$1003,MATCH("Hauswirtschaft [€/Stunde]",[1]Kundenübersicht!$E$3:$BA$3,FALSE),FALSE),VLOOKUP($B438,[1]Kundenübersicht!$E$4:$BA$1003,MATCH("Alltagsbegleitung [€/Stunde]",[1]Kundenübersicht!$E$3:$BA$3,FALSE),FALSE)),0),IFERROR(IF(I438="Hauswirtschaft",VLOOKUP($B438,[1]Kundenübersicht!$E$4:$BA$1003,MATCH("HW ab 2026 [€/Stunde]",[1]Kundenübersicht!$E$3:$BA$3,FALSE),FALSE),VLOOKUP($B438,[1]Kundenübersicht!$E$4:$BA$1003,MATCH("Alltagsbegleitung [€/Stunde]",[1]Kundenübersicht!$E$3:$BA$3,FALSE),FALSE)),0))</f>
        <v>38</v>
      </c>
      <c r="V438" s="16">
        <f t="shared" si="91"/>
        <v>38.000000000000071</v>
      </c>
      <c r="W438" s="16">
        <f t="shared" si="102"/>
        <v>0.7</v>
      </c>
      <c r="X438" s="16" t="s">
        <v>89</v>
      </c>
      <c r="Z438" s="20" t="str">
        <f t="shared" si="108"/>
        <v>Ja</v>
      </c>
      <c r="AA438" s="19">
        <v>46066</v>
      </c>
      <c r="AC438" s="19"/>
      <c r="AE438" s="9">
        <f t="shared" si="98"/>
        <v>2026</v>
      </c>
      <c r="AF438" s="17" t="str">
        <f t="shared" si="99"/>
        <v>01.2026</v>
      </c>
      <c r="AG438" s="17" t="str">
        <f t="shared" si="100"/>
        <v>Franziska Wächtler</v>
      </c>
      <c r="AH438" s="17" t="str">
        <f>IFERROR(VLOOKUP(B438,[1]Kundenübersicht!$E$4:$F$85,2,FALSE),"")</f>
        <v>Helga Dienelt</v>
      </c>
      <c r="AI438" s="17" t="str">
        <f t="shared" si="106"/>
        <v>Hauswirtschaft</v>
      </c>
      <c r="AJ438" s="17" t="str">
        <f t="shared" si="106"/>
        <v>Entlastungsleistung</v>
      </c>
      <c r="AL438" s="18">
        <f t="shared" si="94"/>
        <v>38</v>
      </c>
      <c r="AM438" s="18">
        <f t="shared" si="95"/>
        <v>38.000000000000071</v>
      </c>
      <c r="AN438" s="18">
        <f t="shared" si="96"/>
        <v>0.7</v>
      </c>
    </row>
    <row r="439" spans="1:40" x14ac:dyDescent="0.25">
      <c r="A439" s="37"/>
      <c r="B439" s="38" t="s">
        <v>86</v>
      </c>
      <c r="C439" s="31">
        <v>46024</v>
      </c>
      <c r="D439" s="32">
        <v>0.45833333333333331</v>
      </c>
      <c r="E439" s="32">
        <v>0.5</v>
      </c>
      <c r="F439" s="12">
        <f t="shared" si="90"/>
        <v>1.0000000000000004</v>
      </c>
      <c r="G439" s="12">
        <v>10</v>
      </c>
      <c r="H439" s="30" t="s">
        <v>85</v>
      </c>
      <c r="I439" s="30" t="s">
        <v>41</v>
      </c>
      <c r="J439" s="30" t="s">
        <v>28</v>
      </c>
      <c r="K439" s="9" t="str">
        <f>IFERROR(VLOOKUP($B439,[1]Kundenübersicht!$E$4:$AC$1003,MATCH(K$3,[1]Kundenübersicht!$E$3:$BA$3,FALSE),FALSE),"")</f>
        <v>KNAPPSCHAFT</v>
      </c>
      <c r="L439" s="13">
        <f>IFERROR(VLOOKUP(B439,[1]Kundenübersicht!$E$4:$AC$1003,MATCH(L$3,[1]Kundenübersicht!$E$3:$BA$3,FALSE),FALSE),"")</f>
        <v>109990508</v>
      </c>
      <c r="M439" s="13" t="str">
        <f>IFERROR(VLOOKUP(B439,[1]Kundenübersicht!$E$4:$AC$1003,MATCH(M$3,[1]Kundenübersicht!$E$3:$BA$3,FALSE),FALSE),"")</f>
        <v>I767390429</v>
      </c>
      <c r="N439" s="13" t="str">
        <f>IFERROR(VLOOKUP(B439,[1]Kundenübersicht!$E$4:$AC$1003,MATCH(N$3,[1]Kundenübersicht!$E$3:$BA$3,FALSE),FALSE),"")</f>
        <v>PG 1</v>
      </c>
      <c r="P439" s="9" t="s">
        <v>29</v>
      </c>
      <c r="R439" s="9" t="s">
        <v>75</v>
      </c>
      <c r="S439" s="14" t="s">
        <v>31</v>
      </c>
      <c r="U439" s="15">
        <f>IF(YEAR(C439)&lt;=2025,IFERROR(IF(I439="Hauswirtschaft",VLOOKUP($B439,[1]Kundenübersicht!$E$4:$BA$1003,MATCH("Hauswirtschaft [€/Stunde]",[1]Kundenübersicht!$E$3:$BA$3,FALSE),FALSE),VLOOKUP($B439,[1]Kundenübersicht!$E$4:$BA$1003,MATCH("Alltagsbegleitung [€/Stunde]",[1]Kundenübersicht!$E$3:$BA$3,FALSE),FALSE)),0),IFERROR(IF(I439="Hauswirtschaft",VLOOKUP($B439,[1]Kundenübersicht!$E$4:$BA$1003,MATCH("HW ab 2026 [€/Stunde]",[1]Kundenübersicht!$E$3:$BA$3,FALSE),FALSE),VLOOKUP($B439,[1]Kundenübersicht!$E$4:$BA$1003,MATCH("Alltagsbegleitung [€/Stunde]",[1]Kundenübersicht!$E$3:$BA$3,FALSE),FALSE)),0))</f>
        <v>42</v>
      </c>
      <c r="V439" s="16">
        <f t="shared" si="91"/>
        <v>42.000000000000021</v>
      </c>
      <c r="W439" s="16">
        <f t="shared" si="102"/>
        <v>3.5</v>
      </c>
      <c r="X439" s="16" t="s">
        <v>89</v>
      </c>
      <c r="Z439" s="20" t="s">
        <v>95</v>
      </c>
      <c r="AA439" s="19"/>
      <c r="AC439" s="19"/>
      <c r="AE439" s="9">
        <f t="shared" si="98"/>
        <v>2026</v>
      </c>
      <c r="AF439" s="17" t="str">
        <f t="shared" si="99"/>
        <v>01.2026</v>
      </c>
      <c r="AG439" s="17" t="str">
        <f t="shared" si="100"/>
        <v>Naji El Ali</v>
      </c>
      <c r="AH439" s="17" t="str">
        <f>IFERROR(VLOOKUP(B439,[1]Kundenübersicht!$E$4:$F$85,2,FALSE),"")</f>
        <v>Jens Wolf</v>
      </c>
      <c r="AI439" s="17" t="str">
        <f t="shared" si="106"/>
        <v>Alltagsbegleitung</v>
      </c>
      <c r="AJ439" s="17" t="str">
        <f t="shared" si="106"/>
        <v>Entlastungsleistung</v>
      </c>
      <c r="AL439" s="18">
        <f t="shared" si="94"/>
        <v>42</v>
      </c>
      <c r="AM439" s="18">
        <f t="shared" si="95"/>
        <v>42.000000000000021</v>
      </c>
      <c r="AN439" s="18">
        <f t="shared" si="96"/>
        <v>3.5</v>
      </c>
    </row>
    <row r="440" spans="1:40" x14ac:dyDescent="0.25">
      <c r="A440" s="37"/>
      <c r="B440" s="38" t="s">
        <v>86</v>
      </c>
      <c r="C440" s="31">
        <v>46031</v>
      </c>
      <c r="D440" s="32">
        <v>0.45833333333333331</v>
      </c>
      <c r="E440" s="32">
        <v>0.5</v>
      </c>
      <c r="F440" s="12">
        <f t="shared" ref="F440:F503" si="109">(E440-D440)*24</f>
        <v>1.0000000000000004</v>
      </c>
      <c r="G440" s="12">
        <v>10</v>
      </c>
      <c r="H440" s="30" t="s">
        <v>85</v>
      </c>
      <c r="I440" s="30" t="s">
        <v>41</v>
      </c>
      <c r="J440" s="30" t="s">
        <v>28</v>
      </c>
      <c r="K440" s="9" t="str">
        <f>IFERROR(VLOOKUP($B440,[1]Kundenübersicht!$E$4:$AC$1003,MATCH(K$3,[1]Kundenübersicht!$E$3:$BA$3,FALSE),FALSE),"")</f>
        <v>KNAPPSCHAFT</v>
      </c>
      <c r="L440" s="13">
        <f>IFERROR(VLOOKUP(B440,[1]Kundenübersicht!$E$4:$AC$1003,MATCH(L$3,[1]Kundenübersicht!$E$3:$BA$3,FALSE),FALSE),"")</f>
        <v>109990508</v>
      </c>
      <c r="M440" s="13" t="str">
        <f>IFERROR(VLOOKUP(B440,[1]Kundenübersicht!$E$4:$AC$1003,MATCH(M$3,[1]Kundenübersicht!$E$3:$BA$3,FALSE),FALSE),"")</f>
        <v>I767390429</v>
      </c>
      <c r="N440" s="13" t="str">
        <f>IFERROR(VLOOKUP(B440,[1]Kundenübersicht!$E$4:$AC$1003,MATCH(N$3,[1]Kundenübersicht!$E$3:$BA$3,FALSE),FALSE),"")</f>
        <v>PG 1</v>
      </c>
      <c r="P440" s="9" t="s">
        <v>29</v>
      </c>
      <c r="R440" s="9" t="s">
        <v>75</v>
      </c>
      <c r="S440" s="14" t="s">
        <v>31</v>
      </c>
      <c r="U440" s="15">
        <f>IF(YEAR(C440)&lt;=2025,IFERROR(IF(I440="Hauswirtschaft",VLOOKUP($B440,[1]Kundenübersicht!$E$4:$BA$1003,MATCH("Hauswirtschaft [€/Stunde]",[1]Kundenübersicht!$E$3:$BA$3,FALSE),FALSE),VLOOKUP($B440,[1]Kundenübersicht!$E$4:$BA$1003,MATCH("Alltagsbegleitung [€/Stunde]",[1]Kundenübersicht!$E$3:$BA$3,FALSE),FALSE)),0),IFERROR(IF(I440="Hauswirtschaft",VLOOKUP($B440,[1]Kundenübersicht!$E$4:$BA$1003,MATCH("HW ab 2026 [€/Stunde]",[1]Kundenübersicht!$E$3:$BA$3,FALSE),FALSE),VLOOKUP($B440,[1]Kundenübersicht!$E$4:$BA$1003,MATCH("Alltagsbegleitung [€/Stunde]",[1]Kundenübersicht!$E$3:$BA$3,FALSE),FALSE)),0))</f>
        <v>42</v>
      </c>
      <c r="V440" s="16">
        <f t="shared" ref="V440:V503" si="110">U440*F440</f>
        <v>42.000000000000021</v>
      </c>
      <c r="W440" s="16">
        <f t="shared" si="102"/>
        <v>3.5</v>
      </c>
      <c r="X440" s="16" t="s">
        <v>89</v>
      </c>
      <c r="Z440" s="20" t="s">
        <v>95</v>
      </c>
      <c r="AA440" s="19"/>
      <c r="AC440" s="19"/>
      <c r="AE440" s="9">
        <f t="shared" si="98"/>
        <v>2026</v>
      </c>
      <c r="AF440" s="17" t="str">
        <f t="shared" si="99"/>
        <v>01.2026</v>
      </c>
      <c r="AG440" s="17" t="str">
        <f t="shared" si="100"/>
        <v>Naji El Ali</v>
      </c>
      <c r="AH440" s="17" t="str">
        <f>IFERROR(VLOOKUP(B440,[1]Kundenübersicht!$E$4:$F$85,2,FALSE),"")</f>
        <v>Jens Wolf</v>
      </c>
      <c r="AI440" s="17" t="str">
        <f t="shared" si="106"/>
        <v>Alltagsbegleitung</v>
      </c>
      <c r="AJ440" s="17" t="str">
        <f t="shared" si="106"/>
        <v>Entlastungsleistung</v>
      </c>
      <c r="AL440" s="18">
        <f t="shared" si="94"/>
        <v>42</v>
      </c>
      <c r="AM440" s="18">
        <f t="shared" si="95"/>
        <v>42.000000000000021</v>
      </c>
      <c r="AN440" s="18">
        <f t="shared" si="96"/>
        <v>3.5</v>
      </c>
    </row>
    <row r="441" spans="1:40" x14ac:dyDescent="0.25">
      <c r="A441" s="37"/>
      <c r="B441" s="38" t="s">
        <v>86</v>
      </c>
      <c r="C441" s="31">
        <v>46034</v>
      </c>
      <c r="D441" s="32">
        <v>0.41666666666666669</v>
      </c>
      <c r="E441" s="32">
        <v>0.5</v>
      </c>
      <c r="F441" s="12">
        <f t="shared" si="109"/>
        <v>1.9999999999999996</v>
      </c>
      <c r="G441" s="12">
        <v>20</v>
      </c>
      <c r="H441" s="30" t="s">
        <v>85</v>
      </c>
      <c r="I441" s="30" t="s">
        <v>41</v>
      </c>
      <c r="J441" s="30" t="s">
        <v>28</v>
      </c>
      <c r="K441" s="9" t="str">
        <f>IFERROR(VLOOKUP($B441,[1]Kundenübersicht!$E$4:$AC$1003,MATCH(K$3,[1]Kundenübersicht!$E$3:$BA$3,FALSE),FALSE),"")</f>
        <v>KNAPPSCHAFT</v>
      </c>
      <c r="L441" s="13">
        <f>IFERROR(VLOOKUP(B441,[1]Kundenübersicht!$E$4:$AC$1003,MATCH(L$3,[1]Kundenübersicht!$E$3:$BA$3,FALSE),FALSE),"")</f>
        <v>109990508</v>
      </c>
      <c r="M441" s="13" t="str">
        <f>IFERROR(VLOOKUP(B441,[1]Kundenübersicht!$E$4:$AC$1003,MATCH(M$3,[1]Kundenübersicht!$E$3:$BA$3,FALSE),FALSE),"")</f>
        <v>I767390429</v>
      </c>
      <c r="N441" s="13" t="str">
        <f>IFERROR(VLOOKUP(B441,[1]Kundenübersicht!$E$4:$AC$1003,MATCH(N$3,[1]Kundenübersicht!$E$3:$BA$3,FALSE),FALSE),"")</f>
        <v>PG 1</v>
      </c>
      <c r="P441" s="9" t="s">
        <v>29</v>
      </c>
      <c r="R441" s="9" t="s">
        <v>75</v>
      </c>
      <c r="S441" s="14" t="s">
        <v>31</v>
      </c>
      <c r="U441" s="15">
        <f>IF(YEAR(C441)&lt;=2025,IFERROR(IF(I441="Hauswirtschaft",VLOOKUP($B441,[1]Kundenübersicht!$E$4:$BA$1003,MATCH("Hauswirtschaft [€/Stunde]",[1]Kundenübersicht!$E$3:$BA$3,FALSE),FALSE),VLOOKUP($B441,[1]Kundenübersicht!$E$4:$BA$1003,MATCH("Alltagsbegleitung [€/Stunde]",[1]Kundenübersicht!$E$3:$BA$3,FALSE),FALSE)),0),IFERROR(IF(I441="Hauswirtschaft",VLOOKUP($B441,[1]Kundenübersicht!$E$4:$BA$1003,MATCH("HW ab 2026 [€/Stunde]",[1]Kundenübersicht!$E$3:$BA$3,FALSE),FALSE),VLOOKUP($B441,[1]Kundenübersicht!$E$4:$BA$1003,MATCH("Alltagsbegleitung [€/Stunde]",[1]Kundenübersicht!$E$3:$BA$3,FALSE),FALSE)),0))</f>
        <v>42</v>
      </c>
      <c r="V441" s="16">
        <f t="shared" si="110"/>
        <v>83.999999999999986</v>
      </c>
      <c r="W441" s="16">
        <f t="shared" si="102"/>
        <v>7</v>
      </c>
      <c r="X441" s="16" t="s">
        <v>89</v>
      </c>
      <c r="Z441" s="20" t="s">
        <v>95</v>
      </c>
      <c r="AA441" s="19"/>
      <c r="AC441" s="19"/>
      <c r="AE441" s="9">
        <f t="shared" si="98"/>
        <v>2026</v>
      </c>
      <c r="AF441" s="17" t="str">
        <f t="shared" si="99"/>
        <v>01.2026</v>
      </c>
      <c r="AG441" s="17" t="str">
        <f t="shared" si="100"/>
        <v>Naji El Ali</v>
      </c>
      <c r="AH441" s="17" t="str">
        <f>IFERROR(VLOOKUP(B441,[1]Kundenübersicht!$E$4:$F$85,2,FALSE),"")</f>
        <v>Jens Wolf</v>
      </c>
      <c r="AI441" s="17" t="str">
        <f t="shared" si="106"/>
        <v>Alltagsbegleitung</v>
      </c>
      <c r="AJ441" s="17" t="str">
        <f t="shared" si="106"/>
        <v>Entlastungsleistung</v>
      </c>
      <c r="AL441" s="18">
        <f t="shared" si="94"/>
        <v>42</v>
      </c>
      <c r="AM441" s="18">
        <f t="shared" si="95"/>
        <v>83.999999999999986</v>
      </c>
      <c r="AN441" s="18">
        <f t="shared" si="96"/>
        <v>7</v>
      </c>
    </row>
    <row r="442" spans="1:40" x14ac:dyDescent="0.25">
      <c r="A442" s="37"/>
      <c r="B442" s="38" t="s">
        <v>86</v>
      </c>
      <c r="C442" s="31">
        <v>46038</v>
      </c>
      <c r="D442" s="32">
        <v>0.45833333333333331</v>
      </c>
      <c r="E442" s="32">
        <v>0.5</v>
      </c>
      <c r="F442" s="12">
        <f t="shared" si="109"/>
        <v>1.0000000000000004</v>
      </c>
      <c r="G442" s="12">
        <v>10</v>
      </c>
      <c r="H442" s="30" t="s">
        <v>85</v>
      </c>
      <c r="I442" s="30" t="s">
        <v>41</v>
      </c>
      <c r="J442" s="30" t="s">
        <v>28</v>
      </c>
      <c r="K442" s="9" t="str">
        <f>IFERROR(VLOOKUP($B442,[1]Kundenübersicht!$E$4:$AC$1003,MATCH(K$3,[1]Kundenübersicht!$E$3:$BA$3,FALSE),FALSE),"")</f>
        <v>KNAPPSCHAFT</v>
      </c>
      <c r="L442" s="13">
        <f>IFERROR(VLOOKUP(B442,[1]Kundenübersicht!$E$4:$AC$1003,MATCH(L$3,[1]Kundenübersicht!$E$3:$BA$3,FALSE),FALSE),"")</f>
        <v>109990508</v>
      </c>
      <c r="M442" s="13" t="str">
        <f>IFERROR(VLOOKUP(B442,[1]Kundenübersicht!$E$4:$AC$1003,MATCH(M$3,[1]Kundenübersicht!$E$3:$BA$3,FALSE),FALSE),"")</f>
        <v>I767390429</v>
      </c>
      <c r="N442" s="13" t="str">
        <f>IFERROR(VLOOKUP(B442,[1]Kundenübersicht!$E$4:$AC$1003,MATCH(N$3,[1]Kundenübersicht!$E$3:$BA$3,FALSE),FALSE),"")</f>
        <v>PG 1</v>
      </c>
      <c r="P442" s="9" t="s">
        <v>29</v>
      </c>
      <c r="R442" s="9" t="s">
        <v>75</v>
      </c>
      <c r="S442" s="14" t="s">
        <v>31</v>
      </c>
      <c r="U442" s="15">
        <f>IF(YEAR(C442)&lt;=2025,IFERROR(IF(I442="Hauswirtschaft",VLOOKUP($B442,[1]Kundenübersicht!$E$4:$BA$1003,MATCH("Hauswirtschaft [€/Stunde]",[1]Kundenübersicht!$E$3:$BA$3,FALSE),FALSE),VLOOKUP($B442,[1]Kundenübersicht!$E$4:$BA$1003,MATCH("Alltagsbegleitung [€/Stunde]",[1]Kundenübersicht!$E$3:$BA$3,FALSE),FALSE)),0),IFERROR(IF(I442="Hauswirtschaft",VLOOKUP($B442,[1]Kundenübersicht!$E$4:$BA$1003,MATCH("HW ab 2026 [€/Stunde]",[1]Kundenübersicht!$E$3:$BA$3,FALSE),FALSE),VLOOKUP($B442,[1]Kundenübersicht!$E$4:$BA$1003,MATCH("Alltagsbegleitung [€/Stunde]",[1]Kundenübersicht!$E$3:$BA$3,FALSE),FALSE)),0))</f>
        <v>42</v>
      </c>
      <c r="V442" s="16">
        <f t="shared" si="110"/>
        <v>42.000000000000021</v>
      </c>
      <c r="W442" s="16">
        <f t="shared" si="102"/>
        <v>3.5</v>
      </c>
      <c r="X442" s="16" t="s">
        <v>89</v>
      </c>
      <c r="Z442" s="20" t="s">
        <v>95</v>
      </c>
      <c r="AA442" s="19"/>
      <c r="AC442" s="19"/>
      <c r="AE442" s="9">
        <f t="shared" si="98"/>
        <v>2026</v>
      </c>
      <c r="AF442" s="17" t="str">
        <f t="shared" si="99"/>
        <v>01.2026</v>
      </c>
      <c r="AG442" s="17" t="str">
        <f t="shared" si="100"/>
        <v>Naji El Ali</v>
      </c>
      <c r="AH442" s="17" t="str">
        <f>IFERROR(VLOOKUP(B442,[1]Kundenübersicht!$E$4:$F$85,2,FALSE),"")</f>
        <v>Jens Wolf</v>
      </c>
      <c r="AI442" s="17" t="str">
        <f t="shared" si="106"/>
        <v>Alltagsbegleitung</v>
      </c>
      <c r="AJ442" s="17" t="str">
        <f t="shared" si="106"/>
        <v>Entlastungsleistung</v>
      </c>
      <c r="AL442" s="18">
        <f t="shared" si="94"/>
        <v>42</v>
      </c>
      <c r="AM442" s="18">
        <f t="shared" si="95"/>
        <v>42.000000000000021</v>
      </c>
      <c r="AN442" s="18">
        <f t="shared" si="96"/>
        <v>3.5</v>
      </c>
    </row>
    <row r="443" spans="1:40" x14ac:dyDescent="0.25">
      <c r="A443" s="37"/>
      <c r="B443" s="38" t="s">
        <v>86</v>
      </c>
      <c r="C443" s="31">
        <v>46045</v>
      </c>
      <c r="D443" s="32">
        <v>0.45833333333333331</v>
      </c>
      <c r="E443" s="32">
        <v>0.5</v>
      </c>
      <c r="F443" s="12">
        <f t="shared" si="109"/>
        <v>1.0000000000000004</v>
      </c>
      <c r="G443" s="12">
        <v>10</v>
      </c>
      <c r="H443" s="30" t="s">
        <v>85</v>
      </c>
      <c r="I443" s="30" t="s">
        <v>41</v>
      </c>
      <c r="J443" s="30" t="s">
        <v>28</v>
      </c>
      <c r="K443" s="9" t="str">
        <f>IFERROR(VLOOKUP($B443,[1]Kundenübersicht!$E$4:$AC$1003,MATCH(K$3,[1]Kundenübersicht!$E$3:$BA$3,FALSE),FALSE),"")</f>
        <v>KNAPPSCHAFT</v>
      </c>
      <c r="L443" s="13">
        <f>IFERROR(VLOOKUP(B443,[1]Kundenübersicht!$E$4:$AC$1003,MATCH(L$3,[1]Kundenübersicht!$E$3:$BA$3,FALSE),FALSE),"")</f>
        <v>109990508</v>
      </c>
      <c r="M443" s="13" t="str">
        <f>IFERROR(VLOOKUP(B443,[1]Kundenübersicht!$E$4:$AC$1003,MATCH(M$3,[1]Kundenübersicht!$E$3:$BA$3,FALSE),FALSE),"")</f>
        <v>I767390429</v>
      </c>
      <c r="N443" s="13" t="str">
        <f>IFERROR(VLOOKUP(B443,[1]Kundenübersicht!$E$4:$AC$1003,MATCH(N$3,[1]Kundenübersicht!$E$3:$BA$3,FALSE),FALSE),"")</f>
        <v>PG 1</v>
      </c>
      <c r="P443" s="9" t="s">
        <v>29</v>
      </c>
      <c r="R443" s="9" t="s">
        <v>75</v>
      </c>
      <c r="S443" s="14" t="s">
        <v>31</v>
      </c>
      <c r="U443" s="15">
        <f>IF(YEAR(C443)&lt;=2025,IFERROR(IF(I443="Hauswirtschaft",VLOOKUP($B443,[1]Kundenübersicht!$E$4:$BA$1003,MATCH("Hauswirtschaft [€/Stunde]",[1]Kundenübersicht!$E$3:$BA$3,FALSE),FALSE),VLOOKUP($B443,[1]Kundenübersicht!$E$4:$BA$1003,MATCH("Alltagsbegleitung [€/Stunde]",[1]Kundenübersicht!$E$3:$BA$3,FALSE),FALSE)),0),IFERROR(IF(I443="Hauswirtschaft",VLOOKUP($B443,[1]Kundenübersicht!$E$4:$BA$1003,MATCH("HW ab 2026 [€/Stunde]",[1]Kundenübersicht!$E$3:$BA$3,FALSE),FALSE),VLOOKUP($B443,[1]Kundenübersicht!$E$4:$BA$1003,MATCH("Alltagsbegleitung [€/Stunde]",[1]Kundenübersicht!$E$3:$BA$3,FALSE),FALSE)),0))</f>
        <v>42</v>
      </c>
      <c r="V443" s="16">
        <f t="shared" si="110"/>
        <v>42.000000000000021</v>
      </c>
      <c r="W443" s="16">
        <f t="shared" si="102"/>
        <v>3.5</v>
      </c>
      <c r="X443" s="16" t="s">
        <v>89</v>
      </c>
      <c r="Z443" s="20" t="s">
        <v>95</v>
      </c>
      <c r="AA443" s="19"/>
      <c r="AC443" s="19"/>
      <c r="AE443" s="9">
        <f t="shared" si="98"/>
        <v>2026</v>
      </c>
      <c r="AF443" s="17" t="str">
        <f t="shared" si="99"/>
        <v>01.2026</v>
      </c>
      <c r="AG443" s="17" t="str">
        <f t="shared" si="100"/>
        <v>Naji El Ali</v>
      </c>
      <c r="AH443" s="17" t="str">
        <f>IFERROR(VLOOKUP(B443,[1]Kundenübersicht!$E$4:$F$85,2,FALSE),"")</f>
        <v>Jens Wolf</v>
      </c>
      <c r="AI443" s="17" t="str">
        <f t="shared" si="106"/>
        <v>Alltagsbegleitung</v>
      </c>
      <c r="AJ443" s="17" t="str">
        <f t="shared" si="106"/>
        <v>Entlastungsleistung</v>
      </c>
      <c r="AL443" s="18">
        <f t="shared" si="94"/>
        <v>42</v>
      </c>
      <c r="AM443" s="18">
        <f t="shared" si="95"/>
        <v>42.000000000000021</v>
      </c>
      <c r="AN443" s="18">
        <f t="shared" si="96"/>
        <v>3.5</v>
      </c>
    </row>
    <row r="444" spans="1:40" x14ac:dyDescent="0.25">
      <c r="A444" s="37"/>
      <c r="B444" s="38" t="s">
        <v>86</v>
      </c>
      <c r="C444" s="31">
        <v>46052</v>
      </c>
      <c r="D444" s="32">
        <v>0.41666666666666669</v>
      </c>
      <c r="E444" s="32">
        <v>0.5</v>
      </c>
      <c r="F444" s="12">
        <f t="shared" si="109"/>
        <v>1.9999999999999996</v>
      </c>
      <c r="G444" s="12">
        <v>20</v>
      </c>
      <c r="H444" s="30" t="s">
        <v>85</v>
      </c>
      <c r="I444" s="30" t="s">
        <v>41</v>
      </c>
      <c r="J444" s="30" t="s">
        <v>28</v>
      </c>
      <c r="K444" s="9" t="str">
        <f>IFERROR(VLOOKUP($B444,[1]Kundenübersicht!$E$4:$AC$1003,MATCH(K$3,[1]Kundenübersicht!$E$3:$BA$3,FALSE),FALSE),"")</f>
        <v>KNAPPSCHAFT</v>
      </c>
      <c r="L444" s="13">
        <f>IFERROR(VLOOKUP(B444,[1]Kundenübersicht!$E$4:$AC$1003,MATCH(L$3,[1]Kundenübersicht!$E$3:$BA$3,FALSE),FALSE),"")</f>
        <v>109990508</v>
      </c>
      <c r="M444" s="13" t="str">
        <f>IFERROR(VLOOKUP(B444,[1]Kundenübersicht!$E$4:$AC$1003,MATCH(M$3,[1]Kundenübersicht!$E$3:$BA$3,FALSE),FALSE),"")</f>
        <v>I767390429</v>
      </c>
      <c r="N444" s="13" t="str">
        <f>IFERROR(VLOOKUP(B444,[1]Kundenübersicht!$E$4:$AC$1003,MATCH(N$3,[1]Kundenübersicht!$E$3:$BA$3,FALSE),FALSE),"")</f>
        <v>PG 1</v>
      </c>
      <c r="P444" s="9" t="s">
        <v>29</v>
      </c>
      <c r="R444" s="9" t="s">
        <v>75</v>
      </c>
      <c r="S444" s="14" t="s">
        <v>31</v>
      </c>
      <c r="U444" s="15">
        <f>IF(YEAR(C444)&lt;=2025,IFERROR(IF(I444="Hauswirtschaft",VLOOKUP($B444,[1]Kundenübersicht!$E$4:$BA$1003,MATCH("Hauswirtschaft [€/Stunde]",[1]Kundenübersicht!$E$3:$BA$3,FALSE),FALSE),VLOOKUP($B444,[1]Kundenübersicht!$E$4:$BA$1003,MATCH("Alltagsbegleitung [€/Stunde]",[1]Kundenübersicht!$E$3:$BA$3,FALSE),FALSE)),0),IFERROR(IF(I444="Hauswirtschaft",VLOOKUP($B444,[1]Kundenübersicht!$E$4:$BA$1003,MATCH("HW ab 2026 [€/Stunde]",[1]Kundenübersicht!$E$3:$BA$3,FALSE),FALSE),VLOOKUP($B444,[1]Kundenübersicht!$E$4:$BA$1003,MATCH("Alltagsbegleitung [€/Stunde]",[1]Kundenübersicht!$E$3:$BA$3,FALSE),FALSE)),0))</f>
        <v>42</v>
      </c>
      <c r="V444" s="16">
        <f t="shared" si="110"/>
        <v>83.999999999999986</v>
      </c>
      <c r="W444" s="16">
        <f t="shared" si="102"/>
        <v>7</v>
      </c>
      <c r="X444" s="16" t="s">
        <v>89</v>
      </c>
      <c r="Z444" s="20" t="s">
        <v>95</v>
      </c>
      <c r="AA444" s="19"/>
      <c r="AC444" s="19"/>
      <c r="AE444" s="9">
        <f t="shared" si="98"/>
        <v>2026</v>
      </c>
      <c r="AF444" s="17" t="str">
        <f t="shared" si="99"/>
        <v>01.2026</v>
      </c>
      <c r="AG444" s="17" t="str">
        <f t="shared" si="100"/>
        <v>Naji El Ali</v>
      </c>
      <c r="AH444" s="17" t="str">
        <f>IFERROR(VLOOKUP(B444,[1]Kundenübersicht!$E$4:$F$85,2,FALSE),"")</f>
        <v>Jens Wolf</v>
      </c>
      <c r="AI444" s="17" t="str">
        <f t="shared" si="106"/>
        <v>Alltagsbegleitung</v>
      </c>
      <c r="AJ444" s="17" t="str">
        <f t="shared" si="106"/>
        <v>Entlastungsleistung</v>
      </c>
      <c r="AL444" s="18">
        <f t="shared" si="94"/>
        <v>42</v>
      </c>
      <c r="AM444" s="18">
        <f t="shared" si="95"/>
        <v>83.999999999999986</v>
      </c>
      <c r="AN444" s="18">
        <f t="shared" si="96"/>
        <v>7</v>
      </c>
    </row>
    <row r="445" spans="1:40" x14ac:dyDescent="0.25">
      <c r="A445" s="37"/>
      <c r="B445" s="38" t="s">
        <v>35</v>
      </c>
      <c r="C445" s="31">
        <v>46030</v>
      </c>
      <c r="D445" s="32">
        <v>0.61458333333333337</v>
      </c>
      <c r="E445" s="32">
        <v>0.65625</v>
      </c>
      <c r="F445" s="12">
        <f t="shared" si="109"/>
        <v>0.99999999999999911</v>
      </c>
      <c r="G445" s="12">
        <v>15</v>
      </c>
      <c r="H445" s="30" t="s">
        <v>85</v>
      </c>
      <c r="I445" s="30" t="s">
        <v>41</v>
      </c>
      <c r="J445" s="30" t="s">
        <v>28</v>
      </c>
      <c r="K445" s="9" t="str">
        <f>IFERROR(VLOOKUP($B445,[1]Kundenübersicht!$E$4:$AC$1003,MATCH(K$3,[1]Kundenübersicht!$E$3:$BA$3,FALSE),FALSE),"")</f>
        <v>AOK PLUS</v>
      </c>
      <c r="L445" s="13">
        <f>IFERROR(VLOOKUP(B445,[1]Kundenübersicht!$E$4:$AC$1003,MATCH(L$3,[1]Kundenübersicht!$E$3:$BA$3,FALSE),FALSE),"")</f>
        <v>107299005</v>
      </c>
      <c r="M445" s="13" t="str">
        <f>IFERROR(VLOOKUP(B445,[1]Kundenübersicht!$E$4:$AC$1003,MATCH(M$3,[1]Kundenübersicht!$E$3:$BA$3,FALSE),FALSE),"")</f>
        <v>P722909118</v>
      </c>
      <c r="N445" s="13" t="str">
        <f>IFERROR(VLOOKUP(B445,[1]Kundenübersicht!$E$4:$AC$1003,MATCH(N$3,[1]Kundenübersicht!$E$3:$BA$3,FALSE),FALSE),"")</f>
        <v>PG 3</v>
      </c>
      <c r="P445" s="9" t="s">
        <v>29</v>
      </c>
      <c r="R445" s="9" t="s">
        <v>75</v>
      </c>
      <c r="S445" s="14" t="s">
        <v>31</v>
      </c>
      <c r="U445" s="15">
        <f>IF(YEAR(C445)&lt;=2025,IFERROR(IF(I445="Hauswirtschaft",VLOOKUP($B445,[1]Kundenübersicht!$E$4:$BA$1003,MATCH("Hauswirtschaft [€/Stunde]",[1]Kundenübersicht!$E$3:$BA$3,FALSE),FALSE),VLOOKUP($B445,[1]Kundenübersicht!$E$4:$BA$1003,MATCH("Alltagsbegleitung [€/Stunde]",[1]Kundenübersicht!$E$3:$BA$3,FALSE),FALSE)),0),IFERROR(IF(I445="Hauswirtschaft",VLOOKUP($B445,[1]Kundenübersicht!$E$4:$BA$1003,MATCH("HW ab 2026 [€/Stunde]",[1]Kundenübersicht!$E$3:$BA$3,FALSE),FALSE),VLOOKUP($B445,[1]Kundenübersicht!$E$4:$BA$1003,MATCH("Alltagsbegleitung [€/Stunde]",[1]Kundenübersicht!$E$3:$BA$3,FALSE),FALSE)),0))</f>
        <v>42</v>
      </c>
      <c r="V445" s="16">
        <f t="shared" si="110"/>
        <v>41.999999999999964</v>
      </c>
      <c r="W445" s="16">
        <f t="shared" si="102"/>
        <v>5.25</v>
      </c>
      <c r="X445" s="16" t="s">
        <v>89</v>
      </c>
      <c r="Z445" s="20" t="s">
        <v>95</v>
      </c>
      <c r="AA445" s="19"/>
      <c r="AC445" s="19"/>
      <c r="AE445" s="9">
        <f t="shared" si="98"/>
        <v>2026</v>
      </c>
      <c r="AF445" s="17" t="str">
        <f t="shared" si="99"/>
        <v>01.2026</v>
      </c>
      <c r="AG445" s="17" t="str">
        <f t="shared" si="100"/>
        <v>Naji El Ali</v>
      </c>
      <c r="AH445" s="17" t="str">
        <f>IFERROR(VLOOKUP(B445,[1]Kundenübersicht!$E$4:$F$85,2,FALSE),"")</f>
        <v>Elke Berghold</v>
      </c>
      <c r="AI445" s="17" t="str">
        <f t="shared" si="106"/>
        <v>Alltagsbegleitung</v>
      </c>
      <c r="AJ445" s="17" t="str">
        <f t="shared" si="106"/>
        <v>Entlastungsleistung</v>
      </c>
      <c r="AL445" s="18">
        <f t="shared" si="94"/>
        <v>42</v>
      </c>
      <c r="AM445" s="18">
        <f t="shared" si="95"/>
        <v>41.999999999999964</v>
      </c>
      <c r="AN445" s="18">
        <f t="shared" si="96"/>
        <v>5.25</v>
      </c>
    </row>
    <row r="446" spans="1:40" x14ac:dyDescent="0.25">
      <c r="A446" s="37"/>
      <c r="B446" s="38" t="s">
        <v>35</v>
      </c>
      <c r="C446" s="31">
        <v>46031</v>
      </c>
      <c r="D446" s="32">
        <v>0.58333333333333337</v>
      </c>
      <c r="E446" s="32">
        <v>0.64583333333333337</v>
      </c>
      <c r="F446" s="12">
        <f t="shared" si="109"/>
        <v>1.5</v>
      </c>
      <c r="G446" s="12">
        <v>15</v>
      </c>
      <c r="H446" s="30" t="s">
        <v>85</v>
      </c>
      <c r="I446" s="30" t="s">
        <v>41</v>
      </c>
      <c r="J446" s="30" t="s">
        <v>28</v>
      </c>
      <c r="K446" s="9" t="str">
        <f>IFERROR(VLOOKUP($B446,[1]Kundenübersicht!$E$4:$AC$1003,MATCH(K$3,[1]Kundenübersicht!$E$3:$BA$3,FALSE),FALSE),"")</f>
        <v>AOK PLUS</v>
      </c>
      <c r="L446" s="13">
        <f>IFERROR(VLOOKUP(B446,[1]Kundenübersicht!$E$4:$AC$1003,MATCH(L$3,[1]Kundenübersicht!$E$3:$BA$3,FALSE),FALSE),"")</f>
        <v>107299005</v>
      </c>
      <c r="M446" s="13" t="str">
        <f>IFERROR(VLOOKUP(B446,[1]Kundenübersicht!$E$4:$AC$1003,MATCH(M$3,[1]Kundenübersicht!$E$3:$BA$3,FALSE),FALSE),"")</f>
        <v>P722909118</v>
      </c>
      <c r="N446" s="13" t="str">
        <f>IFERROR(VLOOKUP(B446,[1]Kundenübersicht!$E$4:$AC$1003,MATCH(N$3,[1]Kundenübersicht!$E$3:$BA$3,FALSE),FALSE),"")</f>
        <v>PG 3</v>
      </c>
      <c r="P446" s="9" t="s">
        <v>29</v>
      </c>
      <c r="R446" s="9" t="s">
        <v>75</v>
      </c>
      <c r="S446" s="14" t="s">
        <v>31</v>
      </c>
      <c r="U446" s="15">
        <f>IF(YEAR(C446)&lt;=2025,IFERROR(IF(I446="Hauswirtschaft",VLOOKUP($B446,[1]Kundenübersicht!$E$4:$BA$1003,MATCH("Hauswirtschaft [€/Stunde]",[1]Kundenübersicht!$E$3:$BA$3,FALSE),FALSE),VLOOKUP($B446,[1]Kundenübersicht!$E$4:$BA$1003,MATCH("Alltagsbegleitung [€/Stunde]",[1]Kundenübersicht!$E$3:$BA$3,FALSE),FALSE)),0),IFERROR(IF(I446="Hauswirtschaft",VLOOKUP($B446,[1]Kundenübersicht!$E$4:$BA$1003,MATCH("HW ab 2026 [€/Stunde]",[1]Kundenübersicht!$E$3:$BA$3,FALSE),FALSE),VLOOKUP($B446,[1]Kundenübersicht!$E$4:$BA$1003,MATCH("Alltagsbegleitung [€/Stunde]",[1]Kundenübersicht!$E$3:$BA$3,FALSE),FALSE)),0))</f>
        <v>42</v>
      </c>
      <c r="V446" s="16">
        <f t="shared" si="110"/>
        <v>63</v>
      </c>
      <c r="W446" s="16">
        <f t="shared" si="102"/>
        <v>5.25</v>
      </c>
      <c r="X446" s="16" t="s">
        <v>89</v>
      </c>
      <c r="Z446" s="20" t="s">
        <v>95</v>
      </c>
      <c r="AA446" s="19"/>
      <c r="AC446" s="19"/>
      <c r="AE446" s="9">
        <f t="shared" si="98"/>
        <v>2026</v>
      </c>
      <c r="AF446" s="17" t="str">
        <f t="shared" si="99"/>
        <v>01.2026</v>
      </c>
      <c r="AG446" s="17" t="str">
        <f t="shared" si="100"/>
        <v>Naji El Ali</v>
      </c>
      <c r="AH446" s="17" t="str">
        <f>IFERROR(VLOOKUP(B446,[1]Kundenübersicht!$E$4:$F$85,2,FALSE),"")</f>
        <v>Elke Berghold</v>
      </c>
      <c r="AI446" s="17" t="str">
        <f t="shared" si="106"/>
        <v>Alltagsbegleitung</v>
      </c>
      <c r="AJ446" s="17" t="str">
        <f t="shared" si="106"/>
        <v>Entlastungsleistung</v>
      </c>
      <c r="AL446" s="18">
        <f t="shared" si="94"/>
        <v>42</v>
      </c>
      <c r="AM446" s="18">
        <f t="shared" si="95"/>
        <v>63</v>
      </c>
      <c r="AN446" s="18">
        <f t="shared" si="96"/>
        <v>5.25</v>
      </c>
    </row>
    <row r="447" spans="1:40" x14ac:dyDescent="0.25">
      <c r="A447" s="37"/>
      <c r="B447" s="38" t="s">
        <v>35</v>
      </c>
      <c r="C447" s="31">
        <v>46038</v>
      </c>
      <c r="D447" s="32">
        <v>0.61458333333333337</v>
      </c>
      <c r="E447" s="32">
        <v>0.67708333333333337</v>
      </c>
      <c r="F447" s="12">
        <f t="shared" si="109"/>
        <v>1.5</v>
      </c>
      <c r="G447" s="12">
        <v>15</v>
      </c>
      <c r="H447" s="30" t="s">
        <v>85</v>
      </c>
      <c r="I447" s="30" t="s">
        <v>41</v>
      </c>
      <c r="J447" s="30" t="s">
        <v>28</v>
      </c>
      <c r="K447" s="9" t="str">
        <f>IFERROR(VLOOKUP($B447,[1]Kundenübersicht!$E$4:$AC$1003,MATCH(K$3,[1]Kundenübersicht!$E$3:$BA$3,FALSE),FALSE),"")</f>
        <v>AOK PLUS</v>
      </c>
      <c r="L447" s="13">
        <f>IFERROR(VLOOKUP(B447,[1]Kundenübersicht!$E$4:$AC$1003,MATCH(L$3,[1]Kundenübersicht!$E$3:$BA$3,FALSE),FALSE),"")</f>
        <v>107299005</v>
      </c>
      <c r="M447" s="13" t="str">
        <f>IFERROR(VLOOKUP(B447,[1]Kundenübersicht!$E$4:$AC$1003,MATCH(M$3,[1]Kundenübersicht!$E$3:$BA$3,FALSE),FALSE),"")</f>
        <v>P722909118</v>
      </c>
      <c r="N447" s="13" t="str">
        <f>IFERROR(VLOOKUP(B447,[1]Kundenübersicht!$E$4:$AC$1003,MATCH(N$3,[1]Kundenübersicht!$E$3:$BA$3,FALSE),FALSE),"")</f>
        <v>PG 3</v>
      </c>
      <c r="P447" s="9" t="s">
        <v>29</v>
      </c>
      <c r="R447" s="9" t="s">
        <v>75</v>
      </c>
      <c r="S447" s="14" t="s">
        <v>31</v>
      </c>
      <c r="U447" s="15">
        <f>IF(YEAR(C447)&lt;=2025,IFERROR(IF(I447="Hauswirtschaft",VLOOKUP($B447,[1]Kundenübersicht!$E$4:$BA$1003,MATCH("Hauswirtschaft [€/Stunde]",[1]Kundenübersicht!$E$3:$BA$3,FALSE),FALSE),VLOOKUP($B447,[1]Kundenübersicht!$E$4:$BA$1003,MATCH("Alltagsbegleitung [€/Stunde]",[1]Kundenübersicht!$E$3:$BA$3,FALSE),FALSE)),0),IFERROR(IF(I447="Hauswirtschaft",VLOOKUP($B447,[1]Kundenübersicht!$E$4:$BA$1003,MATCH("HW ab 2026 [€/Stunde]",[1]Kundenübersicht!$E$3:$BA$3,FALSE),FALSE),VLOOKUP($B447,[1]Kundenübersicht!$E$4:$BA$1003,MATCH("Alltagsbegleitung [€/Stunde]",[1]Kundenübersicht!$E$3:$BA$3,FALSE),FALSE)),0))</f>
        <v>42</v>
      </c>
      <c r="V447" s="16">
        <f t="shared" si="110"/>
        <v>63</v>
      </c>
      <c r="W447" s="16">
        <f t="shared" si="102"/>
        <v>5.25</v>
      </c>
      <c r="X447" s="16" t="s">
        <v>89</v>
      </c>
      <c r="Z447" s="20" t="s">
        <v>95</v>
      </c>
      <c r="AA447" s="19"/>
      <c r="AC447" s="19"/>
      <c r="AE447" s="9">
        <f t="shared" si="98"/>
        <v>2026</v>
      </c>
      <c r="AF447" s="17" t="str">
        <f t="shared" si="99"/>
        <v>01.2026</v>
      </c>
      <c r="AG447" s="17" t="str">
        <f t="shared" si="100"/>
        <v>Naji El Ali</v>
      </c>
      <c r="AH447" s="17" t="str">
        <f>IFERROR(VLOOKUP(B447,[1]Kundenübersicht!$E$4:$F$85,2,FALSE),"")</f>
        <v>Elke Berghold</v>
      </c>
      <c r="AI447" s="17" t="str">
        <f t="shared" si="106"/>
        <v>Alltagsbegleitung</v>
      </c>
      <c r="AJ447" s="17" t="str">
        <f t="shared" si="106"/>
        <v>Entlastungsleistung</v>
      </c>
      <c r="AL447" s="18">
        <f t="shared" si="94"/>
        <v>42</v>
      </c>
      <c r="AM447" s="18">
        <f t="shared" si="95"/>
        <v>63</v>
      </c>
      <c r="AN447" s="18">
        <f t="shared" si="96"/>
        <v>5.25</v>
      </c>
    </row>
    <row r="448" spans="1:40" x14ac:dyDescent="0.25">
      <c r="A448" s="37"/>
      <c r="B448" s="38" t="s">
        <v>35</v>
      </c>
      <c r="C448" s="31">
        <v>46048</v>
      </c>
      <c r="D448" s="32">
        <v>0.48958333333333331</v>
      </c>
      <c r="E448" s="32">
        <v>0.53125</v>
      </c>
      <c r="F448" s="12">
        <f t="shared" si="109"/>
        <v>1.0000000000000004</v>
      </c>
      <c r="G448" s="12">
        <v>10</v>
      </c>
      <c r="H448" s="30" t="s">
        <v>85</v>
      </c>
      <c r="I448" s="30" t="s">
        <v>41</v>
      </c>
      <c r="J448" s="30" t="s">
        <v>28</v>
      </c>
      <c r="K448" s="9" t="str">
        <f>IFERROR(VLOOKUP($B448,[1]Kundenübersicht!$E$4:$AC$1003,MATCH(K$3,[1]Kundenübersicht!$E$3:$BA$3,FALSE),FALSE),"")</f>
        <v>AOK PLUS</v>
      </c>
      <c r="L448" s="13">
        <f>IFERROR(VLOOKUP(B448,[1]Kundenübersicht!$E$4:$AC$1003,MATCH(L$3,[1]Kundenübersicht!$E$3:$BA$3,FALSE),FALSE),"")</f>
        <v>107299005</v>
      </c>
      <c r="M448" s="13" t="str">
        <f>IFERROR(VLOOKUP(B448,[1]Kundenübersicht!$E$4:$AC$1003,MATCH(M$3,[1]Kundenübersicht!$E$3:$BA$3,FALSE),FALSE),"")</f>
        <v>P722909118</v>
      </c>
      <c r="N448" s="13" t="str">
        <f>IFERROR(VLOOKUP(B448,[1]Kundenübersicht!$E$4:$AC$1003,MATCH(N$3,[1]Kundenübersicht!$E$3:$BA$3,FALSE),FALSE),"")</f>
        <v>PG 3</v>
      </c>
      <c r="P448" s="9" t="s">
        <v>29</v>
      </c>
      <c r="R448" s="9" t="s">
        <v>75</v>
      </c>
      <c r="S448" s="14" t="s">
        <v>31</v>
      </c>
      <c r="U448" s="15">
        <f>IF(YEAR(C448)&lt;=2025,IFERROR(IF(I448="Hauswirtschaft",VLOOKUP($B448,[1]Kundenübersicht!$E$4:$BA$1003,MATCH("Hauswirtschaft [€/Stunde]",[1]Kundenübersicht!$E$3:$BA$3,FALSE),FALSE),VLOOKUP($B448,[1]Kundenübersicht!$E$4:$BA$1003,MATCH("Alltagsbegleitung [€/Stunde]",[1]Kundenübersicht!$E$3:$BA$3,FALSE),FALSE)),0),IFERROR(IF(I448="Hauswirtschaft",VLOOKUP($B448,[1]Kundenübersicht!$E$4:$BA$1003,MATCH("HW ab 2026 [€/Stunde]",[1]Kundenübersicht!$E$3:$BA$3,FALSE),FALSE),VLOOKUP($B448,[1]Kundenübersicht!$E$4:$BA$1003,MATCH("Alltagsbegleitung [€/Stunde]",[1]Kundenübersicht!$E$3:$BA$3,FALSE),FALSE)),0))</f>
        <v>42</v>
      </c>
      <c r="V448" s="16">
        <f t="shared" si="110"/>
        <v>42.000000000000021</v>
      </c>
      <c r="W448" s="16">
        <f t="shared" si="102"/>
        <v>3.5</v>
      </c>
      <c r="X448" s="16" t="s">
        <v>89</v>
      </c>
      <c r="Z448" s="20" t="s">
        <v>95</v>
      </c>
      <c r="AA448" s="19"/>
      <c r="AC448" s="19"/>
      <c r="AE448" s="9">
        <f t="shared" si="98"/>
        <v>2026</v>
      </c>
      <c r="AF448" s="17" t="str">
        <f t="shared" si="99"/>
        <v>01.2026</v>
      </c>
      <c r="AG448" s="17" t="str">
        <f t="shared" si="100"/>
        <v>Naji El Ali</v>
      </c>
      <c r="AH448" s="17" t="str">
        <f>IFERROR(VLOOKUP(B448,[1]Kundenübersicht!$E$4:$F$85,2,FALSE),"")</f>
        <v>Elke Berghold</v>
      </c>
      <c r="AI448" s="17" t="str">
        <f t="shared" si="106"/>
        <v>Alltagsbegleitung</v>
      </c>
      <c r="AJ448" s="17" t="str">
        <f t="shared" si="106"/>
        <v>Entlastungsleistung</v>
      </c>
      <c r="AL448" s="18">
        <f t="shared" si="94"/>
        <v>42</v>
      </c>
      <c r="AM448" s="18">
        <f t="shared" si="95"/>
        <v>42.000000000000021</v>
      </c>
      <c r="AN448" s="18">
        <f t="shared" si="96"/>
        <v>3.5</v>
      </c>
    </row>
    <row r="449" spans="1:40" x14ac:dyDescent="0.25">
      <c r="A449" s="37"/>
      <c r="B449" s="38" t="s">
        <v>35</v>
      </c>
      <c r="C449" s="31">
        <v>46049</v>
      </c>
      <c r="D449" s="32">
        <v>0.40625</v>
      </c>
      <c r="E449" s="32">
        <v>0.46875</v>
      </c>
      <c r="F449" s="12">
        <f t="shared" si="109"/>
        <v>1.5</v>
      </c>
      <c r="G449" s="12">
        <v>10</v>
      </c>
      <c r="H449" s="30" t="s">
        <v>85</v>
      </c>
      <c r="I449" s="30" t="s">
        <v>41</v>
      </c>
      <c r="J449" s="30" t="s">
        <v>28</v>
      </c>
      <c r="K449" s="9" t="str">
        <f>IFERROR(VLOOKUP($B449,[1]Kundenübersicht!$E$4:$AC$1003,MATCH(K$3,[1]Kundenübersicht!$E$3:$BA$3,FALSE),FALSE),"")</f>
        <v>AOK PLUS</v>
      </c>
      <c r="L449" s="13">
        <f>IFERROR(VLOOKUP(B449,[1]Kundenübersicht!$E$4:$AC$1003,MATCH(L$3,[1]Kundenübersicht!$E$3:$BA$3,FALSE),FALSE),"")</f>
        <v>107299005</v>
      </c>
      <c r="M449" s="13" t="str">
        <f>IFERROR(VLOOKUP(B449,[1]Kundenübersicht!$E$4:$AC$1003,MATCH(M$3,[1]Kundenübersicht!$E$3:$BA$3,FALSE),FALSE),"")</f>
        <v>P722909118</v>
      </c>
      <c r="N449" s="13" t="str">
        <f>IFERROR(VLOOKUP(B449,[1]Kundenübersicht!$E$4:$AC$1003,MATCH(N$3,[1]Kundenübersicht!$E$3:$BA$3,FALSE),FALSE),"")</f>
        <v>PG 3</v>
      </c>
      <c r="P449" s="9" t="s">
        <v>29</v>
      </c>
      <c r="R449" s="9" t="s">
        <v>75</v>
      </c>
      <c r="S449" s="14" t="s">
        <v>31</v>
      </c>
      <c r="U449" s="15">
        <f>IF(YEAR(C449)&lt;=2025,IFERROR(IF(I449="Hauswirtschaft",VLOOKUP($B449,[1]Kundenübersicht!$E$4:$BA$1003,MATCH("Hauswirtschaft [€/Stunde]",[1]Kundenübersicht!$E$3:$BA$3,FALSE),FALSE),VLOOKUP($B449,[1]Kundenübersicht!$E$4:$BA$1003,MATCH("Alltagsbegleitung [€/Stunde]",[1]Kundenübersicht!$E$3:$BA$3,FALSE),FALSE)),0),IFERROR(IF(I449="Hauswirtschaft",VLOOKUP($B449,[1]Kundenübersicht!$E$4:$BA$1003,MATCH("HW ab 2026 [€/Stunde]",[1]Kundenübersicht!$E$3:$BA$3,FALSE),FALSE),VLOOKUP($B449,[1]Kundenübersicht!$E$4:$BA$1003,MATCH("Alltagsbegleitung [€/Stunde]",[1]Kundenübersicht!$E$3:$BA$3,FALSE),FALSE)),0))</f>
        <v>42</v>
      </c>
      <c r="V449" s="16">
        <f t="shared" si="110"/>
        <v>63</v>
      </c>
      <c r="W449" s="16">
        <f t="shared" si="102"/>
        <v>3.5</v>
      </c>
      <c r="X449" s="16" t="s">
        <v>89</v>
      </c>
      <c r="Z449" s="20" t="s">
        <v>95</v>
      </c>
      <c r="AA449" s="19"/>
      <c r="AC449" s="19"/>
      <c r="AE449" s="9">
        <f t="shared" si="98"/>
        <v>2026</v>
      </c>
      <c r="AF449" s="17" t="str">
        <f t="shared" si="99"/>
        <v>01.2026</v>
      </c>
      <c r="AG449" s="17" t="str">
        <f t="shared" si="100"/>
        <v>Naji El Ali</v>
      </c>
      <c r="AH449" s="17" t="str">
        <f>IFERROR(VLOOKUP(B449,[1]Kundenübersicht!$E$4:$F$85,2,FALSE),"")</f>
        <v>Elke Berghold</v>
      </c>
      <c r="AI449" s="17" t="str">
        <f t="shared" si="106"/>
        <v>Alltagsbegleitung</v>
      </c>
      <c r="AJ449" s="17" t="str">
        <f t="shared" si="106"/>
        <v>Entlastungsleistung</v>
      </c>
      <c r="AL449" s="18">
        <f t="shared" ref="AL449:AL512" si="111">IF(I449="Hauswirtschaft",38,42)</f>
        <v>42</v>
      </c>
      <c r="AM449" s="18">
        <f t="shared" ref="AM449:AM512" si="112">AL449*F449</f>
        <v>63</v>
      </c>
      <c r="AN449" s="18">
        <f t="shared" ref="AN449:AN512" si="113">G449*0.35</f>
        <v>3.5</v>
      </c>
    </row>
    <row r="450" spans="1:40" x14ac:dyDescent="0.25">
      <c r="B450" s="30" t="s">
        <v>96</v>
      </c>
      <c r="C450" s="31">
        <v>46045</v>
      </c>
      <c r="D450" s="32">
        <v>0.41666666666666669</v>
      </c>
      <c r="E450" s="32">
        <v>0.5</v>
      </c>
      <c r="F450" s="12">
        <f t="shared" si="109"/>
        <v>1.9999999999999996</v>
      </c>
      <c r="G450" s="12"/>
      <c r="H450" s="30" t="s">
        <v>92</v>
      </c>
      <c r="I450" s="30" t="s">
        <v>27</v>
      </c>
      <c r="J450" s="30" t="s">
        <v>28</v>
      </c>
      <c r="K450" s="9" t="str">
        <f>IFERROR(VLOOKUP($B450,[1]Kundenübersicht!$E$4:$AC$1003,MATCH(K$3,[1]Kundenübersicht!$E$3:$BA$3,FALSE),FALSE),"")</f>
        <v>Siemens Betriebskrankenkasse</v>
      </c>
      <c r="L450" s="13" t="str">
        <f>IFERROR(VLOOKUP(B450,[1]Kundenübersicht!$E$4:$AC$1003,MATCH(L$3,[1]Kundenübersicht!$E$3:$BA$3,FALSE),FALSE),"")</f>
        <v>108833505</v>
      </c>
      <c r="M450" s="13" t="str">
        <f>IFERROR(VLOOKUP(B450,[1]Kundenübersicht!$E$4:$AC$1003,MATCH(M$3,[1]Kundenübersicht!$E$3:$BA$3,FALSE),FALSE),"")</f>
        <v>K638875010</v>
      </c>
      <c r="N450" s="13" t="str">
        <f>IFERROR(VLOOKUP(B450,[1]Kundenübersicht!$E$4:$AC$1003,MATCH(N$3,[1]Kundenübersicht!$E$3:$BA$3,FALSE),FALSE),"")</f>
        <v>PG 2</v>
      </c>
      <c r="P450" s="9" t="s">
        <v>29</v>
      </c>
      <c r="R450" s="9" t="s">
        <v>30</v>
      </c>
      <c r="S450" s="14" t="s">
        <v>31</v>
      </c>
      <c r="U450" s="15">
        <f>IF(YEAR(C450)&lt;=2025,IFERROR(IF(I450="Hauswirtschaft",VLOOKUP($B450,[1]Kundenübersicht!$E$4:$BA$1003,MATCH("Hauswirtschaft [€/Stunde]",[1]Kundenübersicht!$E$3:$BA$3,FALSE),FALSE),VLOOKUP($B450,[1]Kundenübersicht!$E$4:$BA$1003,MATCH("Alltagsbegleitung [€/Stunde]",[1]Kundenübersicht!$E$3:$BA$3,FALSE),FALSE)),0),IFERROR(IF(I450="Hauswirtschaft",VLOOKUP($B450,[1]Kundenübersicht!$E$4:$BA$1003,MATCH("HW ab 2026 [€/Stunde]",[1]Kundenübersicht!$E$3:$BA$3,FALSE),FALSE),VLOOKUP($B450,[1]Kundenübersicht!$E$4:$BA$1003,MATCH("Alltagsbegleitung [€/Stunde]",[1]Kundenübersicht!$E$3:$BA$3,FALSE),FALSE)),0))</f>
        <v>38</v>
      </c>
      <c r="V450" s="16">
        <f t="shared" si="110"/>
        <v>75.999999999999986</v>
      </c>
      <c r="W450" s="16">
        <f t="shared" si="102"/>
        <v>0</v>
      </c>
      <c r="X450" s="16" t="s">
        <v>89</v>
      </c>
      <c r="Z450" s="20" t="s">
        <v>95</v>
      </c>
      <c r="AA450" s="19"/>
      <c r="AC450" s="19"/>
      <c r="AE450" s="9">
        <f t="shared" si="98"/>
        <v>2026</v>
      </c>
      <c r="AF450" s="17" t="str">
        <f t="shared" si="99"/>
        <v>01.2026</v>
      </c>
      <c r="AG450" s="17" t="str">
        <f t="shared" si="100"/>
        <v>Ute Ahnert</v>
      </c>
      <c r="AH450" s="17" t="str">
        <f>IFERROR(VLOOKUP(B450,[1]Kundenübersicht!$E$4:$F$85,2,FALSE),"")</f>
        <v>Ursula Neuber</v>
      </c>
      <c r="AI450" s="17" t="str">
        <f t="shared" si="106"/>
        <v>Hauswirtschaft</v>
      </c>
      <c r="AJ450" s="17" t="str">
        <f t="shared" si="106"/>
        <v>Entlastungsleistung</v>
      </c>
      <c r="AL450" s="18">
        <f t="shared" si="111"/>
        <v>38</v>
      </c>
      <c r="AM450" s="18">
        <f t="shared" si="112"/>
        <v>75.999999999999986</v>
      </c>
      <c r="AN450" s="18">
        <f t="shared" si="113"/>
        <v>0</v>
      </c>
    </row>
    <row r="451" spans="1:40" x14ac:dyDescent="0.25">
      <c r="B451" s="30" t="s">
        <v>96</v>
      </c>
      <c r="C451" s="31">
        <v>46051</v>
      </c>
      <c r="D451" s="32">
        <v>0.41666666666666669</v>
      </c>
      <c r="E451" s="32">
        <v>0.5</v>
      </c>
      <c r="F451" s="12">
        <f t="shared" si="109"/>
        <v>1.9999999999999996</v>
      </c>
      <c r="G451" s="12"/>
      <c r="H451" s="30" t="s">
        <v>92</v>
      </c>
      <c r="I451" s="30" t="s">
        <v>27</v>
      </c>
      <c r="J451" s="30" t="s">
        <v>28</v>
      </c>
      <c r="K451" s="9" t="str">
        <f>IFERROR(VLOOKUP($B451,[1]Kundenübersicht!$E$4:$AC$1003,MATCH(K$3,[1]Kundenübersicht!$E$3:$BA$3,FALSE),FALSE),"")</f>
        <v>Siemens Betriebskrankenkasse</v>
      </c>
      <c r="L451" s="13" t="str">
        <f>IFERROR(VLOOKUP(B451,[1]Kundenübersicht!$E$4:$AC$1003,MATCH(L$3,[1]Kundenübersicht!$E$3:$BA$3,FALSE),FALSE),"")</f>
        <v>108833505</v>
      </c>
      <c r="M451" s="13" t="str">
        <f>IFERROR(VLOOKUP(B451,[1]Kundenübersicht!$E$4:$AC$1003,MATCH(M$3,[1]Kundenübersicht!$E$3:$BA$3,FALSE),FALSE),"")</f>
        <v>K638875010</v>
      </c>
      <c r="N451" s="13" t="str">
        <f>IFERROR(VLOOKUP(B451,[1]Kundenübersicht!$E$4:$AC$1003,MATCH(N$3,[1]Kundenübersicht!$E$3:$BA$3,FALSE),FALSE),"")</f>
        <v>PG 2</v>
      </c>
      <c r="P451" s="9" t="s">
        <v>29</v>
      </c>
      <c r="R451" s="9" t="s">
        <v>30</v>
      </c>
      <c r="S451" s="14" t="s">
        <v>31</v>
      </c>
      <c r="U451" s="15">
        <f>IF(YEAR(C451)&lt;=2025,IFERROR(IF(I451="Hauswirtschaft",VLOOKUP($B451,[1]Kundenübersicht!$E$4:$BA$1003,MATCH("Hauswirtschaft [€/Stunde]",[1]Kundenübersicht!$E$3:$BA$3,FALSE),FALSE),VLOOKUP($B451,[1]Kundenübersicht!$E$4:$BA$1003,MATCH("Alltagsbegleitung [€/Stunde]",[1]Kundenübersicht!$E$3:$BA$3,FALSE),FALSE)),0),IFERROR(IF(I451="Hauswirtschaft",VLOOKUP($B451,[1]Kundenübersicht!$E$4:$BA$1003,MATCH("HW ab 2026 [€/Stunde]",[1]Kundenübersicht!$E$3:$BA$3,FALSE),FALSE),VLOOKUP($B451,[1]Kundenübersicht!$E$4:$BA$1003,MATCH("Alltagsbegleitung [€/Stunde]",[1]Kundenübersicht!$E$3:$BA$3,FALSE),FALSE)),0))</f>
        <v>38</v>
      </c>
      <c r="V451" s="16">
        <f t="shared" si="110"/>
        <v>75.999999999999986</v>
      </c>
      <c r="W451" s="16">
        <f t="shared" si="102"/>
        <v>0</v>
      </c>
      <c r="X451" s="16" t="s">
        <v>89</v>
      </c>
      <c r="Z451" s="20" t="s">
        <v>95</v>
      </c>
      <c r="AA451" s="19"/>
      <c r="AC451" s="19"/>
      <c r="AE451" s="9">
        <f t="shared" si="98"/>
        <v>2026</v>
      </c>
      <c r="AF451" s="17" t="str">
        <f t="shared" si="99"/>
        <v>01.2026</v>
      </c>
      <c r="AG451" s="17" t="str">
        <f t="shared" si="100"/>
        <v>Ute Ahnert</v>
      </c>
      <c r="AH451" s="17" t="str">
        <f>IFERROR(VLOOKUP(B451,[1]Kundenübersicht!$E$4:$F$85,2,FALSE),"")</f>
        <v>Ursula Neuber</v>
      </c>
      <c r="AI451" s="17" t="str">
        <f t="shared" ref="AI451:AJ482" si="114">IF(I451="","",I451)</f>
        <v>Hauswirtschaft</v>
      </c>
      <c r="AJ451" s="17" t="str">
        <f t="shared" si="114"/>
        <v>Entlastungsleistung</v>
      </c>
      <c r="AL451" s="18">
        <f t="shared" si="111"/>
        <v>38</v>
      </c>
      <c r="AM451" s="18">
        <f t="shared" si="112"/>
        <v>75.999999999999986</v>
      </c>
      <c r="AN451" s="18">
        <f t="shared" si="113"/>
        <v>0</v>
      </c>
    </row>
    <row r="452" spans="1:40" x14ac:dyDescent="0.25">
      <c r="B452" s="30" t="s">
        <v>97</v>
      </c>
      <c r="C452" s="31">
        <v>46029</v>
      </c>
      <c r="D452" s="32">
        <v>0.5</v>
      </c>
      <c r="E452" s="32">
        <v>0.58333333333333337</v>
      </c>
      <c r="F452" s="12">
        <f t="shared" si="109"/>
        <v>2.0000000000000009</v>
      </c>
      <c r="G452" s="12">
        <v>4</v>
      </c>
      <c r="H452" s="30" t="s">
        <v>92</v>
      </c>
      <c r="I452" s="30" t="s">
        <v>27</v>
      </c>
      <c r="J452" s="30" t="s">
        <v>28</v>
      </c>
      <c r="K452" s="9" t="str">
        <f>IFERROR(VLOOKUP($B452,[1]Kundenübersicht!$E$4:$AC$1003,MATCH(K$3,[1]Kundenübersicht!$E$3:$BA$3,FALSE),FALSE),"")</f>
        <v>AOK PLUS</v>
      </c>
      <c r="L452" s="13">
        <f>IFERROR(VLOOKUP(B452,[1]Kundenübersicht!$E$4:$AC$1003,MATCH(L$3,[1]Kundenübersicht!$E$3:$BA$3,FALSE),FALSE),"")</f>
        <v>107299005</v>
      </c>
      <c r="M452" s="13" t="str">
        <f>IFERROR(VLOOKUP(B452,[1]Kundenübersicht!$E$4:$AC$1003,MATCH(M$3,[1]Kundenübersicht!$E$3:$BA$3,FALSE),FALSE),"")</f>
        <v>P681268688</v>
      </c>
      <c r="N452" s="13" t="str">
        <f>IFERROR(VLOOKUP(B452,[1]Kundenübersicht!$E$4:$AC$1003,MATCH(N$3,[1]Kundenübersicht!$E$3:$BA$3,FALSE),FALSE),"")</f>
        <v>PG 3</v>
      </c>
      <c r="P452" s="9" t="s">
        <v>29</v>
      </c>
      <c r="R452" s="9" t="s">
        <v>30</v>
      </c>
      <c r="S452" s="14" t="s">
        <v>31</v>
      </c>
      <c r="U452" s="15">
        <f>IF(YEAR(C452)&lt;=2025,IFERROR(IF(I452="Hauswirtschaft",VLOOKUP($B452,[1]Kundenübersicht!$E$4:$BA$1003,MATCH("Hauswirtschaft [€/Stunde]",[1]Kundenübersicht!$E$3:$BA$3,FALSE),FALSE),VLOOKUP($B452,[1]Kundenübersicht!$E$4:$BA$1003,MATCH("Alltagsbegleitung [€/Stunde]",[1]Kundenübersicht!$E$3:$BA$3,FALSE),FALSE)),0),IFERROR(IF(I452="Hauswirtschaft",VLOOKUP($B452,[1]Kundenübersicht!$E$4:$BA$1003,MATCH("HW ab 2026 [€/Stunde]",[1]Kundenübersicht!$E$3:$BA$3,FALSE),FALSE),VLOOKUP($B452,[1]Kundenübersicht!$E$4:$BA$1003,MATCH("Alltagsbegleitung [€/Stunde]",[1]Kundenübersicht!$E$3:$BA$3,FALSE),FALSE)),0))</f>
        <v>38</v>
      </c>
      <c r="V452" s="16">
        <f t="shared" si="110"/>
        <v>76.000000000000028</v>
      </c>
      <c r="W452" s="16">
        <f t="shared" si="102"/>
        <v>1.4</v>
      </c>
      <c r="X452" s="16" t="s">
        <v>89</v>
      </c>
      <c r="Z452" s="20" t="s">
        <v>95</v>
      </c>
      <c r="AA452" s="19"/>
      <c r="AC452" s="19"/>
      <c r="AE452" s="9">
        <f t="shared" si="98"/>
        <v>2026</v>
      </c>
      <c r="AF452" s="17" t="str">
        <f t="shared" si="99"/>
        <v>01.2026</v>
      </c>
      <c r="AG452" s="17" t="str">
        <f t="shared" si="100"/>
        <v>Ute Ahnert</v>
      </c>
      <c r="AH452" s="17" t="str">
        <f>IFERROR(VLOOKUP(B452,[1]Kundenübersicht!$E$4:$F$85,2,FALSE),"")</f>
        <v>Bernd Funke</v>
      </c>
      <c r="AI452" s="17" t="str">
        <f t="shared" si="114"/>
        <v>Hauswirtschaft</v>
      </c>
      <c r="AJ452" s="17" t="str">
        <f t="shared" si="114"/>
        <v>Entlastungsleistung</v>
      </c>
      <c r="AL452" s="18">
        <f t="shared" si="111"/>
        <v>38</v>
      </c>
      <c r="AM452" s="18">
        <f t="shared" si="112"/>
        <v>76.000000000000028</v>
      </c>
      <c r="AN452" s="18">
        <f t="shared" si="113"/>
        <v>1.4</v>
      </c>
    </row>
    <row r="453" spans="1:40" x14ac:dyDescent="0.25">
      <c r="B453" s="30" t="s">
        <v>97</v>
      </c>
      <c r="C453" s="31">
        <v>46036</v>
      </c>
      <c r="D453" s="32">
        <v>0.5</v>
      </c>
      <c r="E453" s="32">
        <v>0.58333333333333337</v>
      </c>
      <c r="F453" s="12">
        <f t="shared" si="109"/>
        <v>2.0000000000000009</v>
      </c>
      <c r="G453" s="12">
        <v>4</v>
      </c>
      <c r="H453" s="30" t="s">
        <v>92</v>
      </c>
      <c r="I453" s="30" t="s">
        <v>27</v>
      </c>
      <c r="J453" s="30" t="s">
        <v>28</v>
      </c>
      <c r="K453" s="9" t="str">
        <f>IFERROR(VLOOKUP($B453,[1]Kundenübersicht!$E$4:$AC$1003,MATCH(K$3,[1]Kundenübersicht!$E$3:$BA$3,FALSE),FALSE),"")</f>
        <v>AOK PLUS</v>
      </c>
      <c r="L453" s="13">
        <f>IFERROR(VLOOKUP(B453,[1]Kundenübersicht!$E$4:$AC$1003,MATCH(L$3,[1]Kundenübersicht!$E$3:$BA$3,FALSE),FALSE),"")</f>
        <v>107299005</v>
      </c>
      <c r="M453" s="13" t="str">
        <f>IFERROR(VLOOKUP(B453,[1]Kundenübersicht!$E$4:$AC$1003,MATCH(M$3,[1]Kundenübersicht!$E$3:$BA$3,FALSE),FALSE),"")</f>
        <v>P681268688</v>
      </c>
      <c r="N453" s="13" t="str">
        <f>IFERROR(VLOOKUP(B453,[1]Kundenübersicht!$E$4:$AC$1003,MATCH(N$3,[1]Kundenübersicht!$E$3:$BA$3,FALSE),FALSE),"")</f>
        <v>PG 3</v>
      </c>
      <c r="P453" s="9" t="s">
        <v>29</v>
      </c>
      <c r="R453" s="9" t="s">
        <v>30</v>
      </c>
      <c r="S453" s="14" t="s">
        <v>31</v>
      </c>
      <c r="U453" s="15">
        <f>IF(YEAR(C453)&lt;=2025,IFERROR(IF(I453="Hauswirtschaft",VLOOKUP($B453,[1]Kundenübersicht!$E$4:$BA$1003,MATCH("Hauswirtschaft [€/Stunde]",[1]Kundenübersicht!$E$3:$BA$3,FALSE),FALSE),VLOOKUP($B453,[1]Kundenübersicht!$E$4:$BA$1003,MATCH("Alltagsbegleitung [€/Stunde]",[1]Kundenübersicht!$E$3:$BA$3,FALSE),FALSE)),0),IFERROR(IF(I453="Hauswirtschaft",VLOOKUP($B453,[1]Kundenübersicht!$E$4:$BA$1003,MATCH("HW ab 2026 [€/Stunde]",[1]Kundenübersicht!$E$3:$BA$3,FALSE),FALSE),VLOOKUP($B453,[1]Kundenübersicht!$E$4:$BA$1003,MATCH("Alltagsbegleitung [€/Stunde]",[1]Kundenübersicht!$E$3:$BA$3,FALSE),FALSE)),0))</f>
        <v>38</v>
      </c>
      <c r="V453" s="16">
        <f t="shared" si="110"/>
        <v>76.000000000000028</v>
      </c>
      <c r="W453" s="16">
        <f t="shared" si="102"/>
        <v>1.4</v>
      </c>
      <c r="X453" s="16" t="s">
        <v>89</v>
      </c>
      <c r="Z453" s="20" t="s">
        <v>95</v>
      </c>
      <c r="AA453" s="19"/>
      <c r="AC453" s="19"/>
      <c r="AE453" s="9">
        <f t="shared" si="98"/>
        <v>2026</v>
      </c>
      <c r="AF453" s="17" t="str">
        <f t="shared" si="99"/>
        <v>01.2026</v>
      </c>
      <c r="AG453" s="17" t="str">
        <f t="shared" si="100"/>
        <v>Ute Ahnert</v>
      </c>
      <c r="AH453" s="17" t="str">
        <f>IFERROR(VLOOKUP(B453,[1]Kundenübersicht!$E$4:$F$85,2,FALSE),"")</f>
        <v>Bernd Funke</v>
      </c>
      <c r="AI453" s="17" t="str">
        <f t="shared" si="114"/>
        <v>Hauswirtschaft</v>
      </c>
      <c r="AJ453" s="17" t="str">
        <f t="shared" si="114"/>
        <v>Entlastungsleistung</v>
      </c>
      <c r="AL453" s="18">
        <f t="shared" si="111"/>
        <v>38</v>
      </c>
      <c r="AM453" s="18">
        <f t="shared" si="112"/>
        <v>76.000000000000028</v>
      </c>
      <c r="AN453" s="18">
        <f t="shared" si="113"/>
        <v>1.4</v>
      </c>
    </row>
    <row r="454" spans="1:40" x14ac:dyDescent="0.25">
      <c r="B454" s="30" t="s">
        <v>97</v>
      </c>
      <c r="C454" s="31">
        <v>46043</v>
      </c>
      <c r="D454" s="32">
        <v>0.5</v>
      </c>
      <c r="E454" s="32">
        <v>0.58333333333333337</v>
      </c>
      <c r="F454" s="12">
        <f t="shared" si="109"/>
        <v>2.0000000000000009</v>
      </c>
      <c r="G454" s="12">
        <v>4</v>
      </c>
      <c r="H454" s="30" t="s">
        <v>92</v>
      </c>
      <c r="I454" s="30" t="s">
        <v>27</v>
      </c>
      <c r="J454" s="30" t="s">
        <v>28</v>
      </c>
      <c r="K454" s="9" t="str">
        <f>IFERROR(VLOOKUP($B454,[1]Kundenübersicht!$E$4:$AC$1003,MATCH(K$3,[1]Kundenübersicht!$E$3:$BA$3,FALSE),FALSE),"")</f>
        <v>AOK PLUS</v>
      </c>
      <c r="L454" s="13">
        <f>IFERROR(VLOOKUP(B454,[1]Kundenübersicht!$E$4:$AC$1003,MATCH(L$3,[1]Kundenübersicht!$E$3:$BA$3,FALSE),FALSE),"")</f>
        <v>107299005</v>
      </c>
      <c r="M454" s="13" t="str">
        <f>IFERROR(VLOOKUP(B454,[1]Kundenübersicht!$E$4:$AC$1003,MATCH(M$3,[1]Kundenübersicht!$E$3:$BA$3,FALSE),FALSE),"")</f>
        <v>P681268688</v>
      </c>
      <c r="N454" s="13" t="str">
        <f>IFERROR(VLOOKUP(B454,[1]Kundenübersicht!$E$4:$AC$1003,MATCH(N$3,[1]Kundenübersicht!$E$3:$BA$3,FALSE),FALSE),"")</f>
        <v>PG 3</v>
      </c>
      <c r="P454" s="9" t="s">
        <v>29</v>
      </c>
      <c r="R454" s="9" t="s">
        <v>30</v>
      </c>
      <c r="S454" s="14" t="s">
        <v>31</v>
      </c>
      <c r="U454" s="15">
        <f>IF(YEAR(C454)&lt;=2025,IFERROR(IF(I454="Hauswirtschaft",VLOOKUP($B454,[1]Kundenübersicht!$E$4:$BA$1003,MATCH("Hauswirtschaft [€/Stunde]",[1]Kundenübersicht!$E$3:$BA$3,FALSE),FALSE),VLOOKUP($B454,[1]Kundenübersicht!$E$4:$BA$1003,MATCH("Alltagsbegleitung [€/Stunde]",[1]Kundenübersicht!$E$3:$BA$3,FALSE),FALSE)),0),IFERROR(IF(I454="Hauswirtschaft",VLOOKUP($B454,[1]Kundenübersicht!$E$4:$BA$1003,MATCH("HW ab 2026 [€/Stunde]",[1]Kundenübersicht!$E$3:$BA$3,FALSE),FALSE),VLOOKUP($B454,[1]Kundenübersicht!$E$4:$BA$1003,MATCH("Alltagsbegleitung [€/Stunde]",[1]Kundenübersicht!$E$3:$BA$3,FALSE),FALSE)),0))</f>
        <v>38</v>
      </c>
      <c r="V454" s="16">
        <f t="shared" si="110"/>
        <v>76.000000000000028</v>
      </c>
      <c r="W454" s="16">
        <f t="shared" si="102"/>
        <v>1.4</v>
      </c>
      <c r="X454" s="16" t="s">
        <v>89</v>
      </c>
      <c r="Z454" s="20" t="s">
        <v>95</v>
      </c>
      <c r="AA454" s="19"/>
      <c r="AC454" s="19"/>
      <c r="AE454" s="9">
        <f t="shared" ref="AE454:AE517" si="115">YEAR(C454)</f>
        <v>2026</v>
      </c>
      <c r="AF454" s="17" t="str">
        <f t="shared" ref="AF454:AF517" si="116">IF(MONTH(C454)&lt;=9,"0"&amp;MONTH(C454)&amp;"."&amp;YEAR(C454),MONTH(C454)&amp;"."&amp;YEAR(C454))</f>
        <v>01.2026</v>
      </c>
      <c r="AG454" s="17" t="str">
        <f t="shared" ref="AG454:AG517" si="117">IF(H454="","",H454)</f>
        <v>Ute Ahnert</v>
      </c>
      <c r="AH454" s="17" t="str">
        <f>IFERROR(VLOOKUP(B454,[1]Kundenübersicht!$E$4:$F$85,2,FALSE),"")</f>
        <v>Bernd Funke</v>
      </c>
      <c r="AI454" s="17" t="str">
        <f t="shared" si="114"/>
        <v>Hauswirtschaft</v>
      </c>
      <c r="AJ454" s="17" t="str">
        <f t="shared" si="114"/>
        <v>Entlastungsleistung</v>
      </c>
      <c r="AL454" s="18">
        <f t="shared" si="111"/>
        <v>38</v>
      </c>
      <c r="AM454" s="18">
        <f t="shared" si="112"/>
        <v>76.000000000000028</v>
      </c>
      <c r="AN454" s="18">
        <f t="shared" si="113"/>
        <v>1.4</v>
      </c>
    </row>
    <row r="455" spans="1:40" x14ac:dyDescent="0.25">
      <c r="B455" s="30" t="s">
        <v>97</v>
      </c>
      <c r="C455" s="31">
        <v>46050</v>
      </c>
      <c r="D455" s="32">
        <v>0.5</v>
      </c>
      <c r="E455" s="32">
        <v>0.58333333333333337</v>
      </c>
      <c r="F455" s="12">
        <f t="shared" si="109"/>
        <v>2.0000000000000009</v>
      </c>
      <c r="G455" s="12">
        <v>4</v>
      </c>
      <c r="H455" s="30" t="s">
        <v>92</v>
      </c>
      <c r="I455" s="30" t="s">
        <v>27</v>
      </c>
      <c r="J455" s="30" t="s">
        <v>28</v>
      </c>
      <c r="K455" s="9" t="str">
        <f>IFERROR(VLOOKUP($B455,[1]Kundenübersicht!$E$4:$AC$1003,MATCH(K$3,[1]Kundenübersicht!$E$3:$BA$3,FALSE),FALSE),"")</f>
        <v>AOK PLUS</v>
      </c>
      <c r="L455" s="13">
        <f>IFERROR(VLOOKUP(B455,[1]Kundenübersicht!$E$4:$AC$1003,MATCH(L$3,[1]Kundenübersicht!$E$3:$BA$3,FALSE),FALSE),"")</f>
        <v>107299005</v>
      </c>
      <c r="M455" s="13" t="str">
        <f>IFERROR(VLOOKUP(B455,[1]Kundenübersicht!$E$4:$AC$1003,MATCH(M$3,[1]Kundenübersicht!$E$3:$BA$3,FALSE),FALSE),"")</f>
        <v>P681268688</v>
      </c>
      <c r="N455" s="13" t="str">
        <f>IFERROR(VLOOKUP(B455,[1]Kundenübersicht!$E$4:$AC$1003,MATCH(N$3,[1]Kundenübersicht!$E$3:$BA$3,FALSE),FALSE),"")</f>
        <v>PG 3</v>
      </c>
      <c r="P455" s="9" t="s">
        <v>29</v>
      </c>
      <c r="R455" s="9" t="s">
        <v>30</v>
      </c>
      <c r="S455" s="14" t="s">
        <v>31</v>
      </c>
      <c r="U455" s="15">
        <f>IF(YEAR(C455)&lt;=2025,IFERROR(IF(I455="Hauswirtschaft",VLOOKUP($B455,[1]Kundenübersicht!$E$4:$BA$1003,MATCH("Hauswirtschaft [€/Stunde]",[1]Kundenübersicht!$E$3:$BA$3,FALSE),FALSE),VLOOKUP($B455,[1]Kundenübersicht!$E$4:$BA$1003,MATCH("Alltagsbegleitung [€/Stunde]",[1]Kundenübersicht!$E$3:$BA$3,FALSE),FALSE)),0),IFERROR(IF(I455="Hauswirtschaft",VLOOKUP($B455,[1]Kundenübersicht!$E$4:$BA$1003,MATCH("HW ab 2026 [€/Stunde]",[1]Kundenübersicht!$E$3:$BA$3,FALSE),FALSE),VLOOKUP($B455,[1]Kundenübersicht!$E$4:$BA$1003,MATCH("Alltagsbegleitung [€/Stunde]",[1]Kundenübersicht!$E$3:$BA$3,FALSE),FALSE)),0))</f>
        <v>38</v>
      </c>
      <c r="V455" s="16">
        <f t="shared" si="110"/>
        <v>76.000000000000028</v>
      </c>
      <c r="W455" s="16">
        <f t="shared" si="102"/>
        <v>1.4</v>
      </c>
      <c r="X455" s="16" t="s">
        <v>89</v>
      </c>
      <c r="Z455" s="20" t="s">
        <v>95</v>
      </c>
      <c r="AA455" s="19"/>
      <c r="AC455" s="19"/>
      <c r="AE455" s="9">
        <f t="shared" si="115"/>
        <v>2026</v>
      </c>
      <c r="AF455" s="17" t="str">
        <f t="shared" si="116"/>
        <v>01.2026</v>
      </c>
      <c r="AG455" s="17" t="str">
        <f t="shared" si="117"/>
        <v>Ute Ahnert</v>
      </c>
      <c r="AH455" s="17" t="str">
        <f>IFERROR(VLOOKUP(B455,[1]Kundenübersicht!$E$4:$F$85,2,FALSE),"")</f>
        <v>Bernd Funke</v>
      </c>
      <c r="AI455" s="17" t="str">
        <f t="shared" si="114"/>
        <v>Hauswirtschaft</v>
      </c>
      <c r="AJ455" s="17" t="str">
        <f t="shared" si="114"/>
        <v>Entlastungsleistung</v>
      </c>
      <c r="AL455" s="18">
        <f t="shared" si="111"/>
        <v>38</v>
      </c>
      <c r="AM455" s="18">
        <f t="shared" si="112"/>
        <v>76.000000000000028</v>
      </c>
      <c r="AN455" s="18">
        <f t="shared" si="113"/>
        <v>1.4</v>
      </c>
    </row>
    <row r="456" spans="1:40" x14ac:dyDescent="0.25">
      <c r="B456" s="30" t="s">
        <v>67</v>
      </c>
      <c r="C456" s="31">
        <v>46024</v>
      </c>
      <c r="D456" s="32">
        <v>0.35416666666666669</v>
      </c>
      <c r="E456" s="32">
        <v>0.39583333333333331</v>
      </c>
      <c r="F456" s="12">
        <f t="shared" si="109"/>
        <v>0.99999999999999911</v>
      </c>
      <c r="G456" s="12">
        <v>3.5</v>
      </c>
      <c r="H456" s="30" t="s">
        <v>64</v>
      </c>
      <c r="I456" s="30" t="s">
        <v>27</v>
      </c>
      <c r="J456" s="30" t="s">
        <v>28</v>
      </c>
      <c r="K456" s="9" t="str">
        <f>IFERROR(VLOOKUP($B456,[1]Kundenübersicht!$E$4:$AC$1003,MATCH(K$3,[1]Kundenübersicht!$E$3:$BA$3,FALSE),FALSE),"")</f>
        <v>Barmer Pflegekasse</v>
      </c>
      <c r="L456" s="13">
        <f>IFERROR(VLOOKUP(B456,[1]Kundenübersicht!$E$4:$AC$1003,MATCH(L$3,[1]Kundenübersicht!$E$3:$BA$3,FALSE),FALSE),"")</f>
        <v>184940005</v>
      </c>
      <c r="M456" s="13" t="str">
        <f>IFERROR(VLOOKUP(B456,[1]Kundenübersicht!$E$4:$AC$1003,MATCH(M$3,[1]Kundenübersicht!$E$3:$BA$3,FALSE),FALSE),"")</f>
        <v>K535388327</v>
      </c>
      <c r="N456" s="13" t="str">
        <f>IFERROR(VLOOKUP(B456,[1]Kundenübersicht!$E$4:$AC$1003,MATCH(N$3,[1]Kundenübersicht!$E$3:$BA$3,FALSE),FALSE),"")</f>
        <v>PG 2</v>
      </c>
      <c r="P456" s="9" t="s">
        <v>29</v>
      </c>
      <c r="R456" s="9" t="str">
        <f t="shared" ref="R456:R460" si="118">IF(S456="Link","Unterschrieben","Fehlt")</f>
        <v>Unterschrieben</v>
      </c>
      <c r="S456" s="14" t="s">
        <v>31</v>
      </c>
      <c r="U456" s="15">
        <f>IF(YEAR(C456)&lt;=2025,IFERROR(IF(I456="Hauswirtschaft",VLOOKUP($B456,[1]Kundenübersicht!$E$4:$BA$1003,MATCH("Hauswirtschaft [€/Stunde]",[1]Kundenübersicht!$E$3:$BA$3,FALSE),FALSE),VLOOKUP($B456,[1]Kundenübersicht!$E$4:$BA$1003,MATCH("Alltagsbegleitung [€/Stunde]",[1]Kundenübersicht!$E$3:$BA$3,FALSE),FALSE)),0),IFERROR(IF(I456="Hauswirtschaft",VLOOKUP($B456,[1]Kundenübersicht!$E$4:$BA$1003,MATCH("HW ab 2026 [€/Stunde]",[1]Kundenübersicht!$E$3:$BA$3,FALSE),FALSE),VLOOKUP($B456,[1]Kundenübersicht!$E$4:$BA$1003,MATCH("Alltagsbegleitung [€/Stunde]",[1]Kundenübersicht!$E$3:$BA$3,FALSE),FALSE)),0))</f>
        <v>38</v>
      </c>
      <c r="V456" s="16">
        <f t="shared" si="110"/>
        <v>37.999999999999964</v>
      </c>
      <c r="W456" s="16">
        <f t="shared" si="102"/>
        <v>1.2249999999999999</v>
      </c>
      <c r="X456" s="16" t="s">
        <v>89</v>
      </c>
      <c r="Z456" s="20" t="str">
        <f>IF(AA456="","Nein","Ja")</f>
        <v>Ja</v>
      </c>
      <c r="AA456" s="19">
        <v>46077</v>
      </c>
      <c r="AC456" s="19"/>
      <c r="AE456" s="9">
        <f t="shared" si="115"/>
        <v>2026</v>
      </c>
      <c r="AF456" s="17" t="str">
        <f t="shared" si="116"/>
        <v>01.2026</v>
      </c>
      <c r="AG456" s="17" t="str">
        <f t="shared" si="117"/>
        <v>Ursula Ullmann</v>
      </c>
      <c r="AH456" s="17" t="str">
        <f>IFERROR(VLOOKUP(B456,[1]Kundenübersicht!$E$4:$F$85,2,FALSE),"")</f>
        <v>Luzia Pohlers</v>
      </c>
      <c r="AI456" s="17" t="str">
        <f t="shared" si="114"/>
        <v>Hauswirtschaft</v>
      </c>
      <c r="AJ456" s="17" t="str">
        <f t="shared" si="114"/>
        <v>Entlastungsleistung</v>
      </c>
      <c r="AL456" s="18">
        <f t="shared" si="111"/>
        <v>38</v>
      </c>
      <c r="AM456" s="18">
        <f t="shared" si="112"/>
        <v>37.999999999999964</v>
      </c>
      <c r="AN456" s="18">
        <f t="shared" si="113"/>
        <v>1.2249999999999999</v>
      </c>
    </row>
    <row r="457" spans="1:40" x14ac:dyDescent="0.25">
      <c r="B457" s="30" t="s">
        <v>67</v>
      </c>
      <c r="C457" s="31">
        <v>46030</v>
      </c>
      <c r="D457" s="32">
        <v>0.35416666666666669</v>
      </c>
      <c r="E457" s="32">
        <v>0.41666666666666669</v>
      </c>
      <c r="F457" s="12">
        <f t="shared" si="109"/>
        <v>1.5</v>
      </c>
      <c r="G457" s="12">
        <v>11.3</v>
      </c>
      <c r="H457" s="30" t="s">
        <v>64</v>
      </c>
      <c r="I457" s="30" t="s">
        <v>27</v>
      </c>
      <c r="J457" s="30" t="s">
        <v>28</v>
      </c>
      <c r="K457" s="9" t="str">
        <f>IFERROR(VLOOKUP($B457,[1]Kundenübersicht!$E$4:$AC$1003,MATCH(K$3,[1]Kundenübersicht!$E$3:$BA$3,FALSE),FALSE),"")</f>
        <v>Barmer Pflegekasse</v>
      </c>
      <c r="L457" s="13">
        <f>IFERROR(VLOOKUP(B457,[1]Kundenübersicht!$E$4:$AC$1003,MATCH(L$3,[1]Kundenübersicht!$E$3:$BA$3,FALSE),FALSE),"")</f>
        <v>184940005</v>
      </c>
      <c r="M457" s="13" t="str">
        <f>IFERROR(VLOOKUP(B457,[1]Kundenübersicht!$E$4:$AC$1003,MATCH(M$3,[1]Kundenübersicht!$E$3:$BA$3,FALSE),FALSE),"")</f>
        <v>K535388327</v>
      </c>
      <c r="N457" s="13" t="str">
        <f>IFERROR(VLOOKUP(B457,[1]Kundenübersicht!$E$4:$AC$1003,MATCH(N$3,[1]Kundenübersicht!$E$3:$BA$3,FALSE),FALSE),"")</f>
        <v>PG 2</v>
      </c>
      <c r="P457" s="9" t="s">
        <v>29</v>
      </c>
      <c r="R457" s="9" t="str">
        <f t="shared" si="118"/>
        <v>Unterschrieben</v>
      </c>
      <c r="S457" s="14" t="s">
        <v>31</v>
      </c>
      <c r="U457" s="15">
        <f>IF(YEAR(C457)&lt;=2025,IFERROR(IF(I457="Hauswirtschaft",VLOOKUP($B457,[1]Kundenübersicht!$E$4:$BA$1003,MATCH("Hauswirtschaft [€/Stunde]",[1]Kundenübersicht!$E$3:$BA$3,FALSE),FALSE),VLOOKUP($B457,[1]Kundenübersicht!$E$4:$BA$1003,MATCH("Alltagsbegleitung [€/Stunde]",[1]Kundenübersicht!$E$3:$BA$3,FALSE),FALSE)),0),IFERROR(IF(I457="Hauswirtschaft",VLOOKUP($B457,[1]Kundenübersicht!$E$4:$BA$1003,MATCH("HW ab 2026 [€/Stunde]",[1]Kundenübersicht!$E$3:$BA$3,FALSE),FALSE),VLOOKUP($B457,[1]Kundenübersicht!$E$4:$BA$1003,MATCH("Alltagsbegleitung [€/Stunde]",[1]Kundenübersicht!$E$3:$BA$3,FALSE),FALSE)),0))</f>
        <v>38</v>
      </c>
      <c r="V457" s="16">
        <f t="shared" si="110"/>
        <v>57</v>
      </c>
      <c r="W457" s="16">
        <f t="shared" si="102"/>
        <v>3.9550000000000001</v>
      </c>
      <c r="X457" s="16" t="s">
        <v>89</v>
      </c>
      <c r="Z457" s="20" t="str">
        <f t="shared" ref="Z457:Z476" si="119">IF(AA457="","Nein","Ja")</f>
        <v>Ja</v>
      </c>
      <c r="AA457" s="19">
        <v>46077</v>
      </c>
      <c r="AC457" s="19"/>
      <c r="AE457" s="9">
        <f t="shared" si="115"/>
        <v>2026</v>
      </c>
      <c r="AF457" s="17" t="str">
        <f t="shared" si="116"/>
        <v>01.2026</v>
      </c>
      <c r="AG457" s="17" t="str">
        <f t="shared" si="117"/>
        <v>Ursula Ullmann</v>
      </c>
      <c r="AH457" s="17" t="str">
        <f>IFERROR(VLOOKUP(B457,[1]Kundenübersicht!$E$4:$F$85,2,FALSE),"")</f>
        <v>Luzia Pohlers</v>
      </c>
      <c r="AI457" s="17" t="str">
        <f t="shared" si="114"/>
        <v>Hauswirtschaft</v>
      </c>
      <c r="AJ457" s="17" t="str">
        <f t="shared" si="114"/>
        <v>Entlastungsleistung</v>
      </c>
      <c r="AL457" s="18">
        <f t="shared" si="111"/>
        <v>38</v>
      </c>
      <c r="AM457" s="18">
        <f t="shared" si="112"/>
        <v>57</v>
      </c>
      <c r="AN457" s="18">
        <f t="shared" si="113"/>
        <v>3.9550000000000001</v>
      </c>
    </row>
    <row r="458" spans="1:40" x14ac:dyDescent="0.25">
      <c r="B458" s="30" t="s">
        <v>67</v>
      </c>
      <c r="C458" s="31">
        <v>46031</v>
      </c>
      <c r="D458" s="32">
        <v>0.35416666666666669</v>
      </c>
      <c r="E458" s="32">
        <v>0.39583333333333331</v>
      </c>
      <c r="F458" s="12">
        <f t="shared" si="109"/>
        <v>0.99999999999999911</v>
      </c>
      <c r="G458" s="12">
        <v>15.8</v>
      </c>
      <c r="H458" s="30" t="s">
        <v>64</v>
      </c>
      <c r="I458" s="30" t="s">
        <v>27</v>
      </c>
      <c r="J458" s="30" t="s">
        <v>28</v>
      </c>
      <c r="K458" s="9" t="str">
        <f>IFERROR(VLOOKUP($B458,[1]Kundenübersicht!$E$4:$AC$1003,MATCH(K$3,[1]Kundenübersicht!$E$3:$BA$3,FALSE),FALSE),"")</f>
        <v>Barmer Pflegekasse</v>
      </c>
      <c r="L458" s="13">
        <f>IFERROR(VLOOKUP(B458,[1]Kundenübersicht!$E$4:$AC$1003,MATCH(L$3,[1]Kundenübersicht!$E$3:$BA$3,FALSE),FALSE),"")</f>
        <v>184940005</v>
      </c>
      <c r="M458" s="13" t="str">
        <f>IFERROR(VLOOKUP(B458,[1]Kundenübersicht!$E$4:$AC$1003,MATCH(M$3,[1]Kundenübersicht!$E$3:$BA$3,FALSE),FALSE),"")</f>
        <v>K535388327</v>
      </c>
      <c r="N458" s="13" t="str">
        <f>IFERROR(VLOOKUP(B458,[1]Kundenübersicht!$E$4:$AC$1003,MATCH(N$3,[1]Kundenübersicht!$E$3:$BA$3,FALSE),FALSE),"")</f>
        <v>PG 2</v>
      </c>
      <c r="P458" s="9" t="s">
        <v>29</v>
      </c>
      <c r="R458" s="9" t="str">
        <f t="shared" si="118"/>
        <v>Unterschrieben</v>
      </c>
      <c r="S458" s="14" t="s">
        <v>31</v>
      </c>
      <c r="U458" s="15">
        <f>IF(YEAR(C458)&lt;=2025,IFERROR(IF(I458="Hauswirtschaft",VLOOKUP($B458,[1]Kundenübersicht!$E$4:$BA$1003,MATCH("Hauswirtschaft [€/Stunde]",[1]Kundenübersicht!$E$3:$BA$3,FALSE),FALSE),VLOOKUP($B458,[1]Kundenübersicht!$E$4:$BA$1003,MATCH("Alltagsbegleitung [€/Stunde]",[1]Kundenübersicht!$E$3:$BA$3,FALSE),FALSE)),0),IFERROR(IF(I458="Hauswirtschaft",VLOOKUP($B458,[1]Kundenübersicht!$E$4:$BA$1003,MATCH("HW ab 2026 [€/Stunde]",[1]Kundenübersicht!$E$3:$BA$3,FALSE),FALSE),VLOOKUP($B458,[1]Kundenübersicht!$E$4:$BA$1003,MATCH("Alltagsbegleitung [€/Stunde]",[1]Kundenübersicht!$E$3:$BA$3,FALSE),FALSE)),0))</f>
        <v>38</v>
      </c>
      <c r="V458" s="16">
        <f t="shared" si="110"/>
        <v>37.999999999999964</v>
      </c>
      <c r="W458" s="16">
        <f t="shared" si="102"/>
        <v>5.53</v>
      </c>
      <c r="X458" s="16" t="s">
        <v>89</v>
      </c>
      <c r="Z458" s="20" t="str">
        <f t="shared" si="119"/>
        <v>Ja</v>
      </c>
      <c r="AA458" s="19">
        <v>46077</v>
      </c>
      <c r="AC458" s="19"/>
      <c r="AE458" s="9">
        <f t="shared" si="115"/>
        <v>2026</v>
      </c>
      <c r="AF458" s="17" t="str">
        <f t="shared" si="116"/>
        <v>01.2026</v>
      </c>
      <c r="AG458" s="17" t="str">
        <f t="shared" si="117"/>
        <v>Ursula Ullmann</v>
      </c>
      <c r="AH458" s="17" t="str">
        <f>IFERROR(VLOOKUP(B458,[1]Kundenübersicht!$E$4:$F$85,2,FALSE),"")</f>
        <v>Luzia Pohlers</v>
      </c>
      <c r="AI458" s="17" t="str">
        <f t="shared" si="114"/>
        <v>Hauswirtschaft</v>
      </c>
      <c r="AJ458" s="17" t="str">
        <f t="shared" si="114"/>
        <v>Entlastungsleistung</v>
      </c>
      <c r="AL458" s="18">
        <f t="shared" si="111"/>
        <v>38</v>
      </c>
      <c r="AM458" s="18">
        <f t="shared" si="112"/>
        <v>37.999999999999964</v>
      </c>
      <c r="AN458" s="18">
        <f t="shared" si="113"/>
        <v>5.53</v>
      </c>
    </row>
    <row r="459" spans="1:40" x14ac:dyDescent="0.25">
      <c r="B459" s="30" t="s">
        <v>67</v>
      </c>
      <c r="C459" s="31">
        <v>46038</v>
      </c>
      <c r="D459" s="32">
        <v>0.35416666666666669</v>
      </c>
      <c r="E459" s="32">
        <v>0.39583333333333331</v>
      </c>
      <c r="F459" s="12">
        <f t="shared" si="109"/>
        <v>0.99999999999999911</v>
      </c>
      <c r="G459" s="12">
        <v>4</v>
      </c>
      <c r="H459" s="30" t="s">
        <v>64</v>
      </c>
      <c r="I459" s="30" t="s">
        <v>41</v>
      </c>
      <c r="J459" s="30" t="s">
        <v>28</v>
      </c>
      <c r="K459" s="9" t="str">
        <f>IFERROR(VLOOKUP($B459,[1]Kundenübersicht!$E$4:$AC$1003,MATCH(K$3,[1]Kundenübersicht!$E$3:$BA$3,FALSE),FALSE),"")</f>
        <v>Barmer Pflegekasse</v>
      </c>
      <c r="L459" s="13">
        <f>IFERROR(VLOOKUP(B459,[1]Kundenübersicht!$E$4:$AC$1003,MATCH(L$3,[1]Kundenübersicht!$E$3:$BA$3,FALSE),FALSE),"")</f>
        <v>184940005</v>
      </c>
      <c r="M459" s="13" t="str">
        <f>IFERROR(VLOOKUP(B459,[1]Kundenübersicht!$E$4:$AC$1003,MATCH(M$3,[1]Kundenübersicht!$E$3:$BA$3,FALSE),FALSE),"")</f>
        <v>K535388327</v>
      </c>
      <c r="N459" s="13" t="str">
        <f>IFERROR(VLOOKUP(B459,[1]Kundenübersicht!$E$4:$AC$1003,MATCH(N$3,[1]Kundenübersicht!$E$3:$BA$3,FALSE),FALSE),"")</f>
        <v>PG 2</v>
      </c>
      <c r="P459" s="9" t="s">
        <v>29</v>
      </c>
      <c r="R459" s="9" t="str">
        <f t="shared" si="118"/>
        <v>Unterschrieben</v>
      </c>
      <c r="S459" s="14" t="s">
        <v>31</v>
      </c>
      <c r="U459" s="15">
        <f>IF(YEAR(C459)&lt;=2025,IFERROR(IF(I459="Hauswirtschaft",VLOOKUP($B459,[1]Kundenübersicht!$E$4:$BA$1003,MATCH("Hauswirtschaft [€/Stunde]",[1]Kundenübersicht!$E$3:$BA$3,FALSE),FALSE),VLOOKUP($B459,[1]Kundenübersicht!$E$4:$BA$1003,MATCH("Alltagsbegleitung [€/Stunde]",[1]Kundenübersicht!$E$3:$BA$3,FALSE),FALSE)),0),IFERROR(IF(I459="Hauswirtschaft",VLOOKUP($B459,[1]Kundenübersicht!$E$4:$BA$1003,MATCH("HW ab 2026 [€/Stunde]",[1]Kundenübersicht!$E$3:$BA$3,FALSE),FALSE),VLOOKUP($B459,[1]Kundenübersicht!$E$4:$BA$1003,MATCH("Alltagsbegleitung [€/Stunde]",[1]Kundenübersicht!$E$3:$BA$3,FALSE),FALSE)),0))</f>
        <v>42</v>
      </c>
      <c r="V459" s="16">
        <f t="shared" si="110"/>
        <v>41.999999999999964</v>
      </c>
      <c r="W459" s="16">
        <f t="shared" si="102"/>
        <v>1.4</v>
      </c>
      <c r="X459" s="16" t="s">
        <v>89</v>
      </c>
      <c r="Z459" s="20" t="str">
        <f t="shared" si="119"/>
        <v>Ja</v>
      </c>
      <c r="AA459" s="19">
        <v>46077</v>
      </c>
      <c r="AC459" s="19"/>
      <c r="AE459" s="9">
        <f t="shared" si="115"/>
        <v>2026</v>
      </c>
      <c r="AF459" s="17" t="str">
        <f t="shared" si="116"/>
        <v>01.2026</v>
      </c>
      <c r="AG459" s="17" t="str">
        <f t="shared" si="117"/>
        <v>Ursula Ullmann</v>
      </c>
      <c r="AH459" s="17" t="str">
        <f>IFERROR(VLOOKUP(B459,[1]Kundenübersicht!$E$4:$F$85,2,FALSE),"")</f>
        <v>Luzia Pohlers</v>
      </c>
      <c r="AI459" s="17" t="str">
        <f t="shared" si="114"/>
        <v>Alltagsbegleitung</v>
      </c>
      <c r="AJ459" s="17" t="str">
        <f t="shared" si="114"/>
        <v>Entlastungsleistung</v>
      </c>
      <c r="AL459" s="18">
        <f t="shared" si="111"/>
        <v>42</v>
      </c>
      <c r="AM459" s="18">
        <f t="shared" si="112"/>
        <v>41.999999999999964</v>
      </c>
      <c r="AN459" s="18">
        <f t="shared" si="113"/>
        <v>1.4</v>
      </c>
    </row>
    <row r="460" spans="1:40" x14ac:dyDescent="0.25">
      <c r="B460" s="30" t="s">
        <v>67</v>
      </c>
      <c r="C460" s="31">
        <v>46045</v>
      </c>
      <c r="D460" s="32">
        <v>0.35416666666666669</v>
      </c>
      <c r="E460" s="32">
        <v>0.39583333333333331</v>
      </c>
      <c r="F460" s="12">
        <f t="shared" si="109"/>
        <v>0.99999999999999911</v>
      </c>
      <c r="G460" s="12">
        <v>4.2</v>
      </c>
      <c r="H460" s="30" t="s">
        <v>64</v>
      </c>
      <c r="I460" s="30" t="s">
        <v>27</v>
      </c>
      <c r="J460" s="30" t="s">
        <v>28</v>
      </c>
      <c r="K460" s="9" t="str">
        <f>IFERROR(VLOOKUP($B460,[1]Kundenübersicht!$E$4:$AC$1003,MATCH(K$3,[1]Kundenübersicht!$E$3:$BA$3,FALSE),FALSE),"")</f>
        <v>Barmer Pflegekasse</v>
      </c>
      <c r="L460" s="13">
        <f>IFERROR(VLOOKUP(B460,[1]Kundenübersicht!$E$4:$AC$1003,MATCH(L$3,[1]Kundenübersicht!$E$3:$BA$3,FALSE),FALSE),"")</f>
        <v>184940005</v>
      </c>
      <c r="M460" s="13" t="str">
        <f>IFERROR(VLOOKUP(B460,[1]Kundenübersicht!$E$4:$AC$1003,MATCH(M$3,[1]Kundenübersicht!$E$3:$BA$3,FALSE),FALSE),"")</f>
        <v>K535388327</v>
      </c>
      <c r="N460" s="13" t="str">
        <f>IFERROR(VLOOKUP(B460,[1]Kundenübersicht!$E$4:$AC$1003,MATCH(N$3,[1]Kundenübersicht!$E$3:$BA$3,FALSE),FALSE),"")</f>
        <v>PG 2</v>
      </c>
      <c r="P460" s="9" t="s">
        <v>29</v>
      </c>
      <c r="R460" s="9" t="str">
        <f t="shared" si="118"/>
        <v>Unterschrieben</v>
      </c>
      <c r="S460" s="14" t="s">
        <v>31</v>
      </c>
      <c r="U460" s="15">
        <f>IF(YEAR(C460)&lt;=2025,IFERROR(IF(I460="Hauswirtschaft",VLOOKUP($B460,[1]Kundenübersicht!$E$4:$BA$1003,MATCH("Hauswirtschaft [€/Stunde]",[1]Kundenübersicht!$E$3:$BA$3,FALSE),FALSE),VLOOKUP($B460,[1]Kundenübersicht!$E$4:$BA$1003,MATCH("Alltagsbegleitung [€/Stunde]",[1]Kundenübersicht!$E$3:$BA$3,FALSE),FALSE)),0),IFERROR(IF(I460="Hauswirtschaft",VLOOKUP($B460,[1]Kundenübersicht!$E$4:$BA$1003,MATCH("HW ab 2026 [€/Stunde]",[1]Kundenübersicht!$E$3:$BA$3,FALSE),FALSE),VLOOKUP($B460,[1]Kundenübersicht!$E$4:$BA$1003,MATCH("Alltagsbegleitung [€/Stunde]",[1]Kundenübersicht!$E$3:$BA$3,FALSE),FALSE)),0))</f>
        <v>38</v>
      </c>
      <c r="V460" s="16">
        <f t="shared" si="110"/>
        <v>37.999999999999964</v>
      </c>
      <c r="W460" s="16">
        <f t="shared" si="102"/>
        <v>1.47</v>
      </c>
      <c r="X460" s="16" t="s">
        <v>89</v>
      </c>
      <c r="Z460" s="20" t="str">
        <f t="shared" si="119"/>
        <v>Ja</v>
      </c>
      <c r="AA460" s="19">
        <v>46077</v>
      </c>
      <c r="AC460" s="19"/>
      <c r="AE460" s="9">
        <f t="shared" si="115"/>
        <v>2026</v>
      </c>
      <c r="AF460" s="17" t="str">
        <f t="shared" si="116"/>
        <v>01.2026</v>
      </c>
      <c r="AG460" s="17" t="str">
        <f t="shared" si="117"/>
        <v>Ursula Ullmann</v>
      </c>
      <c r="AH460" s="17" t="str">
        <f>IFERROR(VLOOKUP(B460,[1]Kundenübersicht!$E$4:$F$85,2,FALSE),"")</f>
        <v>Luzia Pohlers</v>
      </c>
      <c r="AI460" s="17" t="str">
        <f t="shared" si="114"/>
        <v>Hauswirtschaft</v>
      </c>
      <c r="AJ460" s="17" t="str">
        <f t="shared" si="114"/>
        <v>Entlastungsleistung</v>
      </c>
      <c r="AL460" s="18">
        <f t="shared" si="111"/>
        <v>38</v>
      </c>
      <c r="AM460" s="18">
        <f t="shared" si="112"/>
        <v>37.999999999999964</v>
      </c>
      <c r="AN460" s="18">
        <f t="shared" si="113"/>
        <v>1.47</v>
      </c>
    </row>
    <row r="461" spans="1:40" x14ac:dyDescent="0.25">
      <c r="B461" s="30" t="s">
        <v>52</v>
      </c>
      <c r="C461" s="31">
        <v>46028</v>
      </c>
      <c r="D461" s="32">
        <v>0.3125</v>
      </c>
      <c r="E461" s="32">
        <v>0.35416666666666669</v>
      </c>
      <c r="F461" s="12">
        <f t="shared" si="109"/>
        <v>1.0000000000000004</v>
      </c>
      <c r="G461" s="12">
        <v>9.4</v>
      </c>
      <c r="H461" s="30" t="s">
        <v>33</v>
      </c>
      <c r="I461" s="30" t="s">
        <v>27</v>
      </c>
      <c r="J461" s="30" t="s">
        <v>28</v>
      </c>
      <c r="K461" s="9" t="str">
        <f>IFERROR(VLOOKUP($B461,[1]Kundenübersicht!$E$4:$AC$1003,MATCH(K$3,[1]Kundenübersicht!$E$3:$BA$3,FALSE),FALSE),"")</f>
        <v>AOK PLUS</v>
      </c>
      <c r="L461" s="13">
        <f>IFERROR(VLOOKUP(B461,[1]Kundenübersicht!$E$4:$AC$1003,MATCH(L$3,[1]Kundenübersicht!$E$3:$BA$3,FALSE),FALSE),"")</f>
        <v>107299005</v>
      </c>
      <c r="M461" s="13" t="str">
        <f>IFERROR(VLOOKUP(B461,[1]Kundenübersicht!$E$4:$AC$1003,MATCH(M$3,[1]Kundenübersicht!$E$3:$BA$3,FALSE),FALSE),"")</f>
        <v>G562042888</v>
      </c>
      <c r="N461" s="13" t="str">
        <f>IFERROR(VLOOKUP(B461,[1]Kundenübersicht!$E$4:$AC$1003,MATCH(N$3,[1]Kundenübersicht!$E$3:$BA$3,FALSE),FALSE),"")</f>
        <v>PG 2</v>
      </c>
      <c r="P461" s="9" t="s">
        <v>29</v>
      </c>
      <c r="R461" s="9" t="s">
        <v>30</v>
      </c>
      <c r="S461" s="14" t="s">
        <v>31</v>
      </c>
      <c r="U461" s="15">
        <f>IF(YEAR(C461)&lt;=2025,IFERROR(IF(I461="Hauswirtschaft",VLOOKUP($B461,[1]Kundenübersicht!$E$4:$BA$1003,MATCH("Hauswirtschaft [€/Stunde]",[1]Kundenübersicht!$E$3:$BA$3,FALSE),FALSE),VLOOKUP($B461,[1]Kundenübersicht!$E$4:$BA$1003,MATCH("Alltagsbegleitung [€/Stunde]",[1]Kundenübersicht!$E$3:$BA$3,FALSE),FALSE)),0),IFERROR(IF(I461="Hauswirtschaft",VLOOKUP($B461,[1]Kundenübersicht!$E$4:$BA$1003,MATCH("HW ab 2026 [€/Stunde]",[1]Kundenübersicht!$E$3:$BA$3,FALSE),FALSE),VLOOKUP($B461,[1]Kundenübersicht!$E$4:$BA$1003,MATCH("Alltagsbegleitung [€/Stunde]",[1]Kundenübersicht!$E$3:$BA$3,FALSE),FALSE)),0))</f>
        <v>38</v>
      </c>
      <c r="V461" s="16">
        <f t="shared" si="110"/>
        <v>38.000000000000014</v>
      </c>
      <c r="W461" s="16">
        <f t="shared" si="102"/>
        <v>3.29</v>
      </c>
      <c r="X461" s="16" t="s">
        <v>89</v>
      </c>
      <c r="Z461" s="20" t="str">
        <f t="shared" si="119"/>
        <v>Ja</v>
      </c>
      <c r="AA461" s="19">
        <v>46066</v>
      </c>
      <c r="AC461" s="19"/>
      <c r="AE461" s="9">
        <f t="shared" si="115"/>
        <v>2026</v>
      </c>
      <c r="AF461" s="17" t="str">
        <f t="shared" si="116"/>
        <v>01.2026</v>
      </c>
      <c r="AG461" s="17" t="str">
        <f t="shared" si="117"/>
        <v>Christiane Fiebag</v>
      </c>
      <c r="AH461" s="17" t="str">
        <f>IFERROR(VLOOKUP(B461,[1]Kundenübersicht!$E$4:$F$85,2,FALSE),"")</f>
        <v>Matthias Roß</v>
      </c>
      <c r="AI461" s="17" t="str">
        <f t="shared" si="114"/>
        <v>Hauswirtschaft</v>
      </c>
      <c r="AJ461" s="17" t="str">
        <f t="shared" si="114"/>
        <v>Entlastungsleistung</v>
      </c>
      <c r="AL461" s="18">
        <f t="shared" si="111"/>
        <v>38</v>
      </c>
      <c r="AM461" s="18">
        <f t="shared" si="112"/>
        <v>38.000000000000014</v>
      </c>
      <c r="AN461" s="18">
        <f t="shared" si="113"/>
        <v>3.29</v>
      </c>
    </row>
    <row r="462" spans="1:40" x14ac:dyDescent="0.25">
      <c r="B462" s="30" t="s">
        <v>52</v>
      </c>
      <c r="C462" s="31">
        <v>46030</v>
      </c>
      <c r="D462" s="32">
        <v>0.5</v>
      </c>
      <c r="E462" s="32">
        <v>0.58333333333333337</v>
      </c>
      <c r="F462" s="12">
        <f t="shared" si="109"/>
        <v>2.0000000000000009</v>
      </c>
      <c r="G462" s="12">
        <v>9.8000000000000007</v>
      </c>
      <c r="H462" s="30" t="s">
        <v>33</v>
      </c>
      <c r="I462" s="30" t="s">
        <v>27</v>
      </c>
      <c r="J462" s="30" t="s">
        <v>28</v>
      </c>
      <c r="K462" s="9" t="str">
        <f>IFERROR(VLOOKUP($B462,[1]Kundenübersicht!$E$4:$AC$1003,MATCH(K$3,[1]Kundenübersicht!$E$3:$BA$3,FALSE),FALSE),"")</f>
        <v>AOK PLUS</v>
      </c>
      <c r="L462" s="13">
        <f>IFERROR(VLOOKUP(B462,[1]Kundenübersicht!$E$4:$AC$1003,MATCH(L$3,[1]Kundenübersicht!$E$3:$BA$3,FALSE),FALSE),"")</f>
        <v>107299005</v>
      </c>
      <c r="M462" s="13" t="str">
        <f>IFERROR(VLOOKUP(B462,[1]Kundenübersicht!$E$4:$AC$1003,MATCH(M$3,[1]Kundenübersicht!$E$3:$BA$3,FALSE),FALSE),"")</f>
        <v>G562042888</v>
      </c>
      <c r="N462" s="13" t="str">
        <f>IFERROR(VLOOKUP(B462,[1]Kundenübersicht!$E$4:$AC$1003,MATCH(N$3,[1]Kundenübersicht!$E$3:$BA$3,FALSE),FALSE),"")</f>
        <v>PG 2</v>
      </c>
      <c r="P462" s="9" t="s">
        <v>29</v>
      </c>
      <c r="R462" s="9" t="s">
        <v>30</v>
      </c>
      <c r="S462" s="14" t="s">
        <v>31</v>
      </c>
      <c r="U462" s="15">
        <f>IF(YEAR(C462)&lt;=2025,IFERROR(IF(I462="Hauswirtschaft",VLOOKUP($B462,[1]Kundenübersicht!$E$4:$BA$1003,MATCH("Hauswirtschaft [€/Stunde]",[1]Kundenübersicht!$E$3:$BA$3,FALSE),FALSE),VLOOKUP($B462,[1]Kundenübersicht!$E$4:$BA$1003,MATCH("Alltagsbegleitung [€/Stunde]",[1]Kundenübersicht!$E$3:$BA$3,FALSE),FALSE)),0),IFERROR(IF(I462="Hauswirtschaft",VLOOKUP($B462,[1]Kundenübersicht!$E$4:$BA$1003,MATCH("HW ab 2026 [€/Stunde]",[1]Kundenübersicht!$E$3:$BA$3,FALSE),FALSE),VLOOKUP($B462,[1]Kundenübersicht!$E$4:$BA$1003,MATCH("Alltagsbegleitung [€/Stunde]",[1]Kundenübersicht!$E$3:$BA$3,FALSE),FALSE)),0))</f>
        <v>38</v>
      </c>
      <c r="V462" s="16">
        <f t="shared" si="110"/>
        <v>76.000000000000028</v>
      </c>
      <c r="W462" s="16">
        <f t="shared" si="102"/>
        <v>3.43</v>
      </c>
      <c r="X462" s="16" t="s">
        <v>89</v>
      </c>
      <c r="Z462" s="20" t="str">
        <f t="shared" si="119"/>
        <v>Ja</v>
      </c>
      <c r="AA462" s="19">
        <v>46066</v>
      </c>
      <c r="AC462" s="19"/>
      <c r="AE462" s="9">
        <f t="shared" si="115"/>
        <v>2026</v>
      </c>
      <c r="AF462" s="17" t="str">
        <f t="shared" si="116"/>
        <v>01.2026</v>
      </c>
      <c r="AG462" s="17" t="str">
        <f t="shared" si="117"/>
        <v>Christiane Fiebag</v>
      </c>
      <c r="AH462" s="17" t="str">
        <f>IFERROR(VLOOKUP(B462,[1]Kundenübersicht!$E$4:$F$85,2,FALSE),"")</f>
        <v>Matthias Roß</v>
      </c>
      <c r="AI462" s="17" t="str">
        <f t="shared" si="114"/>
        <v>Hauswirtschaft</v>
      </c>
      <c r="AJ462" s="17" t="str">
        <f t="shared" si="114"/>
        <v>Entlastungsleistung</v>
      </c>
      <c r="AL462" s="18">
        <f t="shared" si="111"/>
        <v>38</v>
      </c>
      <c r="AM462" s="18">
        <f t="shared" si="112"/>
        <v>76.000000000000028</v>
      </c>
      <c r="AN462" s="18">
        <f t="shared" si="113"/>
        <v>3.43</v>
      </c>
    </row>
    <row r="463" spans="1:40" x14ac:dyDescent="0.25">
      <c r="B463" s="30" t="s">
        <v>52</v>
      </c>
      <c r="C463" s="31">
        <v>46037</v>
      </c>
      <c r="D463" s="32">
        <v>0.3125</v>
      </c>
      <c r="E463" s="32">
        <v>0.39583333333333331</v>
      </c>
      <c r="F463" s="12">
        <f t="shared" si="109"/>
        <v>1.9999999999999996</v>
      </c>
      <c r="G463" s="12">
        <v>3.6</v>
      </c>
      <c r="H463" s="30" t="s">
        <v>33</v>
      </c>
      <c r="I463" s="30" t="s">
        <v>27</v>
      </c>
      <c r="J463" s="30" t="s">
        <v>28</v>
      </c>
      <c r="K463" s="9" t="str">
        <f>IFERROR(VLOOKUP($B463,[1]Kundenübersicht!$E$4:$AC$1003,MATCH(K$3,[1]Kundenübersicht!$E$3:$BA$3,FALSE),FALSE),"")</f>
        <v>AOK PLUS</v>
      </c>
      <c r="L463" s="13">
        <f>IFERROR(VLOOKUP(B463,[1]Kundenübersicht!$E$4:$AC$1003,MATCH(L$3,[1]Kundenübersicht!$E$3:$BA$3,FALSE),FALSE),"")</f>
        <v>107299005</v>
      </c>
      <c r="M463" s="13" t="str">
        <f>IFERROR(VLOOKUP(B463,[1]Kundenübersicht!$E$4:$AC$1003,MATCH(M$3,[1]Kundenübersicht!$E$3:$BA$3,FALSE),FALSE),"")</f>
        <v>G562042888</v>
      </c>
      <c r="N463" s="13" t="str">
        <f>IFERROR(VLOOKUP(B463,[1]Kundenübersicht!$E$4:$AC$1003,MATCH(N$3,[1]Kundenübersicht!$E$3:$BA$3,FALSE),FALSE),"")</f>
        <v>PG 2</v>
      </c>
      <c r="P463" s="9" t="s">
        <v>29</v>
      </c>
      <c r="R463" s="9" t="s">
        <v>30</v>
      </c>
      <c r="S463" s="14" t="s">
        <v>31</v>
      </c>
      <c r="U463" s="15">
        <f>IF(YEAR(C463)&lt;=2025,IFERROR(IF(I463="Hauswirtschaft",VLOOKUP($B463,[1]Kundenübersicht!$E$4:$BA$1003,MATCH("Hauswirtschaft [€/Stunde]",[1]Kundenübersicht!$E$3:$BA$3,FALSE),FALSE),VLOOKUP($B463,[1]Kundenübersicht!$E$4:$BA$1003,MATCH("Alltagsbegleitung [€/Stunde]",[1]Kundenübersicht!$E$3:$BA$3,FALSE),FALSE)),0),IFERROR(IF(I463="Hauswirtschaft",VLOOKUP($B463,[1]Kundenübersicht!$E$4:$BA$1003,MATCH("HW ab 2026 [€/Stunde]",[1]Kundenübersicht!$E$3:$BA$3,FALSE),FALSE),VLOOKUP($B463,[1]Kundenübersicht!$E$4:$BA$1003,MATCH("Alltagsbegleitung [€/Stunde]",[1]Kundenübersicht!$E$3:$BA$3,FALSE),FALSE)),0))</f>
        <v>38</v>
      </c>
      <c r="V463" s="16">
        <f t="shared" si="110"/>
        <v>75.999999999999986</v>
      </c>
      <c r="W463" s="16">
        <f t="shared" si="102"/>
        <v>1.26</v>
      </c>
      <c r="X463" s="16" t="s">
        <v>89</v>
      </c>
      <c r="Z463" s="20" t="str">
        <f t="shared" si="119"/>
        <v>Ja</v>
      </c>
      <c r="AA463" s="19">
        <v>46066</v>
      </c>
      <c r="AC463" s="19"/>
      <c r="AE463" s="9">
        <f t="shared" si="115"/>
        <v>2026</v>
      </c>
      <c r="AF463" s="17" t="str">
        <f t="shared" si="116"/>
        <v>01.2026</v>
      </c>
      <c r="AG463" s="17" t="str">
        <f t="shared" si="117"/>
        <v>Christiane Fiebag</v>
      </c>
      <c r="AH463" s="17" t="str">
        <f>IFERROR(VLOOKUP(B463,[1]Kundenübersicht!$E$4:$F$85,2,FALSE),"")</f>
        <v>Matthias Roß</v>
      </c>
      <c r="AI463" s="17" t="str">
        <f t="shared" si="114"/>
        <v>Hauswirtschaft</v>
      </c>
      <c r="AJ463" s="17" t="str">
        <f t="shared" si="114"/>
        <v>Entlastungsleistung</v>
      </c>
      <c r="AL463" s="18">
        <f t="shared" si="111"/>
        <v>38</v>
      </c>
      <c r="AM463" s="18">
        <f t="shared" si="112"/>
        <v>75.999999999999986</v>
      </c>
      <c r="AN463" s="18">
        <f t="shared" si="113"/>
        <v>1.26</v>
      </c>
    </row>
    <row r="464" spans="1:40" x14ac:dyDescent="0.25">
      <c r="B464" s="30" t="s">
        <v>52</v>
      </c>
      <c r="C464" s="31">
        <v>46042</v>
      </c>
      <c r="D464" s="32">
        <v>0.3125</v>
      </c>
      <c r="E464" s="32">
        <v>0.35416666666666669</v>
      </c>
      <c r="F464" s="12">
        <f t="shared" si="109"/>
        <v>1.0000000000000004</v>
      </c>
      <c r="G464" s="12">
        <v>1.9</v>
      </c>
      <c r="H464" s="30" t="s">
        <v>33</v>
      </c>
      <c r="I464" s="30" t="s">
        <v>27</v>
      </c>
      <c r="J464" s="30" t="s">
        <v>28</v>
      </c>
      <c r="K464" s="9" t="str">
        <f>IFERROR(VLOOKUP($B464,[1]Kundenübersicht!$E$4:$AC$1003,MATCH(K$3,[1]Kundenübersicht!$E$3:$BA$3,FALSE),FALSE),"")</f>
        <v>AOK PLUS</v>
      </c>
      <c r="L464" s="13">
        <f>IFERROR(VLOOKUP(B464,[1]Kundenübersicht!$E$4:$AC$1003,MATCH(L$3,[1]Kundenübersicht!$E$3:$BA$3,FALSE),FALSE),"")</f>
        <v>107299005</v>
      </c>
      <c r="M464" s="13" t="str">
        <f>IFERROR(VLOOKUP(B464,[1]Kundenübersicht!$E$4:$AC$1003,MATCH(M$3,[1]Kundenübersicht!$E$3:$BA$3,FALSE),FALSE),"")</f>
        <v>G562042888</v>
      </c>
      <c r="N464" s="13" t="str">
        <f>IFERROR(VLOOKUP(B464,[1]Kundenübersicht!$E$4:$AC$1003,MATCH(N$3,[1]Kundenübersicht!$E$3:$BA$3,FALSE),FALSE),"")</f>
        <v>PG 2</v>
      </c>
      <c r="P464" s="9" t="s">
        <v>29</v>
      </c>
      <c r="R464" s="9" t="s">
        <v>30</v>
      </c>
      <c r="S464" s="14" t="s">
        <v>31</v>
      </c>
      <c r="U464" s="15">
        <f>IF(YEAR(C464)&lt;=2025,IFERROR(IF(I464="Hauswirtschaft",VLOOKUP($B464,[1]Kundenübersicht!$E$4:$BA$1003,MATCH("Hauswirtschaft [€/Stunde]",[1]Kundenübersicht!$E$3:$BA$3,FALSE),FALSE),VLOOKUP($B464,[1]Kundenübersicht!$E$4:$BA$1003,MATCH("Alltagsbegleitung [€/Stunde]",[1]Kundenübersicht!$E$3:$BA$3,FALSE),FALSE)),0),IFERROR(IF(I464="Hauswirtschaft",VLOOKUP($B464,[1]Kundenübersicht!$E$4:$BA$1003,MATCH("HW ab 2026 [€/Stunde]",[1]Kundenübersicht!$E$3:$BA$3,FALSE),FALSE),VLOOKUP($B464,[1]Kundenübersicht!$E$4:$BA$1003,MATCH("Alltagsbegleitung [€/Stunde]",[1]Kundenübersicht!$E$3:$BA$3,FALSE),FALSE)),0))</f>
        <v>38</v>
      </c>
      <c r="V464" s="16">
        <f t="shared" si="110"/>
        <v>38.000000000000014</v>
      </c>
      <c r="W464" s="16">
        <f t="shared" si="102"/>
        <v>0.66499999999999992</v>
      </c>
      <c r="X464" s="16" t="s">
        <v>89</v>
      </c>
      <c r="Z464" s="20" t="str">
        <f t="shared" si="119"/>
        <v>Ja</v>
      </c>
      <c r="AA464" s="19">
        <v>46066</v>
      </c>
      <c r="AC464" s="19"/>
      <c r="AE464" s="9">
        <f t="shared" si="115"/>
        <v>2026</v>
      </c>
      <c r="AF464" s="17" t="str">
        <f t="shared" si="116"/>
        <v>01.2026</v>
      </c>
      <c r="AG464" s="17" t="str">
        <f t="shared" si="117"/>
        <v>Christiane Fiebag</v>
      </c>
      <c r="AH464" s="17" t="str">
        <f>IFERROR(VLOOKUP(B464,[1]Kundenübersicht!$E$4:$F$85,2,FALSE),"")</f>
        <v>Matthias Roß</v>
      </c>
      <c r="AI464" s="17" t="str">
        <f t="shared" si="114"/>
        <v>Hauswirtschaft</v>
      </c>
      <c r="AJ464" s="17" t="str">
        <f t="shared" si="114"/>
        <v>Entlastungsleistung</v>
      </c>
      <c r="AL464" s="18">
        <f t="shared" si="111"/>
        <v>38</v>
      </c>
      <c r="AM464" s="18">
        <f t="shared" si="112"/>
        <v>38.000000000000014</v>
      </c>
      <c r="AN464" s="18">
        <f t="shared" si="113"/>
        <v>0.66499999999999992</v>
      </c>
    </row>
    <row r="465" spans="2:40" x14ac:dyDescent="0.25">
      <c r="B465" s="30" t="s">
        <v>38</v>
      </c>
      <c r="C465" s="31">
        <v>46027</v>
      </c>
      <c r="D465" s="32">
        <v>0.33333333333333331</v>
      </c>
      <c r="E465" s="32">
        <v>0.4375</v>
      </c>
      <c r="F465" s="12">
        <f t="shared" si="109"/>
        <v>2.5000000000000004</v>
      </c>
      <c r="G465" s="12">
        <v>5.4</v>
      </c>
      <c r="H465" s="30" t="s">
        <v>33</v>
      </c>
      <c r="I465" s="30" t="s">
        <v>27</v>
      </c>
      <c r="J465" s="30" t="s">
        <v>28</v>
      </c>
      <c r="K465" s="9" t="str">
        <f>IFERROR(VLOOKUP($B465,[1]Kundenübersicht!$E$4:$AC$1003,MATCH(K$3,[1]Kundenübersicht!$E$3:$BA$3,FALSE),FALSE),"")</f>
        <v>AOK PLUS</v>
      </c>
      <c r="L465" s="13">
        <f>IFERROR(VLOOKUP(B465,[1]Kundenübersicht!$E$4:$AC$1003,MATCH(L$3,[1]Kundenübersicht!$E$3:$BA$3,FALSE),FALSE),"")</f>
        <v>107299005</v>
      </c>
      <c r="M465" s="13" t="str">
        <f>IFERROR(VLOOKUP(B465,[1]Kundenübersicht!$E$4:$AC$1003,MATCH(M$3,[1]Kundenübersicht!$E$3:$BA$3,FALSE),FALSE),"")</f>
        <v>R782602114</v>
      </c>
      <c r="N465" s="13" t="str">
        <f>IFERROR(VLOOKUP(B465,[1]Kundenübersicht!$E$4:$AC$1003,MATCH(N$3,[1]Kundenübersicht!$E$3:$BA$3,FALSE),FALSE),"")</f>
        <v>PG 1</v>
      </c>
      <c r="P465" s="9" t="s">
        <v>29</v>
      </c>
      <c r="R465" s="9" t="s">
        <v>30</v>
      </c>
      <c r="S465" s="14"/>
      <c r="U465" s="15">
        <f>IF(YEAR(C465)&lt;=2025,IFERROR(IF(I465="Hauswirtschaft",VLOOKUP($B465,[1]Kundenübersicht!$E$4:$BA$1003,MATCH("Hauswirtschaft [€/Stunde]",[1]Kundenübersicht!$E$3:$BA$3,FALSE),FALSE),VLOOKUP($B465,[1]Kundenübersicht!$E$4:$BA$1003,MATCH("Alltagsbegleitung [€/Stunde]",[1]Kundenübersicht!$E$3:$BA$3,FALSE),FALSE)),0),IFERROR(IF(I465="Hauswirtschaft",VLOOKUP($B465,[1]Kundenübersicht!$E$4:$BA$1003,MATCH("HW ab 2026 [€/Stunde]",[1]Kundenübersicht!$E$3:$BA$3,FALSE),FALSE),VLOOKUP($B465,[1]Kundenübersicht!$E$4:$BA$1003,MATCH("Alltagsbegleitung [€/Stunde]",[1]Kundenübersicht!$E$3:$BA$3,FALSE),FALSE)),0))</f>
        <v>38</v>
      </c>
      <c r="V465" s="16">
        <f t="shared" si="110"/>
        <v>95.000000000000014</v>
      </c>
      <c r="W465" s="16">
        <f t="shared" si="102"/>
        <v>1.89</v>
      </c>
      <c r="X465" s="16" t="s">
        <v>89</v>
      </c>
      <c r="Z465" s="20" t="str">
        <f t="shared" si="119"/>
        <v>Ja</v>
      </c>
      <c r="AA465" s="19">
        <v>46066</v>
      </c>
      <c r="AC465" s="19"/>
      <c r="AE465" s="9">
        <f t="shared" si="115"/>
        <v>2026</v>
      </c>
      <c r="AF465" s="17" t="str">
        <f t="shared" si="116"/>
        <v>01.2026</v>
      </c>
      <c r="AG465" s="17" t="str">
        <f t="shared" si="117"/>
        <v>Christiane Fiebag</v>
      </c>
      <c r="AH465" s="17" t="str">
        <f>IFERROR(VLOOKUP(B465,[1]Kundenübersicht!$E$4:$F$85,2,FALSE),"")</f>
        <v>Christian Jungnickel</v>
      </c>
      <c r="AI465" s="17" t="str">
        <f t="shared" si="114"/>
        <v>Hauswirtschaft</v>
      </c>
      <c r="AJ465" s="17" t="str">
        <f t="shared" si="114"/>
        <v>Entlastungsleistung</v>
      </c>
      <c r="AL465" s="18">
        <f t="shared" si="111"/>
        <v>38</v>
      </c>
      <c r="AM465" s="18">
        <f t="shared" si="112"/>
        <v>95.000000000000014</v>
      </c>
      <c r="AN465" s="18">
        <f t="shared" si="113"/>
        <v>1.89</v>
      </c>
    </row>
    <row r="466" spans="2:40" x14ac:dyDescent="0.25">
      <c r="B466" s="30" t="s">
        <v>38</v>
      </c>
      <c r="C466" s="31">
        <v>46035</v>
      </c>
      <c r="D466" s="32">
        <v>0.32291666666666669</v>
      </c>
      <c r="E466" s="32">
        <v>0.39583333333333331</v>
      </c>
      <c r="F466" s="12">
        <f t="shared" si="109"/>
        <v>1.7499999999999991</v>
      </c>
      <c r="G466" s="12">
        <v>5.6</v>
      </c>
      <c r="H466" s="30" t="s">
        <v>33</v>
      </c>
      <c r="I466" s="30" t="s">
        <v>27</v>
      </c>
      <c r="J466" s="30" t="s">
        <v>28</v>
      </c>
      <c r="K466" s="9" t="str">
        <f>IFERROR(VLOOKUP($B466,[1]Kundenübersicht!$E$4:$AC$1003,MATCH(K$3,[1]Kundenübersicht!$E$3:$BA$3,FALSE),FALSE),"")</f>
        <v>AOK PLUS</v>
      </c>
      <c r="L466" s="13">
        <f>IFERROR(VLOOKUP(B466,[1]Kundenübersicht!$E$4:$AC$1003,MATCH(L$3,[1]Kundenübersicht!$E$3:$BA$3,FALSE),FALSE),"")</f>
        <v>107299005</v>
      </c>
      <c r="M466" s="13" t="str">
        <f>IFERROR(VLOOKUP(B466,[1]Kundenübersicht!$E$4:$AC$1003,MATCH(M$3,[1]Kundenübersicht!$E$3:$BA$3,FALSE),FALSE),"")</f>
        <v>R782602114</v>
      </c>
      <c r="N466" s="13" t="str">
        <f>IFERROR(VLOOKUP(B466,[1]Kundenübersicht!$E$4:$AC$1003,MATCH(N$3,[1]Kundenübersicht!$E$3:$BA$3,FALSE),FALSE),"")</f>
        <v>PG 1</v>
      </c>
      <c r="P466" s="9" t="s">
        <v>29</v>
      </c>
      <c r="R466" s="9" t="s">
        <v>30</v>
      </c>
      <c r="S466" s="14"/>
      <c r="U466" s="15">
        <f>IF(YEAR(C466)&lt;=2025,IFERROR(IF(I466="Hauswirtschaft",VLOOKUP($B466,[1]Kundenübersicht!$E$4:$BA$1003,MATCH("Hauswirtschaft [€/Stunde]",[1]Kundenübersicht!$E$3:$BA$3,FALSE),FALSE),VLOOKUP($B466,[1]Kundenübersicht!$E$4:$BA$1003,MATCH("Alltagsbegleitung [€/Stunde]",[1]Kundenübersicht!$E$3:$BA$3,FALSE),FALSE)),0),IFERROR(IF(I466="Hauswirtschaft",VLOOKUP($B466,[1]Kundenübersicht!$E$4:$BA$1003,MATCH("HW ab 2026 [€/Stunde]",[1]Kundenübersicht!$E$3:$BA$3,FALSE),FALSE),VLOOKUP($B466,[1]Kundenübersicht!$E$4:$BA$1003,MATCH("Alltagsbegleitung [€/Stunde]",[1]Kundenübersicht!$E$3:$BA$3,FALSE),FALSE)),0))</f>
        <v>38</v>
      </c>
      <c r="V466" s="16">
        <f t="shared" si="110"/>
        <v>66.499999999999972</v>
      </c>
      <c r="W466" s="16">
        <f t="shared" si="102"/>
        <v>1.9599999999999997</v>
      </c>
      <c r="X466" s="16" t="s">
        <v>89</v>
      </c>
      <c r="Z466" s="20" t="str">
        <f t="shared" si="119"/>
        <v>Ja</v>
      </c>
      <c r="AA466" s="19">
        <v>46066</v>
      </c>
      <c r="AC466" s="19"/>
      <c r="AE466" s="9">
        <f t="shared" si="115"/>
        <v>2026</v>
      </c>
      <c r="AF466" s="17" t="str">
        <f t="shared" si="116"/>
        <v>01.2026</v>
      </c>
      <c r="AG466" s="17" t="str">
        <f t="shared" si="117"/>
        <v>Christiane Fiebag</v>
      </c>
      <c r="AH466" s="17" t="str">
        <f>IFERROR(VLOOKUP(B466,[1]Kundenübersicht!$E$4:$F$85,2,FALSE),"")</f>
        <v>Christian Jungnickel</v>
      </c>
      <c r="AI466" s="17" t="str">
        <f t="shared" si="114"/>
        <v>Hauswirtschaft</v>
      </c>
      <c r="AJ466" s="17" t="str">
        <f t="shared" si="114"/>
        <v>Entlastungsleistung</v>
      </c>
      <c r="AL466" s="18">
        <f t="shared" si="111"/>
        <v>38</v>
      </c>
      <c r="AM466" s="18">
        <f t="shared" si="112"/>
        <v>66.499999999999972</v>
      </c>
      <c r="AN466" s="18">
        <f t="shared" si="113"/>
        <v>1.9599999999999997</v>
      </c>
    </row>
    <row r="467" spans="2:40" x14ac:dyDescent="0.25">
      <c r="B467" s="30" t="s">
        <v>98</v>
      </c>
      <c r="C467" s="31">
        <v>46051</v>
      </c>
      <c r="D467" s="32">
        <v>0.375</v>
      </c>
      <c r="E467" s="32">
        <v>0.47916666666666669</v>
      </c>
      <c r="F467" s="12">
        <f t="shared" si="109"/>
        <v>2.5000000000000004</v>
      </c>
      <c r="G467" s="12">
        <v>11.7</v>
      </c>
      <c r="H467" s="30" t="s">
        <v>33</v>
      </c>
      <c r="I467" s="30" t="s">
        <v>27</v>
      </c>
      <c r="J467" s="30" t="s">
        <v>28</v>
      </c>
      <c r="K467" s="9" t="str">
        <f>IFERROR(VLOOKUP($B467,[1]Kundenübersicht!$E$4:$AC$1003,MATCH(K$3,[1]Kundenübersicht!$E$3:$BA$3,FALSE),FALSE),"")</f>
        <v>AOK PLUS</v>
      </c>
      <c r="L467" s="13">
        <f>IFERROR(VLOOKUP(B467,[1]Kundenübersicht!$E$4:$AC$1003,MATCH(L$3,[1]Kundenübersicht!$E$3:$BA$3,FALSE),FALSE),"")</f>
        <v>107299005</v>
      </c>
      <c r="M467" s="13" t="str">
        <f>IFERROR(VLOOKUP(B467,[1]Kundenübersicht!$E$4:$AC$1003,MATCH(M$3,[1]Kundenübersicht!$E$3:$BA$3,FALSE),FALSE),"")</f>
        <v>C645082805</v>
      </c>
      <c r="N467" s="13" t="str">
        <f>IFERROR(VLOOKUP(B467,[1]Kundenübersicht!$E$4:$AC$1003,MATCH(N$3,[1]Kundenübersicht!$E$3:$BA$3,FALSE),FALSE),"")</f>
        <v>PG 1</v>
      </c>
      <c r="P467" s="9" t="s">
        <v>29</v>
      </c>
      <c r="R467" s="9" t="s">
        <v>30</v>
      </c>
      <c r="S467" s="14"/>
      <c r="U467" s="15">
        <f>IF(YEAR(C467)&lt;=2025,IFERROR(IF(I467="Hauswirtschaft",VLOOKUP($B467,[1]Kundenübersicht!$E$4:$BA$1003,MATCH("Hauswirtschaft [€/Stunde]",[1]Kundenübersicht!$E$3:$BA$3,FALSE),FALSE),VLOOKUP($B467,[1]Kundenübersicht!$E$4:$BA$1003,MATCH("Alltagsbegleitung [€/Stunde]",[1]Kundenübersicht!$E$3:$BA$3,FALSE),FALSE)),0),IFERROR(IF(I467="Hauswirtschaft",VLOOKUP($B467,[1]Kundenübersicht!$E$4:$BA$1003,MATCH("HW ab 2026 [€/Stunde]",[1]Kundenübersicht!$E$3:$BA$3,FALSE),FALSE),VLOOKUP($B467,[1]Kundenübersicht!$E$4:$BA$1003,MATCH("Alltagsbegleitung [€/Stunde]",[1]Kundenübersicht!$E$3:$BA$3,FALSE),FALSE)),0))</f>
        <v>38</v>
      </c>
      <c r="V467" s="16">
        <f t="shared" si="110"/>
        <v>95.000000000000014</v>
      </c>
      <c r="W467" s="16">
        <f t="shared" si="102"/>
        <v>4.0949999999999998</v>
      </c>
      <c r="X467" s="16" t="s">
        <v>89</v>
      </c>
      <c r="Z467" s="20" t="str">
        <f t="shared" si="119"/>
        <v>Ja</v>
      </c>
      <c r="AA467" s="19">
        <v>46066</v>
      </c>
      <c r="AC467" s="19"/>
      <c r="AE467" s="9">
        <f t="shared" si="115"/>
        <v>2026</v>
      </c>
      <c r="AF467" s="17" t="str">
        <f t="shared" si="116"/>
        <v>01.2026</v>
      </c>
      <c r="AG467" s="17" t="str">
        <f t="shared" si="117"/>
        <v>Christiane Fiebag</v>
      </c>
      <c r="AH467" s="17" t="str">
        <f>IFERROR(VLOOKUP(B467,[1]Kundenübersicht!$E$4:$F$85,2,FALSE),"")</f>
        <v>Antje Jungnickel</v>
      </c>
      <c r="AI467" s="17" t="str">
        <f t="shared" si="114"/>
        <v>Hauswirtschaft</v>
      </c>
      <c r="AJ467" s="17" t="str">
        <f t="shared" si="114"/>
        <v>Entlastungsleistung</v>
      </c>
      <c r="AL467" s="18">
        <f t="shared" si="111"/>
        <v>38</v>
      </c>
      <c r="AM467" s="18">
        <f t="shared" si="112"/>
        <v>95.000000000000014</v>
      </c>
      <c r="AN467" s="18">
        <f t="shared" si="113"/>
        <v>4.0949999999999998</v>
      </c>
    </row>
    <row r="468" spans="2:40" x14ac:dyDescent="0.25">
      <c r="B468" s="30" t="s">
        <v>34</v>
      </c>
      <c r="C468" s="31">
        <v>46041</v>
      </c>
      <c r="D468" s="32">
        <v>0.45833333333333331</v>
      </c>
      <c r="E468" s="32">
        <v>0.54166666666666663</v>
      </c>
      <c r="F468" s="12">
        <f t="shared" si="109"/>
        <v>1.9999999999999996</v>
      </c>
      <c r="G468" s="12">
        <v>9.1999999999999993</v>
      </c>
      <c r="H468" s="30" t="s">
        <v>33</v>
      </c>
      <c r="I468" s="30" t="s">
        <v>27</v>
      </c>
      <c r="J468" s="30" t="s">
        <v>28</v>
      </c>
      <c r="K468" s="9" t="str">
        <f>IFERROR(VLOOKUP($B468,[1]Kundenübersicht!$E$4:$AC$1003,MATCH(K$3,[1]Kundenübersicht!$E$3:$BA$3,FALSE),FALSE),"")</f>
        <v>AOK PLUS</v>
      </c>
      <c r="L468" s="13">
        <f>IFERROR(VLOOKUP(B468,[1]Kundenübersicht!$E$4:$AC$1003,MATCH(L$3,[1]Kundenübersicht!$E$3:$BA$3,FALSE),FALSE),"")</f>
        <v>107299005</v>
      </c>
      <c r="M468" s="13" t="str">
        <f>IFERROR(VLOOKUP(B468,[1]Kundenübersicht!$E$4:$AC$1003,MATCH(M$3,[1]Kundenübersicht!$E$3:$BA$3,FALSE),FALSE),"")</f>
        <v>R234942678</v>
      </c>
      <c r="N468" s="13" t="str">
        <f>IFERROR(VLOOKUP(B468,[1]Kundenübersicht!$E$4:$AC$1003,MATCH(N$3,[1]Kundenübersicht!$E$3:$BA$3,FALSE),FALSE),"")</f>
        <v>PG 2</v>
      </c>
      <c r="P468" s="9" t="s">
        <v>29</v>
      </c>
      <c r="R468" s="9" t="s">
        <v>30</v>
      </c>
      <c r="S468" s="14"/>
      <c r="U468" s="15">
        <f>IF(YEAR(C468)&lt;=2025,IFERROR(IF(I468="Hauswirtschaft",VLOOKUP($B468,[1]Kundenübersicht!$E$4:$BA$1003,MATCH("Hauswirtschaft [€/Stunde]",[1]Kundenübersicht!$E$3:$BA$3,FALSE),FALSE),VLOOKUP($B468,[1]Kundenübersicht!$E$4:$BA$1003,MATCH("Alltagsbegleitung [€/Stunde]",[1]Kundenübersicht!$E$3:$BA$3,FALSE),FALSE)),0),IFERROR(IF(I468="Hauswirtschaft",VLOOKUP($B468,[1]Kundenübersicht!$E$4:$BA$1003,MATCH("HW ab 2026 [€/Stunde]",[1]Kundenübersicht!$E$3:$BA$3,FALSE),FALSE),VLOOKUP($B468,[1]Kundenübersicht!$E$4:$BA$1003,MATCH("Alltagsbegleitung [€/Stunde]",[1]Kundenübersicht!$E$3:$BA$3,FALSE),FALSE)),0))</f>
        <v>38</v>
      </c>
      <c r="V468" s="16">
        <f t="shared" si="110"/>
        <v>75.999999999999986</v>
      </c>
      <c r="W468" s="16">
        <f t="shared" si="102"/>
        <v>3.2199999999999998</v>
      </c>
      <c r="X468" s="16" t="s">
        <v>89</v>
      </c>
      <c r="Z468" s="20" t="str">
        <f t="shared" si="119"/>
        <v>Ja</v>
      </c>
      <c r="AA468" s="19">
        <v>46066</v>
      </c>
      <c r="AC468" s="19"/>
      <c r="AE468" s="9">
        <f t="shared" si="115"/>
        <v>2026</v>
      </c>
      <c r="AF468" s="17" t="str">
        <f t="shared" si="116"/>
        <v>01.2026</v>
      </c>
      <c r="AG468" s="17" t="str">
        <f t="shared" si="117"/>
        <v>Christiane Fiebag</v>
      </c>
      <c r="AH468" s="17" t="str">
        <f>IFERROR(VLOOKUP(B468,[1]Kundenübersicht!$E$4:$F$85,2,FALSE),"")</f>
        <v>Dieter Berghold</v>
      </c>
      <c r="AI468" s="17" t="str">
        <f t="shared" si="114"/>
        <v>Hauswirtschaft</v>
      </c>
      <c r="AJ468" s="17" t="str">
        <f t="shared" si="114"/>
        <v>Entlastungsleistung</v>
      </c>
      <c r="AL468" s="18">
        <f t="shared" si="111"/>
        <v>38</v>
      </c>
      <c r="AM468" s="18">
        <f t="shared" si="112"/>
        <v>75.999999999999986</v>
      </c>
      <c r="AN468" s="18">
        <f t="shared" si="113"/>
        <v>3.2199999999999998</v>
      </c>
    </row>
    <row r="469" spans="2:40" x14ac:dyDescent="0.25">
      <c r="B469" s="30" t="s">
        <v>35</v>
      </c>
      <c r="C469" s="31">
        <v>46027</v>
      </c>
      <c r="D469" s="32">
        <v>0.45833333333333331</v>
      </c>
      <c r="E469" s="32">
        <v>0.54166666666666663</v>
      </c>
      <c r="F469" s="12">
        <f t="shared" si="109"/>
        <v>1.9999999999999996</v>
      </c>
      <c r="G469" s="12">
        <v>12.1</v>
      </c>
      <c r="H469" s="30" t="s">
        <v>33</v>
      </c>
      <c r="I469" s="30" t="s">
        <v>27</v>
      </c>
      <c r="J469" s="30" t="s">
        <v>28</v>
      </c>
      <c r="K469" s="9" t="str">
        <f>IFERROR(VLOOKUP($B469,[1]Kundenübersicht!$E$4:$AC$1003,MATCH(K$3,[1]Kundenübersicht!$E$3:$BA$3,FALSE),FALSE),"")</f>
        <v>AOK PLUS</v>
      </c>
      <c r="L469" s="13">
        <f>IFERROR(VLOOKUP(B469,[1]Kundenübersicht!$E$4:$AC$1003,MATCH(L$3,[1]Kundenübersicht!$E$3:$BA$3,FALSE),FALSE),"")</f>
        <v>107299005</v>
      </c>
      <c r="M469" s="13" t="str">
        <f>IFERROR(VLOOKUP(B469,[1]Kundenübersicht!$E$4:$AC$1003,MATCH(M$3,[1]Kundenübersicht!$E$3:$BA$3,FALSE),FALSE),"")</f>
        <v>P722909118</v>
      </c>
      <c r="N469" s="13" t="str">
        <f>IFERROR(VLOOKUP(B469,[1]Kundenübersicht!$E$4:$AC$1003,MATCH(N$3,[1]Kundenübersicht!$E$3:$BA$3,FALSE),FALSE),"")</f>
        <v>PG 3</v>
      </c>
      <c r="P469" s="9" t="s">
        <v>29</v>
      </c>
      <c r="R469" s="9" t="s">
        <v>30</v>
      </c>
      <c r="S469" s="14"/>
      <c r="U469" s="15">
        <f>IF(YEAR(C469)&lt;=2025,IFERROR(IF(I469="Hauswirtschaft",VLOOKUP($B469,[1]Kundenübersicht!$E$4:$BA$1003,MATCH("Hauswirtschaft [€/Stunde]",[1]Kundenübersicht!$E$3:$BA$3,FALSE),FALSE),VLOOKUP($B469,[1]Kundenübersicht!$E$4:$BA$1003,MATCH("Alltagsbegleitung [€/Stunde]",[1]Kundenübersicht!$E$3:$BA$3,FALSE),FALSE)),0),IFERROR(IF(I469="Hauswirtschaft",VLOOKUP($B469,[1]Kundenübersicht!$E$4:$BA$1003,MATCH("HW ab 2026 [€/Stunde]",[1]Kundenübersicht!$E$3:$BA$3,FALSE),FALSE),VLOOKUP($B469,[1]Kundenübersicht!$E$4:$BA$1003,MATCH("Alltagsbegleitung [€/Stunde]",[1]Kundenübersicht!$E$3:$BA$3,FALSE),FALSE)),0))</f>
        <v>38</v>
      </c>
      <c r="V469" s="16">
        <f t="shared" si="110"/>
        <v>75.999999999999986</v>
      </c>
      <c r="W469" s="16">
        <f t="shared" si="102"/>
        <v>4.2349999999999994</v>
      </c>
      <c r="X469" s="16" t="s">
        <v>89</v>
      </c>
      <c r="Z469" s="20" t="str">
        <f t="shared" si="119"/>
        <v>Ja</v>
      </c>
      <c r="AA469" s="19">
        <v>46066</v>
      </c>
      <c r="AC469" s="19"/>
      <c r="AE469" s="9">
        <f t="shared" si="115"/>
        <v>2026</v>
      </c>
      <c r="AF469" s="17" t="str">
        <f t="shared" si="116"/>
        <v>01.2026</v>
      </c>
      <c r="AG469" s="17" t="str">
        <f t="shared" si="117"/>
        <v>Christiane Fiebag</v>
      </c>
      <c r="AH469" s="17" t="str">
        <f>IFERROR(VLOOKUP(B469,[1]Kundenübersicht!$E$4:$F$85,2,FALSE),"")</f>
        <v>Elke Berghold</v>
      </c>
      <c r="AI469" s="17" t="str">
        <f t="shared" si="114"/>
        <v>Hauswirtschaft</v>
      </c>
      <c r="AJ469" s="17" t="str">
        <f t="shared" si="114"/>
        <v>Entlastungsleistung</v>
      </c>
      <c r="AL469" s="18">
        <f t="shared" si="111"/>
        <v>38</v>
      </c>
      <c r="AM469" s="18">
        <f t="shared" si="112"/>
        <v>75.999999999999986</v>
      </c>
      <c r="AN469" s="18">
        <f t="shared" si="113"/>
        <v>4.2349999999999994</v>
      </c>
    </row>
    <row r="470" spans="2:40" x14ac:dyDescent="0.25">
      <c r="B470" s="30" t="s">
        <v>35</v>
      </c>
      <c r="C470" s="31">
        <v>46028</v>
      </c>
      <c r="D470" s="32">
        <v>0.58333333333333337</v>
      </c>
      <c r="E470" s="32">
        <v>0.66666666666666663</v>
      </c>
      <c r="F470" s="12">
        <f t="shared" si="109"/>
        <v>1.9999999999999982</v>
      </c>
      <c r="G470" s="12">
        <v>37.200000000000003</v>
      </c>
      <c r="H470" s="30" t="s">
        <v>33</v>
      </c>
      <c r="I470" s="30" t="s">
        <v>41</v>
      </c>
      <c r="J470" s="30" t="s">
        <v>28</v>
      </c>
      <c r="K470" s="9" t="str">
        <f>IFERROR(VLOOKUP($B470,[1]Kundenübersicht!$E$4:$AC$1003,MATCH(K$3,[1]Kundenübersicht!$E$3:$BA$3,FALSE),FALSE),"")</f>
        <v>AOK PLUS</v>
      </c>
      <c r="L470" s="13">
        <f>IFERROR(VLOOKUP(B470,[1]Kundenübersicht!$E$4:$AC$1003,MATCH(L$3,[1]Kundenübersicht!$E$3:$BA$3,FALSE),FALSE),"")</f>
        <v>107299005</v>
      </c>
      <c r="M470" s="13" t="str">
        <f>IFERROR(VLOOKUP(B470,[1]Kundenübersicht!$E$4:$AC$1003,MATCH(M$3,[1]Kundenübersicht!$E$3:$BA$3,FALSE),FALSE),"")</f>
        <v>P722909118</v>
      </c>
      <c r="N470" s="13" t="str">
        <f>IFERROR(VLOOKUP(B470,[1]Kundenübersicht!$E$4:$AC$1003,MATCH(N$3,[1]Kundenübersicht!$E$3:$BA$3,FALSE),FALSE),"")</f>
        <v>PG 3</v>
      </c>
      <c r="P470" s="9" t="s">
        <v>29</v>
      </c>
      <c r="R470" s="9" t="s">
        <v>30</v>
      </c>
      <c r="S470" s="14"/>
      <c r="U470" s="15">
        <f>IF(YEAR(C470)&lt;=2025,IFERROR(IF(I470="Hauswirtschaft",VLOOKUP($B470,[1]Kundenübersicht!$E$4:$BA$1003,MATCH("Hauswirtschaft [€/Stunde]",[1]Kundenübersicht!$E$3:$BA$3,FALSE),FALSE),VLOOKUP($B470,[1]Kundenübersicht!$E$4:$BA$1003,MATCH("Alltagsbegleitung [€/Stunde]",[1]Kundenübersicht!$E$3:$BA$3,FALSE),FALSE)),0),IFERROR(IF(I470="Hauswirtschaft",VLOOKUP($B470,[1]Kundenübersicht!$E$4:$BA$1003,MATCH("HW ab 2026 [€/Stunde]",[1]Kundenübersicht!$E$3:$BA$3,FALSE),FALSE),VLOOKUP($B470,[1]Kundenübersicht!$E$4:$BA$1003,MATCH("Alltagsbegleitung [€/Stunde]",[1]Kundenübersicht!$E$3:$BA$3,FALSE),FALSE)),0))</f>
        <v>42</v>
      </c>
      <c r="V470" s="16">
        <f t="shared" si="110"/>
        <v>83.999999999999929</v>
      </c>
      <c r="W470" s="16">
        <f t="shared" si="102"/>
        <v>13.02</v>
      </c>
      <c r="X470" s="16" t="s">
        <v>89</v>
      </c>
      <c r="Z470" s="20" t="str">
        <f t="shared" si="119"/>
        <v>Ja</v>
      </c>
      <c r="AA470" s="19">
        <v>46066</v>
      </c>
      <c r="AC470" s="19"/>
      <c r="AE470" s="9">
        <f t="shared" si="115"/>
        <v>2026</v>
      </c>
      <c r="AF470" s="17" t="str">
        <f t="shared" si="116"/>
        <v>01.2026</v>
      </c>
      <c r="AG470" s="17" t="str">
        <f t="shared" si="117"/>
        <v>Christiane Fiebag</v>
      </c>
      <c r="AH470" s="17" t="str">
        <f>IFERROR(VLOOKUP(B470,[1]Kundenübersicht!$E$4:$F$85,2,FALSE),"")</f>
        <v>Elke Berghold</v>
      </c>
      <c r="AI470" s="17" t="str">
        <f t="shared" si="114"/>
        <v>Alltagsbegleitung</v>
      </c>
      <c r="AJ470" s="17" t="str">
        <f t="shared" si="114"/>
        <v>Entlastungsleistung</v>
      </c>
      <c r="AL470" s="18">
        <f t="shared" si="111"/>
        <v>42</v>
      </c>
      <c r="AM470" s="18">
        <f t="shared" si="112"/>
        <v>83.999999999999929</v>
      </c>
      <c r="AN470" s="18">
        <f t="shared" si="113"/>
        <v>13.02</v>
      </c>
    </row>
    <row r="471" spans="2:40" x14ac:dyDescent="0.25">
      <c r="B471" s="30" t="s">
        <v>35</v>
      </c>
      <c r="C471" s="31">
        <v>46034</v>
      </c>
      <c r="D471" s="32">
        <v>0.45833333333333331</v>
      </c>
      <c r="E471" s="32">
        <v>0.54166666666666663</v>
      </c>
      <c r="F471" s="12">
        <f t="shared" si="109"/>
        <v>1.9999999999999996</v>
      </c>
      <c r="G471" s="12">
        <v>8.9</v>
      </c>
      <c r="H471" s="30" t="s">
        <v>33</v>
      </c>
      <c r="I471" s="30" t="s">
        <v>27</v>
      </c>
      <c r="J471" s="30" t="s">
        <v>28</v>
      </c>
      <c r="K471" s="9" t="str">
        <f>IFERROR(VLOOKUP($B471,[1]Kundenübersicht!$E$4:$AC$1003,MATCH(K$3,[1]Kundenübersicht!$E$3:$BA$3,FALSE),FALSE),"")</f>
        <v>AOK PLUS</v>
      </c>
      <c r="L471" s="13">
        <f>IFERROR(VLOOKUP(B471,[1]Kundenübersicht!$E$4:$AC$1003,MATCH(L$3,[1]Kundenübersicht!$E$3:$BA$3,FALSE),FALSE),"")</f>
        <v>107299005</v>
      </c>
      <c r="M471" s="13" t="str">
        <f>IFERROR(VLOOKUP(B471,[1]Kundenübersicht!$E$4:$AC$1003,MATCH(M$3,[1]Kundenübersicht!$E$3:$BA$3,FALSE),FALSE),"")</f>
        <v>P722909118</v>
      </c>
      <c r="N471" s="13" t="str">
        <f>IFERROR(VLOOKUP(B471,[1]Kundenübersicht!$E$4:$AC$1003,MATCH(N$3,[1]Kundenübersicht!$E$3:$BA$3,FALSE),FALSE),"")</f>
        <v>PG 3</v>
      </c>
      <c r="P471" s="9" t="s">
        <v>29</v>
      </c>
      <c r="R471" s="9" t="s">
        <v>30</v>
      </c>
      <c r="S471" s="14"/>
      <c r="U471" s="15">
        <f>IF(YEAR(C471)&lt;=2025,IFERROR(IF(I471="Hauswirtschaft",VLOOKUP($B471,[1]Kundenübersicht!$E$4:$BA$1003,MATCH("Hauswirtschaft [€/Stunde]",[1]Kundenübersicht!$E$3:$BA$3,FALSE),FALSE),VLOOKUP($B471,[1]Kundenübersicht!$E$4:$BA$1003,MATCH("Alltagsbegleitung [€/Stunde]",[1]Kundenübersicht!$E$3:$BA$3,FALSE),FALSE)),0),IFERROR(IF(I471="Hauswirtschaft",VLOOKUP($B471,[1]Kundenübersicht!$E$4:$BA$1003,MATCH("HW ab 2026 [€/Stunde]",[1]Kundenübersicht!$E$3:$BA$3,FALSE),FALSE),VLOOKUP($B471,[1]Kundenübersicht!$E$4:$BA$1003,MATCH("Alltagsbegleitung [€/Stunde]",[1]Kundenübersicht!$E$3:$BA$3,FALSE),FALSE)),0))</f>
        <v>38</v>
      </c>
      <c r="V471" s="16">
        <f t="shared" si="110"/>
        <v>75.999999999999986</v>
      </c>
      <c r="W471" s="16">
        <f t="shared" si="102"/>
        <v>3.1149999999999998</v>
      </c>
      <c r="X471" s="16" t="s">
        <v>89</v>
      </c>
      <c r="Z471" s="20" t="str">
        <f t="shared" si="119"/>
        <v>Ja</v>
      </c>
      <c r="AA471" s="19">
        <v>46066</v>
      </c>
      <c r="AC471" s="19"/>
      <c r="AE471" s="9">
        <f t="shared" si="115"/>
        <v>2026</v>
      </c>
      <c r="AF471" s="17" t="str">
        <f t="shared" si="116"/>
        <v>01.2026</v>
      </c>
      <c r="AG471" s="17" t="str">
        <f t="shared" si="117"/>
        <v>Christiane Fiebag</v>
      </c>
      <c r="AH471" s="17" t="str">
        <f>IFERROR(VLOOKUP(B471,[1]Kundenübersicht!$E$4:$F$85,2,FALSE),"")</f>
        <v>Elke Berghold</v>
      </c>
      <c r="AI471" s="17" t="str">
        <f t="shared" si="114"/>
        <v>Hauswirtschaft</v>
      </c>
      <c r="AJ471" s="17" t="str">
        <f t="shared" si="114"/>
        <v>Entlastungsleistung</v>
      </c>
      <c r="AL471" s="18">
        <f t="shared" si="111"/>
        <v>38</v>
      </c>
      <c r="AM471" s="18">
        <f t="shared" si="112"/>
        <v>75.999999999999986</v>
      </c>
      <c r="AN471" s="18">
        <f t="shared" si="113"/>
        <v>3.1149999999999998</v>
      </c>
    </row>
    <row r="472" spans="2:40" x14ac:dyDescent="0.25">
      <c r="B472" s="30" t="s">
        <v>35</v>
      </c>
      <c r="C472" s="31">
        <v>46037</v>
      </c>
      <c r="D472" s="32">
        <v>0.58333333333333337</v>
      </c>
      <c r="E472" s="32">
        <v>0.70833333333333337</v>
      </c>
      <c r="F472" s="12">
        <f t="shared" si="109"/>
        <v>3</v>
      </c>
      <c r="G472" s="12">
        <v>23.7</v>
      </c>
      <c r="H472" s="30" t="s">
        <v>33</v>
      </c>
      <c r="I472" s="30" t="s">
        <v>41</v>
      </c>
      <c r="J472" s="30" t="s">
        <v>28</v>
      </c>
      <c r="K472" s="9" t="str">
        <f>IFERROR(VLOOKUP($B472,[1]Kundenübersicht!$E$4:$AC$1003,MATCH(K$3,[1]Kundenübersicht!$E$3:$BA$3,FALSE),FALSE),"")</f>
        <v>AOK PLUS</v>
      </c>
      <c r="L472" s="13">
        <f>IFERROR(VLOOKUP(B472,[1]Kundenübersicht!$E$4:$AC$1003,MATCH(L$3,[1]Kundenübersicht!$E$3:$BA$3,FALSE),FALSE),"")</f>
        <v>107299005</v>
      </c>
      <c r="M472" s="13" t="str">
        <f>IFERROR(VLOOKUP(B472,[1]Kundenübersicht!$E$4:$AC$1003,MATCH(M$3,[1]Kundenübersicht!$E$3:$BA$3,FALSE),FALSE),"")</f>
        <v>P722909118</v>
      </c>
      <c r="N472" s="13" t="str">
        <f>IFERROR(VLOOKUP(B472,[1]Kundenübersicht!$E$4:$AC$1003,MATCH(N$3,[1]Kundenübersicht!$E$3:$BA$3,FALSE),FALSE),"")</f>
        <v>PG 3</v>
      </c>
      <c r="P472" s="9" t="s">
        <v>29</v>
      </c>
      <c r="R472" s="9" t="s">
        <v>30</v>
      </c>
      <c r="S472" s="14"/>
      <c r="U472" s="15">
        <f>IF(YEAR(C472)&lt;=2025,IFERROR(IF(I472="Hauswirtschaft",VLOOKUP($B472,[1]Kundenübersicht!$E$4:$BA$1003,MATCH("Hauswirtschaft [€/Stunde]",[1]Kundenübersicht!$E$3:$BA$3,FALSE),FALSE),VLOOKUP($B472,[1]Kundenübersicht!$E$4:$BA$1003,MATCH("Alltagsbegleitung [€/Stunde]",[1]Kundenübersicht!$E$3:$BA$3,FALSE),FALSE)),0),IFERROR(IF(I472="Hauswirtschaft",VLOOKUP($B472,[1]Kundenübersicht!$E$4:$BA$1003,MATCH("HW ab 2026 [€/Stunde]",[1]Kundenübersicht!$E$3:$BA$3,FALSE),FALSE),VLOOKUP($B472,[1]Kundenübersicht!$E$4:$BA$1003,MATCH("Alltagsbegleitung [€/Stunde]",[1]Kundenübersicht!$E$3:$BA$3,FALSE),FALSE)),0))</f>
        <v>42</v>
      </c>
      <c r="V472" s="16">
        <f t="shared" si="110"/>
        <v>126</v>
      </c>
      <c r="W472" s="16">
        <f t="shared" ref="W472:W535" si="120">IF(AND(YEAR(C472)&lt;=2025,X472="Alt"),0,G472*0.35)</f>
        <v>8.2949999999999999</v>
      </c>
      <c r="X472" s="16" t="s">
        <v>89</v>
      </c>
      <c r="Z472" s="20" t="str">
        <f t="shared" si="119"/>
        <v>Ja</v>
      </c>
      <c r="AA472" s="19">
        <v>46066</v>
      </c>
      <c r="AC472" s="19"/>
      <c r="AE472" s="9">
        <f t="shared" si="115"/>
        <v>2026</v>
      </c>
      <c r="AF472" s="17" t="str">
        <f t="shared" si="116"/>
        <v>01.2026</v>
      </c>
      <c r="AG472" s="17" t="str">
        <f t="shared" si="117"/>
        <v>Christiane Fiebag</v>
      </c>
      <c r="AH472" s="17" t="str">
        <f>IFERROR(VLOOKUP(B472,[1]Kundenübersicht!$E$4:$F$85,2,FALSE),"")</f>
        <v>Elke Berghold</v>
      </c>
      <c r="AI472" s="17" t="str">
        <f t="shared" si="114"/>
        <v>Alltagsbegleitung</v>
      </c>
      <c r="AJ472" s="17" t="str">
        <f t="shared" si="114"/>
        <v>Entlastungsleistung</v>
      </c>
      <c r="AL472" s="18">
        <f t="shared" si="111"/>
        <v>42</v>
      </c>
      <c r="AM472" s="18">
        <f t="shared" si="112"/>
        <v>126</v>
      </c>
      <c r="AN472" s="18">
        <f t="shared" si="113"/>
        <v>8.2949999999999999</v>
      </c>
    </row>
    <row r="473" spans="2:40" x14ac:dyDescent="0.25">
      <c r="B473" s="30" t="s">
        <v>25</v>
      </c>
      <c r="C473" s="31">
        <v>46034</v>
      </c>
      <c r="D473" s="32">
        <v>0.375</v>
      </c>
      <c r="E473" s="32">
        <v>0.44791666666666669</v>
      </c>
      <c r="F473" s="12">
        <f t="shared" si="109"/>
        <v>1.7500000000000004</v>
      </c>
      <c r="G473" s="12">
        <v>7.3</v>
      </c>
      <c r="H473" s="30" t="s">
        <v>33</v>
      </c>
      <c r="I473" s="30" t="s">
        <v>41</v>
      </c>
      <c r="J473" s="30" t="s">
        <v>28</v>
      </c>
      <c r="K473" s="9" t="str">
        <f>IFERROR(VLOOKUP($B473,[1]Kundenübersicht!$E$4:$AC$1003,MATCH(K$3,[1]Kundenübersicht!$E$3:$BA$3,FALSE),FALSE),"")</f>
        <v>Barmer Pflegekasse</v>
      </c>
      <c r="L473" s="13">
        <f>IFERROR(VLOOKUP(B473,[1]Kundenübersicht!$E$4:$AC$1003,MATCH(L$3,[1]Kundenübersicht!$E$3:$BA$3,FALSE),FALSE),"")</f>
        <v>184940005</v>
      </c>
      <c r="M473" s="13" t="str">
        <f>IFERROR(VLOOKUP(B473,[1]Kundenübersicht!$E$4:$AC$1003,MATCH(M$3,[1]Kundenübersicht!$E$3:$BA$3,FALSE),FALSE),"")</f>
        <v>Z817157321</v>
      </c>
      <c r="N473" s="13" t="str">
        <f>IFERROR(VLOOKUP(B473,[1]Kundenübersicht!$E$4:$AC$1003,MATCH(N$3,[1]Kundenübersicht!$E$3:$BA$3,FALSE),FALSE),"")</f>
        <v>PG 1</v>
      </c>
      <c r="P473" s="9" t="s">
        <v>29</v>
      </c>
      <c r="R473" s="9" t="s">
        <v>30</v>
      </c>
      <c r="S473" s="14"/>
      <c r="U473" s="15">
        <f>IF(YEAR(C473)&lt;=2025,IFERROR(IF(I473="Hauswirtschaft",VLOOKUP($B473,[1]Kundenübersicht!$E$4:$BA$1003,MATCH("Hauswirtschaft [€/Stunde]",[1]Kundenübersicht!$E$3:$BA$3,FALSE),FALSE),VLOOKUP($B473,[1]Kundenübersicht!$E$4:$BA$1003,MATCH("Alltagsbegleitung [€/Stunde]",[1]Kundenübersicht!$E$3:$BA$3,FALSE),FALSE)),0),IFERROR(IF(I473="Hauswirtschaft",VLOOKUP($B473,[1]Kundenübersicht!$E$4:$BA$1003,MATCH("HW ab 2026 [€/Stunde]",[1]Kundenübersicht!$E$3:$BA$3,FALSE),FALSE),VLOOKUP($B473,[1]Kundenübersicht!$E$4:$BA$1003,MATCH("Alltagsbegleitung [€/Stunde]",[1]Kundenübersicht!$E$3:$BA$3,FALSE),FALSE)),0))</f>
        <v>42</v>
      </c>
      <c r="V473" s="16">
        <f t="shared" si="110"/>
        <v>73.500000000000014</v>
      </c>
      <c r="W473" s="16">
        <f t="shared" si="120"/>
        <v>2.5549999999999997</v>
      </c>
      <c r="X473" s="16" t="s">
        <v>89</v>
      </c>
      <c r="Z473" s="20" t="str">
        <f t="shared" si="119"/>
        <v>Ja</v>
      </c>
      <c r="AA473" s="19">
        <v>46066</v>
      </c>
      <c r="AC473" s="19"/>
      <c r="AE473" s="9">
        <f t="shared" si="115"/>
        <v>2026</v>
      </c>
      <c r="AF473" s="17" t="str">
        <f t="shared" si="116"/>
        <v>01.2026</v>
      </c>
      <c r="AG473" s="17" t="str">
        <f t="shared" si="117"/>
        <v>Christiane Fiebag</v>
      </c>
      <c r="AH473" s="17" t="str">
        <f>IFERROR(VLOOKUP(B473,[1]Kundenübersicht!$E$4:$F$85,2,FALSE),"")</f>
        <v>Rosemarie Schröder</v>
      </c>
      <c r="AI473" s="17" t="str">
        <f t="shared" si="114"/>
        <v>Alltagsbegleitung</v>
      </c>
      <c r="AJ473" s="17" t="str">
        <f t="shared" si="114"/>
        <v>Entlastungsleistung</v>
      </c>
      <c r="AL473" s="18">
        <f t="shared" si="111"/>
        <v>42</v>
      </c>
      <c r="AM473" s="18">
        <f t="shared" si="112"/>
        <v>73.500000000000014</v>
      </c>
      <c r="AN473" s="18">
        <f t="shared" si="113"/>
        <v>2.5549999999999997</v>
      </c>
    </row>
    <row r="474" spans="2:40" x14ac:dyDescent="0.25">
      <c r="B474" s="30" t="s">
        <v>69</v>
      </c>
      <c r="C474" s="31">
        <v>46041</v>
      </c>
      <c r="D474" s="32">
        <v>0.33333333333333331</v>
      </c>
      <c r="E474" s="32">
        <v>0.41666666666666669</v>
      </c>
      <c r="F474" s="12">
        <f t="shared" si="109"/>
        <v>2.0000000000000009</v>
      </c>
      <c r="G474" s="12">
        <v>12.2</v>
      </c>
      <c r="H474" s="30" t="s">
        <v>33</v>
      </c>
      <c r="I474" s="30" t="s">
        <v>27</v>
      </c>
      <c r="J474" s="30" t="s">
        <v>28</v>
      </c>
      <c r="K474" s="9" t="str">
        <f>IFERROR(VLOOKUP($B474,[1]Kundenübersicht!$E$4:$AC$1003,MATCH(K$3,[1]Kundenübersicht!$E$3:$BA$3,FALSE),FALSE),"")</f>
        <v>Barmer Pflegekasse</v>
      </c>
      <c r="L474" s="13">
        <f>IFERROR(VLOOKUP(B474,[1]Kundenübersicht!$E$4:$AC$1003,MATCH(L$3,[1]Kundenübersicht!$E$3:$BA$3,FALSE),FALSE),"")</f>
        <v>184940005</v>
      </c>
      <c r="M474" s="13" t="str">
        <f>IFERROR(VLOOKUP(B474,[1]Kundenübersicht!$E$4:$AC$1003,MATCH(M$3,[1]Kundenübersicht!$E$3:$BA$3,FALSE),FALSE),"")</f>
        <v>G192083809</v>
      </c>
      <c r="N474" s="13" t="str">
        <f>IFERROR(VLOOKUP(B474,[1]Kundenübersicht!$E$4:$AC$1003,MATCH(N$3,[1]Kundenübersicht!$E$3:$BA$3,FALSE),FALSE),"")</f>
        <v>PG 2</v>
      </c>
      <c r="P474" s="9" t="s">
        <v>29</v>
      </c>
      <c r="R474" s="9" t="s">
        <v>30</v>
      </c>
      <c r="S474" s="14"/>
      <c r="U474" s="15">
        <f>IF(YEAR(C474)&lt;=2025,IFERROR(IF(I474="Hauswirtschaft",VLOOKUP($B474,[1]Kundenübersicht!$E$4:$BA$1003,MATCH("Hauswirtschaft [€/Stunde]",[1]Kundenübersicht!$E$3:$BA$3,FALSE),FALSE),VLOOKUP($B474,[1]Kundenübersicht!$E$4:$BA$1003,MATCH("Alltagsbegleitung [€/Stunde]",[1]Kundenübersicht!$E$3:$BA$3,FALSE),FALSE)),0),IFERROR(IF(I474="Hauswirtschaft",VLOOKUP($B474,[1]Kundenübersicht!$E$4:$BA$1003,MATCH("HW ab 2026 [€/Stunde]",[1]Kundenübersicht!$E$3:$BA$3,FALSE),FALSE),VLOOKUP($B474,[1]Kundenübersicht!$E$4:$BA$1003,MATCH("Alltagsbegleitung [€/Stunde]",[1]Kundenübersicht!$E$3:$BA$3,FALSE),FALSE)),0))</f>
        <v>38</v>
      </c>
      <c r="V474" s="16">
        <f t="shared" si="110"/>
        <v>76.000000000000028</v>
      </c>
      <c r="W474" s="16">
        <f t="shared" si="120"/>
        <v>4.2699999999999996</v>
      </c>
      <c r="X474" s="16" t="s">
        <v>89</v>
      </c>
      <c r="Z474" s="20" t="str">
        <f t="shared" si="119"/>
        <v>Ja</v>
      </c>
      <c r="AA474" s="19">
        <v>46066</v>
      </c>
      <c r="AC474" s="19"/>
      <c r="AE474" s="9">
        <f t="shared" si="115"/>
        <v>2026</v>
      </c>
      <c r="AF474" s="17" t="str">
        <f t="shared" si="116"/>
        <v>01.2026</v>
      </c>
      <c r="AG474" s="17" t="str">
        <f t="shared" si="117"/>
        <v>Christiane Fiebag</v>
      </c>
      <c r="AH474" s="17" t="str">
        <f>IFERROR(VLOOKUP(B474,[1]Kundenübersicht!$E$4:$F$85,2,FALSE),"")</f>
        <v>Bettina Jungnickel</v>
      </c>
      <c r="AI474" s="17" t="str">
        <f t="shared" si="114"/>
        <v>Hauswirtschaft</v>
      </c>
      <c r="AJ474" s="17" t="str">
        <f t="shared" si="114"/>
        <v>Entlastungsleistung</v>
      </c>
      <c r="AL474" s="18">
        <f t="shared" si="111"/>
        <v>38</v>
      </c>
      <c r="AM474" s="18">
        <f t="shared" si="112"/>
        <v>76.000000000000028</v>
      </c>
      <c r="AN474" s="18">
        <f t="shared" si="113"/>
        <v>4.2699999999999996</v>
      </c>
    </row>
    <row r="475" spans="2:40" x14ac:dyDescent="0.25">
      <c r="B475" s="30" t="s">
        <v>70</v>
      </c>
      <c r="C475" s="31">
        <v>46027</v>
      </c>
      <c r="D475" s="32">
        <v>0.33333333333333331</v>
      </c>
      <c r="E475" s="32">
        <v>0.41666666666666669</v>
      </c>
      <c r="F475" s="12">
        <f t="shared" si="109"/>
        <v>2.0000000000000009</v>
      </c>
      <c r="G475" s="12">
        <v>0</v>
      </c>
      <c r="H475" s="30" t="s">
        <v>33</v>
      </c>
      <c r="I475" s="30" t="s">
        <v>27</v>
      </c>
      <c r="J475" s="30" t="s">
        <v>28</v>
      </c>
      <c r="K475" s="9" t="str">
        <f>IFERROR(VLOOKUP($B475,[1]Kundenübersicht!$E$4:$AC$1003,MATCH(K$3,[1]Kundenübersicht!$E$3:$BA$3,FALSE),FALSE),"")</f>
        <v>Barmer Pflegekasse</v>
      </c>
      <c r="L475" s="13">
        <f>IFERROR(VLOOKUP(B475,[1]Kundenübersicht!$E$4:$AC$1003,MATCH(L$3,[1]Kundenübersicht!$E$3:$BA$3,FALSE),FALSE),"")</f>
        <v>184940005</v>
      </c>
      <c r="M475" s="13" t="str">
        <f>IFERROR(VLOOKUP(B475,[1]Kundenübersicht!$E$4:$AC$1003,MATCH(M$3,[1]Kundenübersicht!$E$3:$BA$3,FALSE),FALSE),"")</f>
        <v>W255296774</v>
      </c>
      <c r="N475" s="13" t="str">
        <f>IFERROR(VLOOKUP(B475,[1]Kundenübersicht!$E$4:$AC$1003,MATCH(N$3,[1]Kundenübersicht!$E$3:$BA$3,FALSE),FALSE),"")</f>
        <v>PG 1</v>
      </c>
      <c r="P475" s="9" t="s">
        <v>29</v>
      </c>
      <c r="R475" s="9" t="s">
        <v>30</v>
      </c>
      <c r="S475" s="14"/>
      <c r="U475" s="15">
        <f>IF(YEAR(C475)&lt;=2025,IFERROR(IF(I475="Hauswirtschaft",VLOOKUP($B475,[1]Kundenübersicht!$E$4:$BA$1003,MATCH("Hauswirtschaft [€/Stunde]",[1]Kundenübersicht!$E$3:$BA$3,FALSE),FALSE),VLOOKUP($B475,[1]Kundenübersicht!$E$4:$BA$1003,MATCH("Alltagsbegleitung [€/Stunde]",[1]Kundenübersicht!$E$3:$BA$3,FALSE),FALSE)),0),IFERROR(IF(I475="Hauswirtschaft",VLOOKUP($B475,[1]Kundenübersicht!$E$4:$BA$1003,MATCH("HW ab 2026 [€/Stunde]",[1]Kundenübersicht!$E$3:$BA$3,FALSE),FALSE),VLOOKUP($B475,[1]Kundenübersicht!$E$4:$BA$1003,MATCH("Alltagsbegleitung [€/Stunde]",[1]Kundenübersicht!$E$3:$BA$3,FALSE),FALSE)),0))</f>
        <v>38</v>
      </c>
      <c r="V475" s="16">
        <f t="shared" si="110"/>
        <v>76.000000000000028</v>
      </c>
      <c r="W475" s="16">
        <f t="shared" si="120"/>
        <v>0</v>
      </c>
      <c r="X475" s="16" t="s">
        <v>89</v>
      </c>
      <c r="Z475" s="20" t="str">
        <f t="shared" si="119"/>
        <v>Ja</v>
      </c>
      <c r="AA475" s="19">
        <v>46066</v>
      </c>
      <c r="AC475" s="19"/>
      <c r="AE475" s="9">
        <f t="shared" si="115"/>
        <v>2026</v>
      </c>
      <c r="AF475" s="17" t="str">
        <f t="shared" si="116"/>
        <v>01.2026</v>
      </c>
      <c r="AG475" s="17" t="str">
        <f t="shared" si="117"/>
        <v>Christiane Fiebag</v>
      </c>
      <c r="AH475" s="17" t="str">
        <f>IFERROR(VLOOKUP(B475,[1]Kundenübersicht!$E$4:$F$85,2,FALSE),"")</f>
        <v>Renate Schade</v>
      </c>
      <c r="AI475" s="17" t="str">
        <f t="shared" si="114"/>
        <v>Hauswirtschaft</v>
      </c>
      <c r="AJ475" s="17" t="str">
        <f t="shared" si="114"/>
        <v>Entlastungsleistung</v>
      </c>
      <c r="AL475" s="18">
        <f t="shared" si="111"/>
        <v>38</v>
      </c>
      <c r="AM475" s="18">
        <f t="shared" si="112"/>
        <v>76.000000000000028</v>
      </c>
      <c r="AN475" s="18">
        <f t="shared" si="113"/>
        <v>0</v>
      </c>
    </row>
    <row r="476" spans="2:40" x14ac:dyDescent="0.25">
      <c r="B476" s="30" t="s">
        <v>70</v>
      </c>
      <c r="C476" s="31">
        <v>46041</v>
      </c>
      <c r="D476" s="32">
        <v>0.33333333333333331</v>
      </c>
      <c r="E476" s="32">
        <v>0.41666666666666669</v>
      </c>
      <c r="F476" s="12">
        <f t="shared" si="109"/>
        <v>2.0000000000000009</v>
      </c>
      <c r="G476" s="12">
        <v>6.8</v>
      </c>
      <c r="H476" s="30" t="s">
        <v>33</v>
      </c>
      <c r="I476" s="30" t="s">
        <v>27</v>
      </c>
      <c r="J476" s="30" t="s">
        <v>28</v>
      </c>
      <c r="K476" s="9" t="str">
        <f>IFERROR(VLOOKUP($B476,[1]Kundenübersicht!$E$4:$AC$1003,MATCH(K$3,[1]Kundenübersicht!$E$3:$BA$3,FALSE),FALSE),"")</f>
        <v>Barmer Pflegekasse</v>
      </c>
      <c r="L476" s="13">
        <f>IFERROR(VLOOKUP(B476,[1]Kundenübersicht!$E$4:$AC$1003,MATCH(L$3,[1]Kundenübersicht!$E$3:$BA$3,FALSE),FALSE),"")</f>
        <v>184940005</v>
      </c>
      <c r="M476" s="13" t="str">
        <f>IFERROR(VLOOKUP(B476,[1]Kundenübersicht!$E$4:$AC$1003,MATCH(M$3,[1]Kundenübersicht!$E$3:$BA$3,FALSE),FALSE),"")</f>
        <v>W255296774</v>
      </c>
      <c r="N476" s="13" t="str">
        <f>IFERROR(VLOOKUP(B476,[1]Kundenübersicht!$E$4:$AC$1003,MATCH(N$3,[1]Kundenübersicht!$E$3:$BA$3,FALSE),FALSE),"")</f>
        <v>PG 1</v>
      </c>
      <c r="P476" s="9" t="s">
        <v>29</v>
      </c>
      <c r="R476" s="9" t="s">
        <v>30</v>
      </c>
      <c r="S476" s="14"/>
      <c r="U476" s="15">
        <f>IF(YEAR(C476)&lt;=2025,IFERROR(IF(I476="Hauswirtschaft",VLOOKUP($B476,[1]Kundenübersicht!$E$4:$BA$1003,MATCH("Hauswirtschaft [€/Stunde]",[1]Kundenübersicht!$E$3:$BA$3,FALSE),FALSE),VLOOKUP($B476,[1]Kundenübersicht!$E$4:$BA$1003,MATCH("Alltagsbegleitung [€/Stunde]",[1]Kundenübersicht!$E$3:$BA$3,FALSE),FALSE)),0),IFERROR(IF(I476="Hauswirtschaft",VLOOKUP($B476,[1]Kundenübersicht!$E$4:$BA$1003,MATCH("HW ab 2026 [€/Stunde]",[1]Kundenübersicht!$E$3:$BA$3,FALSE),FALSE),VLOOKUP($B476,[1]Kundenübersicht!$E$4:$BA$1003,MATCH("Alltagsbegleitung [€/Stunde]",[1]Kundenübersicht!$E$3:$BA$3,FALSE),FALSE)),0))</f>
        <v>38</v>
      </c>
      <c r="V476" s="16">
        <f t="shared" si="110"/>
        <v>76.000000000000028</v>
      </c>
      <c r="W476" s="16">
        <f t="shared" si="120"/>
        <v>2.38</v>
      </c>
      <c r="X476" s="16" t="s">
        <v>89</v>
      </c>
      <c r="Z476" s="20" t="str">
        <f t="shared" si="119"/>
        <v>Ja</v>
      </c>
      <c r="AA476" s="19">
        <v>46066</v>
      </c>
      <c r="AC476" s="19"/>
      <c r="AE476" s="9">
        <f t="shared" si="115"/>
        <v>2026</v>
      </c>
      <c r="AF476" s="17" t="str">
        <f t="shared" si="116"/>
        <v>01.2026</v>
      </c>
      <c r="AG476" s="17" t="str">
        <f t="shared" si="117"/>
        <v>Christiane Fiebag</v>
      </c>
      <c r="AH476" s="17" t="str">
        <f>IFERROR(VLOOKUP(B476,[1]Kundenübersicht!$E$4:$F$85,2,FALSE),"")</f>
        <v>Renate Schade</v>
      </c>
      <c r="AI476" s="17" t="str">
        <f t="shared" si="114"/>
        <v>Hauswirtschaft</v>
      </c>
      <c r="AJ476" s="17" t="str">
        <f t="shared" si="114"/>
        <v>Entlastungsleistung</v>
      </c>
      <c r="AL476" s="18">
        <f t="shared" si="111"/>
        <v>38</v>
      </c>
      <c r="AM476" s="18">
        <f t="shared" si="112"/>
        <v>76.000000000000028</v>
      </c>
      <c r="AN476" s="18">
        <f t="shared" si="113"/>
        <v>2.38</v>
      </c>
    </row>
    <row r="477" spans="2:40" x14ac:dyDescent="0.25">
      <c r="B477" s="30" t="s">
        <v>32</v>
      </c>
      <c r="C477" s="31">
        <v>46036</v>
      </c>
      <c r="D477" s="32">
        <v>0.32291666666666669</v>
      </c>
      <c r="E477" s="32">
        <v>0.41666666666666669</v>
      </c>
      <c r="F477" s="12">
        <f t="shared" si="109"/>
        <v>2.25</v>
      </c>
      <c r="G477" s="12">
        <v>5.6</v>
      </c>
      <c r="H477" s="30" t="s">
        <v>33</v>
      </c>
      <c r="I477" s="30" t="s">
        <v>27</v>
      </c>
      <c r="J477" s="30" t="s">
        <v>28</v>
      </c>
      <c r="K477" s="9" t="str">
        <f>IFERROR(VLOOKUP($B477,[1]Kundenübersicht!$E$4:$AC$1003,MATCH(K$3,[1]Kundenübersicht!$E$3:$BA$3,FALSE),FALSE),"")</f>
        <v>IKK Classic</v>
      </c>
      <c r="L477" s="13" t="str">
        <f>IFERROR(VLOOKUP(B477,[1]Kundenübersicht!$E$4:$AC$1003,MATCH(L$3,[1]Kundenübersicht!$E$3:$BA$3,FALSE),FALSE),"")</f>
        <v>187202793</v>
      </c>
      <c r="M477" s="13" t="str">
        <f>IFERROR(VLOOKUP(B477,[1]Kundenübersicht!$E$4:$AC$1003,MATCH(M$3,[1]Kundenübersicht!$E$3:$BA$3,FALSE),FALSE),"")</f>
        <v>A268233642</v>
      </c>
      <c r="N477" s="13" t="str">
        <f>IFERROR(VLOOKUP(B477,[1]Kundenübersicht!$E$4:$AC$1003,MATCH(N$3,[1]Kundenübersicht!$E$3:$BA$3,FALSE),FALSE),"")</f>
        <v>PG 2</v>
      </c>
      <c r="P477" s="9" t="s">
        <v>29</v>
      </c>
      <c r="R477" s="9" t="s">
        <v>30</v>
      </c>
      <c r="S477" s="14"/>
      <c r="U477" s="15">
        <f>IF(YEAR(C477)&lt;=2025,IFERROR(IF(I477="Hauswirtschaft",VLOOKUP($B477,[1]Kundenübersicht!$E$4:$BA$1003,MATCH("Hauswirtschaft [€/Stunde]",[1]Kundenübersicht!$E$3:$BA$3,FALSE),FALSE),VLOOKUP($B477,[1]Kundenübersicht!$E$4:$BA$1003,MATCH("Alltagsbegleitung [€/Stunde]",[1]Kundenübersicht!$E$3:$BA$3,FALSE),FALSE)),0),IFERROR(IF(I477="Hauswirtschaft",VLOOKUP($B477,[1]Kundenübersicht!$E$4:$BA$1003,MATCH("HW ab 2026 [€/Stunde]",[1]Kundenübersicht!$E$3:$BA$3,FALSE),FALSE),VLOOKUP($B477,[1]Kundenübersicht!$E$4:$BA$1003,MATCH("Alltagsbegleitung [€/Stunde]",[1]Kundenübersicht!$E$3:$BA$3,FALSE),FALSE)),0))</f>
        <v>38</v>
      </c>
      <c r="V477" s="16">
        <f t="shared" si="110"/>
        <v>85.5</v>
      </c>
      <c r="W477" s="16">
        <f t="shared" si="120"/>
        <v>1.9599999999999997</v>
      </c>
      <c r="X477" s="16" t="s">
        <v>89</v>
      </c>
      <c r="Z477" s="20" t="str">
        <f>IF(AA477="","Nein","Ja")</f>
        <v>Ja</v>
      </c>
      <c r="AA477" s="19">
        <v>46066</v>
      </c>
      <c r="AC477" s="19"/>
      <c r="AE477" s="9">
        <f t="shared" si="115"/>
        <v>2026</v>
      </c>
      <c r="AF477" s="17" t="str">
        <f t="shared" si="116"/>
        <v>01.2026</v>
      </c>
      <c r="AG477" s="17" t="str">
        <f t="shared" si="117"/>
        <v>Christiane Fiebag</v>
      </c>
      <c r="AH477" s="17" t="str">
        <f>IFERROR(VLOOKUP(B477,[1]Kundenübersicht!$E$4:$F$85,2,FALSE),"")</f>
        <v>Wolfgang Nagler</v>
      </c>
      <c r="AI477" s="17" t="str">
        <f t="shared" si="114"/>
        <v>Hauswirtschaft</v>
      </c>
      <c r="AJ477" s="17" t="str">
        <f t="shared" si="114"/>
        <v>Entlastungsleistung</v>
      </c>
      <c r="AL477" s="18">
        <f t="shared" si="111"/>
        <v>38</v>
      </c>
      <c r="AM477" s="18">
        <f t="shared" si="112"/>
        <v>85.5</v>
      </c>
      <c r="AN477" s="18">
        <f t="shared" si="113"/>
        <v>1.9599999999999997</v>
      </c>
    </row>
    <row r="478" spans="2:40" x14ac:dyDescent="0.25">
      <c r="B478" s="30" t="s">
        <v>42</v>
      </c>
      <c r="C478" s="31">
        <v>46037</v>
      </c>
      <c r="D478" s="32">
        <v>0.41666666666666669</v>
      </c>
      <c r="E478" s="32">
        <v>0.5</v>
      </c>
      <c r="F478" s="12">
        <f t="shared" si="109"/>
        <v>1.9999999999999996</v>
      </c>
      <c r="G478" s="12">
        <v>13.1</v>
      </c>
      <c r="H478" s="30" t="s">
        <v>33</v>
      </c>
      <c r="I478" s="30" t="s">
        <v>27</v>
      </c>
      <c r="J478" s="30" t="s">
        <v>28</v>
      </c>
      <c r="K478" s="9" t="str">
        <f>IFERROR(VLOOKUP($B478,[1]Kundenübersicht!$E$4:$AC$1003,MATCH(K$3,[1]Kundenübersicht!$E$3:$BA$3,FALSE),FALSE),"")</f>
        <v>Techniker Krankenkasse</v>
      </c>
      <c r="L478" s="13">
        <f>IFERROR(VLOOKUP(B478,[1]Kundenübersicht!$E$4:$AC$1003,MATCH(L$3,[1]Kundenübersicht!$E$3:$BA$3,FALSE),FALSE),"")</f>
        <v>101575519</v>
      </c>
      <c r="M478" s="13" t="str">
        <f>IFERROR(VLOOKUP(B478,[1]Kundenübersicht!$E$4:$AC$1003,MATCH(M$3,[1]Kundenübersicht!$E$3:$BA$3,FALSE),FALSE),"")</f>
        <v>E759973784</v>
      </c>
      <c r="N478" s="13" t="str">
        <f>IFERROR(VLOOKUP(B478,[1]Kundenübersicht!$E$4:$AC$1003,MATCH(N$3,[1]Kundenübersicht!$E$3:$BA$3,FALSE),FALSE),"")</f>
        <v>PG 2</v>
      </c>
      <c r="P478" s="9" t="s">
        <v>29</v>
      </c>
      <c r="R478" s="9" t="s">
        <v>30</v>
      </c>
      <c r="S478" s="14"/>
      <c r="U478" s="15">
        <f>IF(YEAR(C478)&lt;=2025,IFERROR(IF(I478="Hauswirtschaft",VLOOKUP($B478,[1]Kundenübersicht!$E$4:$BA$1003,MATCH("Hauswirtschaft [€/Stunde]",[1]Kundenübersicht!$E$3:$BA$3,FALSE),FALSE),VLOOKUP($B478,[1]Kundenübersicht!$E$4:$BA$1003,MATCH("Alltagsbegleitung [€/Stunde]",[1]Kundenübersicht!$E$3:$BA$3,FALSE),FALSE)),0),IFERROR(IF(I478="Hauswirtschaft",VLOOKUP($B478,[1]Kundenübersicht!$E$4:$BA$1003,MATCH("HW ab 2026 [€/Stunde]",[1]Kundenübersicht!$E$3:$BA$3,FALSE),FALSE),VLOOKUP($B478,[1]Kundenübersicht!$E$4:$BA$1003,MATCH("Alltagsbegleitung [€/Stunde]",[1]Kundenübersicht!$E$3:$BA$3,FALSE),FALSE)),0))</f>
        <v>38</v>
      </c>
      <c r="V478" s="16">
        <f t="shared" si="110"/>
        <v>75.999999999999986</v>
      </c>
      <c r="W478" s="16">
        <f t="shared" si="120"/>
        <v>4.585</v>
      </c>
      <c r="X478" s="16" t="s">
        <v>89</v>
      </c>
      <c r="Z478" s="20" t="str">
        <f>IF(AA478="","Nein","Ja")</f>
        <v>Ja</v>
      </c>
      <c r="AA478" s="19">
        <v>46066</v>
      </c>
      <c r="AC478" s="19"/>
      <c r="AE478" s="9">
        <f t="shared" si="115"/>
        <v>2026</v>
      </c>
      <c r="AF478" s="17" t="str">
        <f t="shared" si="116"/>
        <v>01.2026</v>
      </c>
      <c r="AG478" s="17" t="str">
        <f t="shared" si="117"/>
        <v>Christiane Fiebag</v>
      </c>
      <c r="AH478" s="17" t="str">
        <f>IFERROR(VLOOKUP(B478,[1]Kundenübersicht!$E$4:$F$85,2,FALSE),"")</f>
        <v>Martin Schmidt</v>
      </c>
      <c r="AI478" s="17" t="str">
        <f t="shared" si="114"/>
        <v>Hauswirtschaft</v>
      </c>
      <c r="AJ478" s="17" t="str">
        <f t="shared" si="114"/>
        <v>Entlastungsleistung</v>
      </c>
      <c r="AL478" s="18">
        <f t="shared" si="111"/>
        <v>38</v>
      </c>
      <c r="AM478" s="18">
        <f t="shared" si="112"/>
        <v>75.999999999999986</v>
      </c>
      <c r="AN478" s="18">
        <f t="shared" si="113"/>
        <v>4.585</v>
      </c>
    </row>
    <row r="479" spans="2:40" x14ac:dyDescent="0.25">
      <c r="B479" s="30" t="s">
        <v>80</v>
      </c>
      <c r="C479" s="31">
        <v>46043</v>
      </c>
      <c r="D479" s="32">
        <v>0.36458333333333331</v>
      </c>
      <c r="E479" s="32">
        <v>0.42708333333333331</v>
      </c>
      <c r="F479" s="12">
        <f t="shared" si="109"/>
        <v>1.5</v>
      </c>
      <c r="G479" s="12">
        <v>1.7</v>
      </c>
      <c r="H479" s="30" t="s">
        <v>33</v>
      </c>
      <c r="I479" s="30" t="s">
        <v>27</v>
      </c>
      <c r="J479" s="30" t="s">
        <v>28</v>
      </c>
      <c r="K479" s="9" t="str">
        <f>IFERROR(VLOOKUP($B479,[1]Kundenübersicht!$E$4:$AC$1003,MATCH(K$3,[1]Kundenübersicht!$E$3:$BA$3,FALSE),FALSE),"")</f>
        <v>AOK PLUS</v>
      </c>
      <c r="L479" s="13">
        <f>IFERROR(VLOOKUP(B479,[1]Kundenübersicht!$E$4:$AC$1003,MATCH(L$3,[1]Kundenübersicht!$E$3:$BA$3,FALSE),FALSE),"")</f>
        <v>107299005</v>
      </c>
      <c r="M479" s="13" t="str">
        <f>IFERROR(VLOOKUP(B479,[1]Kundenübersicht!$E$4:$AC$1003,MATCH(M$3,[1]Kundenübersicht!$E$3:$BA$3,FALSE),FALSE),"")</f>
        <v>F566086642</v>
      </c>
      <c r="N479" s="13" t="str">
        <f>IFERROR(VLOOKUP(B479,[1]Kundenübersicht!$E$4:$AC$1003,MATCH(N$3,[1]Kundenübersicht!$E$3:$BA$3,FALSE),FALSE),"")</f>
        <v>PG 2</v>
      </c>
      <c r="P479" s="9" t="s">
        <v>29</v>
      </c>
      <c r="R479" s="9" t="s">
        <v>30</v>
      </c>
      <c r="S479" s="14"/>
      <c r="U479" s="15">
        <f>IF(YEAR(C479)&lt;=2025,IFERROR(IF(I479="Hauswirtschaft",VLOOKUP($B479,[1]Kundenübersicht!$E$4:$BA$1003,MATCH("Hauswirtschaft [€/Stunde]",[1]Kundenübersicht!$E$3:$BA$3,FALSE),FALSE),VLOOKUP($B479,[1]Kundenübersicht!$E$4:$BA$1003,MATCH("Alltagsbegleitung [€/Stunde]",[1]Kundenübersicht!$E$3:$BA$3,FALSE),FALSE)),0),IFERROR(IF(I479="Hauswirtschaft",VLOOKUP($B479,[1]Kundenübersicht!$E$4:$BA$1003,MATCH("HW ab 2026 [€/Stunde]",[1]Kundenübersicht!$E$3:$BA$3,FALSE),FALSE),VLOOKUP($B479,[1]Kundenübersicht!$E$4:$BA$1003,MATCH("Alltagsbegleitung [€/Stunde]",[1]Kundenübersicht!$E$3:$BA$3,FALSE),FALSE)),0))</f>
        <v>38</v>
      </c>
      <c r="V479" s="16">
        <f t="shared" si="110"/>
        <v>57</v>
      </c>
      <c r="W479" s="16">
        <f t="shared" si="120"/>
        <v>0.59499999999999997</v>
      </c>
      <c r="X479" s="16" t="s">
        <v>89</v>
      </c>
      <c r="Z479" s="20" t="str">
        <f t="shared" ref="Z479:Z483" si="121">IF(AA479="","Nein","Ja")</f>
        <v>Ja</v>
      </c>
      <c r="AA479" s="19">
        <v>46066</v>
      </c>
      <c r="AC479" s="19"/>
      <c r="AE479" s="9">
        <f t="shared" si="115"/>
        <v>2026</v>
      </c>
      <c r="AF479" s="17" t="str">
        <f t="shared" si="116"/>
        <v>01.2026</v>
      </c>
      <c r="AG479" s="17" t="str">
        <f t="shared" si="117"/>
        <v>Christiane Fiebag</v>
      </c>
      <c r="AH479" s="17" t="str">
        <f>IFERROR(VLOOKUP(B479,[1]Kundenübersicht!$E$4:$F$85,2,FALSE),"")</f>
        <v>Helly Wuchrer</v>
      </c>
      <c r="AI479" s="17" t="str">
        <f t="shared" si="114"/>
        <v>Hauswirtschaft</v>
      </c>
      <c r="AJ479" s="17" t="str">
        <f t="shared" si="114"/>
        <v>Entlastungsleistung</v>
      </c>
      <c r="AL479" s="18">
        <f t="shared" si="111"/>
        <v>38</v>
      </c>
      <c r="AM479" s="18">
        <f t="shared" si="112"/>
        <v>57</v>
      </c>
      <c r="AN479" s="18">
        <f t="shared" si="113"/>
        <v>0.59499999999999997</v>
      </c>
    </row>
    <row r="480" spans="2:40" x14ac:dyDescent="0.25">
      <c r="B480" s="30" t="s">
        <v>74</v>
      </c>
      <c r="C480" s="31">
        <v>46030</v>
      </c>
      <c r="D480" s="32">
        <v>0.33333333333333331</v>
      </c>
      <c r="E480" s="32">
        <v>0.39583333333333331</v>
      </c>
      <c r="F480" s="12">
        <f t="shared" si="109"/>
        <v>1.5</v>
      </c>
      <c r="G480" s="12">
        <v>9</v>
      </c>
      <c r="H480" s="30" t="s">
        <v>33</v>
      </c>
      <c r="I480" s="30" t="s">
        <v>27</v>
      </c>
      <c r="J480" s="30" t="s">
        <v>28</v>
      </c>
      <c r="K480" s="9" t="str">
        <f>IFERROR(VLOOKUP($B480,[1]Kundenübersicht!$E$4:$AC$1003,MATCH(K$3,[1]Kundenübersicht!$E$3:$BA$3,FALSE),FALSE),"")</f>
        <v>AOK PLUS</v>
      </c>
      <c r="L480" s="13">
        <f>IFERROR(VLOOKUP(B480,[1]Kundenübersicht!$E$4:$AC$1003,MATCH(L$3,[1]Kundenübersicht!$E$3:$BA$3,FALSE),FALSE),"")</f>
        <v>107299005</v>
      </c>
      <c r="M480" s="13" t="str">
        <f>IFERROR(VLOOKUP(B480,[1]Kundenübersicht!$E$4:$AC$1003,MATCH(M$3,[1]Kundenübersicht!$E$3:$BA$3,FALSE),FALSE),"")</f>
        <v>V160231492</v>
      </c>
      <c r="N480" s="13" t="str">
        <f>IFERROR(VLOOKUP(B480,[1]Kundenübersicht!$E$4:$AC$1003,MATCH(N$3,[1]Kundenübersicht!$E$3:$BA$3,FALSE),FALSE),"")</f>
        <v>PG 2</v>
      </c>
      <c r="P480" s="9" t="s">
        <v>29</v>
      </c>
      <c r="R480" s="9" t="s">
        <v>30</v>
      </c>
      <c r="S480" s="14"/>
      <c r="U480" s="15">
        <f>IF(YEAR(C480)&lt;=2025,IFERROR(IF(I480="Hauswirtschaft",VLOOKUP($B480,[1]Kundenübersicht!$E$4:$BA$1003,MATCH("Hauswirtschaft [€/Stunde]",[1]Kundenübersicht!$E$3:$BA$3,FALSE),FALSE),VLOOKUP($B480,[1]Kundenübersicht!$E$4:$BA$1003,MATCH("Alltagsbegleitung [€/Stunde]",[1]Kundenübersicht!$E$3:$BA$3,FALSE),FALSE)),0),IFERROR(IF(I480="Hauswirtschaft",VLOOKUP($B480,[1]Kundenübersicht!$E$4:$BA$1003,MATCH("HW ab 2026 [€/Stunde]",[1]Kundenübersicht!$E$3:$BA$3,FALSE),FALSE),VLOOKUP($B480,[1]Kundenübersicht!$E$4:$BA$1003,MATCH("Alltagsbegleitung [€/Stunde]",[1]Kundenübersicht!$E$3:$BA$3,FALSE),FALSE)),0))</f>
        <v>38</v>
      </c>
      <c r="V480" s="16">
        <f t="shared" si="110"/>
        <v>57</v>
      </c>
      <c r="W480" s="16">
        <f t="shared" si="120"/>
        <v>3.15</v>
      </c>
      <c r="X480" s="16" t="s">
        <v>89</v>
      </c>
      <c r="Z480" s="20" t="str">
        <f t="shared" si="121"/>
        <v>Ja</v>
      </c>
      <c r="AA480" s="19">
        <v>46066</v>
      </c>
      <c r="AC480" s="19"/>
      <c r="AE480" s="9">
        <f t="shared" si="115"/>
        <v>2026</v>
      </c>
      <c r="AF480" s="17" t="str">
        <f t="shared" si="116"/>
        <v>01.2026</v>
      </c>
      <c r="AG480" s="17" t="str">
        <f t="shared" si="117"/>
        <v>Christiane Fiebag</v>
      </c>
      <c r="AH480" s="17" t="str">
        <f>IFERROR(VLOOKUP(B480,[1]Kundenübersicht!$E$4:$F$85,2,FALSE),"")</f>
        <v>Gertraude Falk</v>
      </c>
      <c r="AI480" s="17" t="str">
        <f t="shared" si="114"/>
        <v>Hauswirtschaft</v>
      </c>
      <c r="AJ480" s="17" t="str">
        <f t="shared" si="114"/>
        <v>Entlastungsleistung</v>
      </c>
      <c r="AL480" s="18">
        <f t="shared" si="111"/>
        <v>38</v>
      </c>
      <c r="AM480" s="18">
        <f t="shared" si="112"/>
        <v>57</v>
      </c>
      <c r="AN480" s="18">
        <f t="shared" si="113"/>
        <v>3.15</v>
      </c>
    </row>
    <row r="481" spans="2:40" x14ac:dyDescent="0.25">
      <c r="B481" s="30" t="s">
        <v>74</v>
      </c>
      <c r="C481" s="31">
        <v>46042</v>
      </c>
      <c r="D481" s="32">
        <v>0.375</v>
      </c>
      <c r="E481" s="32">
        <v>0.4375</v>
      </c>
      <c r="F481" s="12">
        <f t="shared" si="109"/>
        <v>1.5</v>
      </c>
      <c r="G481" s="12">
        <v>8.9</v>
      </c>
      <c r="H481" s="30" t="s">
        <v>33</v>
      </c>
      <c r="I481" s="30" t="s">
        <v>27</v>
      </c>
      <c r="J481" s="30" t="s">
        <v>28</v>
      </c>
      <c r="K481" s="9" t="str">
        <f>IFERROR(VLOOKUP($B481,[1]Kundenübersicht!$E$4:$AC$1003,MATCH(K$3,[1]Kundenübersicht!$E$3:$BA$3,FALSE),FALSE),"")</f>
        <v>AOK PLUS</v>
      </c>
      <c r="L481" s="13">
        <f>IFERROR(VLOOKUP(B481,[1]Kundenübersicht!$E$4:$AC$1003,MATCH(L$3,[1]Kundenübersicht!$E$3:$BA$3,FALSE),FALSE),"")</f>
        <v>107299005</v>
      </c>
      <c r="M481" s="13" t="str">
        <f>IFERROR(VLOOKUP(B481,[1]Kundenübersicht!$E$4:$AC$1003,MATCH(M$3,[1]Kundenübersicht!$E$3:$BA$3,FALSE),FALSE),"")</f>
        <v>V160231492</v>
      </c>
      <c r="N481" s="13" t="str">
        <f>IFERROR(VLOOKUP(B481,[1]Kundenübersicht!$E$4:$AC$1003,MATCH(N$3,[1]Kundenübersicht!$E$3:$BA$3,FALSE),FALSE),"")</f>
        <v>PG 2</v>
      </c>
      <c r="P481" s="9" t="s">
        <v>29</v>
      </c>
      <c r="R481" s="9" t="s">
        <v>30</v>
      </c>
      <c r="S481" s="14"/>
      <c r="U481" s="15">
        <f>IF(YEAR(C481)&lt;=2025,IFERROR(IF(I481="Hauswirtschaft",VLOOKUP($B481,[1]Kundenübersicht!$E$4:$BA$1003,MATCH("Hauswirtschaft [€/Stunde]",[1]Kundenübersicht!$E$3:$BA$3,FALSE),FALSE),VLOOKUP($B481,[1]Kundenübersicht!$E$4:$BA$1003,MATCH("Alltagsbegleitung [€/Stunde]",[1]Kundenübersicht!$E$3:$BA$3,FALSE),FALSE)),0),IFERROR(IF(I481="Hauswirtschaft",VLOOKUP($B481,[1]Kundenübersicht!$E$4:$BA$1003,MATCH("HW ab 2026 [€/Stunde]",[1]Kundenübersicht!$E$3:$BA$3,FALSE),FALSE),VLOOKUP($B481,[1]Kundenübersicht!$E$4:$BA$1003,MATCH("Alltagsbegleitung [€/Stunde]",[1]Kundenübersicht!$E$3:$BA$3,FALSE),FALSE)),0))</f>
        <v>38</v>
      </c>
      <c r="V481" s="16">
        <f t="shared" si="110"/>
        <v>57</v>
      </c>
      <c r="W481" s="16">
        <f t="shared" si="120"/>
        <v>3.1149999999999998</v>
      </c>
      <c r="X481" s="16" t="s">
        <v>89</v>
      </c>
      <c r="Z481" s="20" t="str">
        <f t="shared" si="121"/>
        <v>Ja</v>
      </c>
      <c r="AA481" s="19">
        <v>46066</v>
      </c>
      <c r="AC481" s="19"/>
      <c r="AE481" s="9">
        <f t="shared" si="115"/>
        <v>2026</v>
      </c>
      <c r="AF481" s="17" t="str">
        <f t="shared" si="116"/>
        <v>01.2026</v>
      </c>
      <c r="AG481" s="17" t="str">
        <f t="shared" si="117"/>
        <v>Christiane Fiebag</v>
      </c>
      <c r="AH481" s="17" t="str">
        <f>IFERROR(VLOOKUP(B481,[1]Kundenübersicht!$E$4:$F$85,2,FALSE),"")</f>
        <v>Gertraude Falk</v>
      </c>
      <c r="AI481" s="17" t="str">
        <f t="shared" si="114"/>
        <v>Hauswirtschaft</v>
      </c>
      <c r="AJ481" s="17" t="str">
        <f t="shared" si="114"/>
        <v>Entlastungsleistung</v>
      </c>
      <c r="AL481" s="18">
        <f t="shared" si="111"/>
        <v>38</v>
      </c>
      <c r="AM481" s="18">
        <f t="shared" si="112"/>
        <v>57</v>
      </c>
      <c r="AN481" s="18">
        <f t="shared" si="113"/>
        <v>3.1149999999999998</v>
      </c>
    </row>
    <row r="482" spans="2:40" x14ac:dyDescent="0.25">
      <c r="B482" s="30" t="s">
        <v>99</v>
      </c>
      <c r="C482" s="31">
        <v>46030</v>
      </c>
      <c r="D482" s="32">
        <v>0.4375</v>
      </c>
      <c r="E482" s="32">
        <v>0.47916666666666669</v>
      </c>
      <c r="F482" s="12">
        <f t="shared" si="109"/>
        <v>1.0000000000000004</v>
      </c>
      <c r="G482" s="12">
        <v>8.6999999999999993</v>
      </c>
      <c r="H482" s="30" t="s">
        <v>33</v>
      </c>
      <c r="I482" s="30" t="s">
        <v>41</v>
      </c>
      <c r="J482" s="30" t="s">
        <v>28</v>
      </c>
      <c r="K482" s="9" t="str">
        <f>IFERROR(VLOOKUP($B482,[1]Kundenübersicht!$E$4:$AC$1003,MATCH(K$3,[1]Kundenübersicht!$E$3:$BA$3,FALSE),FALSE),"")</f>
        <v>AOK PLUS</v>
      </c>
      <c r="L482" s="13">
        <f>IFERROR(VLOOKUP(B482,[1]Kundenübersicht!$E$4:$AC$1003,MATCH(L$3,[1]Kundenübersicht!$E$3:$BA$3,FALSE),FALSE),"")</f>
        <v>107299005</v>
      </c>
      <c r="M482" s="13" t="str">
        <f>IFERROR(VLOOKUP(B482,[1]Kundenübersicht!$E$4:$AC$1003,MATCH(M$3,[1]Kundenübersicht!$E$3:$BA$3,FALSE),FALSE),"")</f>
        <v>J723619883</v>
      </c>
      <c r="N482" s="13" t="str">
        <f>IFERROR(VLOOKUP(B482,[1]Kundenübersicht!$E$4:$AC$1003,MATCH(N$3,[1]Kundenübersicht!$E$3:$BA$3,FALSE),FALSE),"")</f>
        <v>PG 1</v>
      </c>
      <c r="P482" s="9" t="s">
        <v>29</v>
      </c>
      <c r="R482" s="9" t="s">
        <v>30</v>
      </c>
      <c r="S482" s="14"/>
      <c r="U482" s="15">
        <f>IF(YEAR(C482)&lt;=2025,IFERROR(IF(I482="Hauswirtschaft",VLOOKUP($B482,[1]Kundenübersicht!$E$4:$BA$1003,MATCH("Hauswirtschaft [€/Stunde]",[1]Kundenübersicht!$E$3:$BA$3,FALSE),FALSE),VLOOKUP($B482,[1]Kundenübersicht!$E$4:$BA$1003,MATCH("Alltagsbegleitung [€/Stunde]",[1]Kundenübersicht!$E$3:$BA$3,FALSE),FALSE)),0),IFERROR(IF(I482="Hauswirtschaft",VLOOKUP($B482,[1]Kundenübersicht!$E$4:$BA$1003,MATCH("HW ab 2026 [€/Stunde]",[1]Kundenübersicht!$E$3:$BA$3,FALSE),FALSE),VLOOKUP($B482,[1]Kundenübersicht!$E$4:$BA$1003,MATCH("Alltagsbegleitung [€/Stunde]",[1]Kundenübersicht!$E$3:$BA$3,FALSE),FALSE)),0))</f>
        <v>42</v>
      </c>
      <c r="V482" s="16">
        <f t="shared" si="110"/>
        <v>42.000000000000021</v>
      </c>
      <c r="W482" s="16">
        <f t="shared" si="120"/>
        <v>3.0449999999999995</v>
      </c>
      <c r="X482" s="16" t="s">
        <v>89</v>
      </c>
      <c r="Z482" s="20" t="str">
        <f t="shared" si="121"/>
        <v>Ja</v>
      </c>
      <c r="AA482" s="19">
        <v>46066</v>
      </c>
      <c r="AC482" s="19"/>
      <c r="AE482" s="9">
        <f t="shared" si="115"/>
        <v>2026</v>
      </c>
      <c r="AF482" s="17" t="str">
        <f t="shared" si="116"/>
        <v>01.2026</v>
      </c>
      <c r="AG482" s="17" t="str">
        <f t="shared" si="117"/>
        <v>Christiane Fiebag</v>
      </c>
      <c r="AH482" s="17" t="str">
        <f>IFERROR(VLOOKUP(B482,[1]Kundenübersicht!$E$4:$F$85,2,FALSE),"")</f>
        <v>Cornelia Posern</v>
      </c>
      <c r="AI482" s="17" t="str">
        <f t="shared" si="114"/>
        <v>Alltagsbegleitung</v>
      </c>
      <c r="AJ482" s="17" t="str">
        <f t="shared" si="114"/>
        <v>Entlastungsleistung</v>
      </c>
      <c r="AL482" s="18">
        <f t="shared" si="111"/>
        <v>42</v>
      </c>
      <c r="AM482" s="18">
        <f t="shared" si="112"/>
        <v>42.000000000000021</v>
      </c>
      <c r="AN482" s="18">
        <f t="shared" si="113"/>
        <v>3.0449999999999995</v>
      </c>
    </row>
    <row r="483" spans="2:40" x14ac:dyDescent="0.25">
      <c r="B483" s="30" t="s">
        <v>99</v>
      </c>
      <c r="C483" s="31">
        <v>46042</v>
      </c>
      <c r="D483" s="32">
        <v>0.5</v>
      </c>
      <c r="E483" s="32">
        <v>0.54166666666666663</v>
      </c>
      <c r="F483" s="12">
        <f t="shared" si="109"/>
        <v>0.99999999999999911</v>
      </c>
      <c r="G483" s="12">
        <v>10</v>
      </c>
      <c r="H483" s="30" t="s">
        <v>33</v>
      </c>
      <c r="I483" s="30" t="s">
        <v>41</v>
      </c>
      <c r="J483" s="30" t="s">
        <v>28</v>
      </c>
      <c r="K483" s="9" t="str">
        <f>IFERROR(VLOOKUP($B483,[1]Kundenübersicht!$E$4:$AC$1003,MATCH(K$3,[1]Kundenübersicht!$E$3:$BA$3,FALSE),FALSE),"")</f>
        <v>AOK PLUS</v>
      </c>
      <c r="L483" s="13">
        <f>IFERROR(VLOOKUP(B483,[1]Kundenübersicht!$E$4:$AC$1003,MATCH(L$3,[1]Kundenübersicht!$E$3:$BA$3,FALSE),FALSE),"")</f>
        <v>107299005</v>
      </c>
      <c r="M483" s="13" t="str">
        <f>IFERROR(VLOOKUP(B483,[1]Kundenübersicht!$E$4:$AC$1003,MATCH(M$3,[1]Kundenübersicht!$E$3:$BA$3,FALSE),FALSE),"")</f>
        <v>J723619883</v>
      </c>
      <c r="N483" s="13" t="str">
        <f>IFERROR(VLOOKUP(B483,[1]Kundenübersicht!$E$4:$AC$1003,MATCH(N$3,[1]Kundenübersicht!$E$3:$BA$3,FALSE),FALSE),"")</f>
        <v>PG 1</v>
      </c>
      <c r="P483" s="9" t="s">
        <v>29</v>
      </c>
      <c r="R483" s="9" t="s">
        <v>30</v>
      </c>
      <c r="S483" s="14"/>
      <c r="U483" s="15">
        <f>IF(YEAR(C483)&lt;=2025,IFERROR(IF(I483="Hauswirtschaft",VLOOKUP($B483,[1]Kundenübersicht!$E$4:$BA$1003,MATCH("Hauswirtschaft [€/Stunde]",[1]Kundenübersicht!$E$3:$BA$3,FALSE),FALSE),VLOOKUP($B483,[1]Kundenübersicht!$E$4:$BA$1003,MATCH("Alltagsbegleitung [€/Stunde]",[1]Kundenübersicht!$E$3:$BA$3,FALSE),FALSE)),0),IFERROR(IF(I483="Hauswirtschaft",VLOOKUP($B483,[1]Kundenübersicht!$E$4:$BA$1003,MATCH("HW ab 2026 [€/Stunde]",[1]Kundenübersicht!$E$3:$BA$3,FALSE),FALSE),VLOOKUP($B483,[1]Kundenübersicht!$E$4:$BA$1003,MATCH("Alltagsbegleitung [€/Stunde]",[1]Kundenübersicht!$E$3:$BA$3,FALSE),FALSE)),0))</f>
        <v>42</v>
      </c>
      <c r="V483" s="16">
        <f t="shared" si="110"/>
        <v>41.999999999999964</v>
      </c>
      <c r="W483" s="16">
        <f t="shared" si="120"/>
        <v>3.5</v>
      </c>
      <c r="X483" s="16" t="s">
        <v>89</v>
      </c>
      <c r="Z483" s="20" t="str">
        <f t="shared" si="121"/>
        <v>Ja</v>
      </c>
      <c r="AA483" s="19">
        <v>46066</v>
      </c>
      <c r="AC483" s="19"/>
      <c r="AE483" s="9">
        <f t="shared" si="115"/>
        <v>2026</v>
      </c>
      <c r="AF483" s="17" t="str">
        <f t="shared" si="116"/>
        <v>01.2026</v>
      </c>
      <c r="AG483" s="17" t="str">
        <f t="shared" si="117"/>
        <v>Christiane Fiebag</v>
      </c>
      <c r="AH483" s="17" t="str">
        <f>IFERROR(VLOOKUP(B483,[1]Kundenübersicht!$E$4:$F$85,2,FALSE),"")</f>
        <v>Cornelia Posern</v>
      </c>
      <c r="AI483" s="17" t="str">
        <f t="shared" ref="AI483:AJ512" si="122">IF(I483="","",I483)</f>
        <v>Alltagsbegleitung</v>
      </c>
      <c r="AJ483" s="17" t="str">
        <f t="shared" si="122"/>
        <v>Entlastungsleistung</v>
      </c>
      <c r="AL483" s="18">
        <f t="shared" si="111"/>
        <v>42</v>
      </c>
      <c r="AM483" s="18">
        <f t="shared" si="112"/>
        <v>41.999999999999964</v>
      </c>
      <c r="AN483" s="18">
        <f t="shared" si="113"/>
        <v>3.5</v>
      </c>
    </row>
    <row r="484" spans="2:40" x14ac:dyDescent="0.25">
      <c r="B484" s="30" t="s">
        <v>63</v>
      </c>
      <c r="C484" s="31">
        <v>46038</v>
      </c>
      <c r="D484" s="32">
        <v>0.4375</v>
      </c>
      <c r="E484" s="32">
        <v>0.47916666666666669</v>
      </c>
      <c r="F484" s="12">
        <f t="shared" si="109"/>
        <v>1.0000000000000004</v>
      </c>
      <c r="G484" s="12">
        <v>31.8</v>
      </c>
      <c r="H484" s="30" t="s">
        <v>33</v>
      </c>
      <c r="I484" s="30" t="s">
        <v>27</v>
      </c>
      <c r="J484" s="30" t="s">
        <v>28</v>
      </c>
      <c r="K484" s="9" t="str">
        <f>IFERROR(VLOOKUP($B484,[1]Kundenübersicht!$E$4:$AC$1003,MATCH(K$3,[1]Kundenübersicht!$E$3:$BA$3,FALSE),FALSE),"")</f>
        <v>Techniker Krankenkasse</v>
      </c>
      <c r="L484" s="13">
        <f>IFERROR(VLOOKUP(B484,[1]Kundenübersicht!$E$4:$AC$1003,MATCH(L$3,[1]Kundenübersicht!$E$3:$BA$3,FALSE),FALSE),"")</f>
        <v>101575519</v>
      </c>
      <c r="M484" s="13" t="str">
        <f>IFERROR(VLOOKUP(B484,[1]Kundenübersicht!$E$4:$AC$1003,MATCH(M$3,[1]Kundenübersicht!$E$3:$BA$3,FALSE),FALSE),"")</f>
        <v>O816601650</v>
      </c>
      <c r="N484" s="13" t="str">
        <f>IFERROR(VLOOKUP(B484,[1]Kundenübersicht!$E$4:$AC$1003,MATCH(N$3,[1]Kundenübersicht!$E$3:$BA$3,FALSE),FALSE),"")</f>
        <v>PG 2</v>
      </c>
      <c r="P484" s="9" t="s">
        <v>29</v>
      </c>
      <c r="R484" s="9" t="s">
        <v>30</v>
      </c>
      <c r="S484" s="14"/>
      <c r="U484" s="15">
        <f>IF(YEAR(C484)&lt;=2025,IFERROR(IF(I484="Hauswirtschaft",VLOOKUP($B484,[1]Kundenübersicht!$E$4:$BA$1003,MATCH("Hauswirtschaft [€/Stunde]",[1]Kundenübersicht!$E$3:$BA$3,FALSE),FALSE),VLOOKUP($B484,[1]Kundenübersicht!$E$4:$BA$1003,MATCH("Alltagsbegleitung [€/Stunde]",[1]Kundenübersicht!$E$3:$BA$3,FALSE),FALSE)),0),IFERROR(IF(I484="Hauswirtschaft",VLOOKUP($B484,[1]Kundenübersicht!$E$4:$BA$1003,MATCH("HW ab 2026 [€/Stunde]",[1]Kundenübersicht!$E$3:$BA$3,FALSE),FALSE),VLOOKUP($B484,[1]Kundenübersicht!$E$4:$BA$1003,MATCH("Alltagsbegleitung [€/Stunde]",[1]Kundenübersicht!$E$3:$BA$3,FALSE),FALSE)),0))</f>
        <v>38</v>
      </c>
      <c r="V484" s="16">
        <f t="shared" si="110"/>
        <v>38.000000000000014</v>
      </c>
      <c r="W484" s="16">
        <f t="shared" si="120"/>
        <v>11.129999999999999</v>
      </c>
      <c r="X484" s="16" t="s">
        <v>89</v>
      </c>
      <c r="Z484" s="20" t="str">
        <f>IF(AA484="","Nein","Ja")</f>
        <v>Ja</v>
      </c>
      <c r="AA484" s="19">
        <v>46066</v>
      </c>
      <c r="AC484" s="19"/>
      <c r="AE484" s="9">
        <f t="shared" si="115"/>
        <v>2026</v>
      </c>
      <c r="AF484" s="17" t="str">
        <f t="shared" si="116"/>
        <v>01.2026</v>
      </c>
      <c r="AG484" s="17" t="str">
        <f t="shared" si="117"/>
        <v>Christiane Fiebag</v>
      </c>
      <c r="AH484" s="17" t="str">
        <f>IFERROR(VLOOKUP(B484,[1]Kundenübersicht!$E$4:$F$85,2,FALSE),"")</f>
        <v>Joachim Röder</v>
      </c>
      <c r="AI484" s="17" t="str">
        <f t="shared" si="122"/>
        <v>Hauswirtschaft</v>
      </c>
      <c r="AJ484" s="17" t="str">
        <f t="shared" si="122"/>
        <v>Entlastungsleistung</v>
      </c>
      <c r="AL484" s="18">
        <f t="shared" si="111"/>
        <v>38</v>
      </c>
      <c r="AM484" s="18">
        <f t="shared" si="112"/>
        <v>38.000000000000014</v>
      </c>
      <c r="AN484" s="18">
        <f t="shared" si="113"/>
        <v>11.129999999999999</v>
      </c>
    </row>
    <row r="485" spans="2:40" x14ac:dyDescent="0.25">
      <c r="B485" s="30" t="s">
        <v>63</v>
      </c>
      <c r="C485" s="31">
        <v>46044</v>
      </c>
      <c r="D485" s="32">
        <v>0.4375</v>
      </c>
      <c r="E485" s="32">
        <v>0.47916666666666669</v>
      </c>
      <c r="F485" s="12">
        <f t="shared" si="109"/>
        <v>1.0000000000000004</v>
      </c>
      <c r="G485" s="12">
        <v>28.9</v>
      </c>
      <c r="H485" s="30" t="s">
        <v>33</v>
      </c>
      <c r="I485" s="30" t="s">
        <v>27</v>
      </c>
      <c r="J485" s="30" t="s">
        <v>28</v>
      </c>
      <c r="K485" s="9" t="str">
        <f>IFERROR(VLOOKUP($B485,[1]Kundenübersicht!$E$4:$AC$1003,MATCH(K$3,[1]Kundenübersicht!$E$3:$BA$3,FALSE),FALSE),"")</f>
        <v>Techniker Krankenkasse</v>
      </c>
      <c r="L485" s="13">
        <f>IFERROR(VLOOKUP(B485,[1]Kundenübersicht!$E$4:$AC$1003,MATCH(L$3,[1]Kundenübersicht!$E$3:$BA$3,FALSE),FALSE),"")</f>
        <v>101575519</v>
      </c>
      <c r="M485" s="13" t="str">
        <f>IFERROR(VLOOKUP(B485,[1]Kundenübersicht!$E$4:$AC$1003,MATCH(M$3,[1]Kundenübersicht!$E$3:$BA$3,FALSE),FALSE),"")</f>
        <v>O816601650</v>
      </c>
      <c r="N485" s="13" t="str">
        <f>IFERROR(VLOOKUP(B485,[1]Kundenübersicht!$E$4:$AC$1003,MATCH(N$3,[1]Kundenübersicht!$E$3:$BA$3,FALSE),FALSE),"")</f>
        <v>PG 2</v>
      </c>
      <c r="P485" s="9" t="s">
        <v>29</v>
      </c>
      <c r="R485" s="9" t="s">
        <v>30</v>
      </c>
      <c r="S485" s="14"/>
      <c r="U485" s="15">
        <f>IF(YEAR(C485)&lt;=2025,IFERROR(IF(I485="Hauswirtschaft",VLOOKUP($B485,[1]Kundenübersicht!$E$4:$BA$1003,MATCH("Hauswirtschaft [€/Stunde]",[1]Kundenübersicht!$E$3:$BA$3,FALSE),FALSE),VLOOKUP($B485,[1]Kundenübersicht!$E$4:$BA$1003,MATCH("Alltagsbegleitung [€/Stunde]",[1]Kundenübersicht!$E$3:$BA$3,FALSE),FALSE)),0),IFERROR(IF(I485="Hauswirtschaft",VLOOKUP($B485,[1]Kundenübersicht!$E$4:$BA$1003,MATCH("HW ab 2026 [€/Stunde]",[1]Kundenübersicht!$E$3:$BA$3,FALSE),FALSE),VLOOKUP($B485,[1]Kundenübersicht!$E$4:$BA$1003,MATCH("Alltagsbegleitung [€/Stunde]",[1]Kundenübersicht!$E$3:$BA$3,FALSE),FALSE)),0))</f>
        <v>38</v>
      </c>
      <c r="V485" s="16">
        <f t="shared" si="110"/>
        <v>38.000000000000014</v>
      </c>
      <c r="W485" s="16">
        <f t="shared" si="120"/>
        <v>10.114999999999998</v>
      </c>
      <c r="X485" s="16" t="s">
        <v>89</v>
      </c>
      <c r="Z485" s="20" t="str">
        <f>IF(AA485="","Nein","Ja")</f>
        <v>Ja</v>
      </c>
      <c r="AA485" s="19">
        <v>46066</v>
      </c>
      <c r="AC485" s="19"/>
      <c r="AE485" s="9">
        <f t="shared" si="115"/>
        <v>2026</v>
      </c>
      <c r="AF485" s="17" t="str">
        <f t="shared" si="116"/>
        <v>01.2026</v>
      </c>
      <c r="AG485" s="17" t="str">
        <f t="shared" si="117"/>
        <v>Christiane Fiebag</v>
      </c>
      <c r="AH485" s="17" t="str">
        <f>IFERROR(VLOOKUP(B485,[1]Kundenübersicht!$E$4:$F$85,2,FALSE),"")</f>
        <v>Joachim Röder</v>
      </c>
      <c r="AI485" s="17" t="str">
        <f t="shared" si="122"/>
        <v>Hauswirtschaft</v>
      </c>
      <c r="AJ485" s="17" t="str">
        <f t="shared" si="122"/>
        <v>Entlastungsleistung</v>
      </c>
      <c r="AL485" s="18">
        <f t="shared" si="111"/>
        <v>38</v>
      </c>
      <c r="AM485" s="18">
        <f t="shared" si="112"/>
        <v>38.000000000000014</v>
      </c>
      <c r="AN485" s="18">
        <f t="shared" si="113"/>
        <v>10.114999999999998</v>
      </c>
    </row>
    <row r="486" spans="2:40" x14ac:dyDescent="0.25">
      <c r="B486" s="30" t="s">
        <v>73</v>
      </c>
      <c r="C486" s="31">
        <v>46036</v>
      </c>
      <c r="D486" s="32">
        <v>0.625</v>
      </c>
      <c r="E486" s="32">
        <v>0.6875</v>
      </c>
      <c r="F486" s="12">
        <f t="shared" si="109"/>
        <v>1.5</v>
      </c>
      <c r="G486" s="12">
        <v>39.5</v>
      </c>
      <c r="H486" s="30" t="s">
        <v>33</v>
      </c>
      <c r="I486" s="30" t="s">
        <v>27</v>
      </c>
      <c r="J486" s="30" t="s">
        <v>28</v>
      </c>
      <c r="K486" s="9" t="str">
        <f>IFERROR(VLOOKUP($B486,[1]Kundenübersicht!$E$4:$AC$1003,MATCH(K$3,[1]Kundenübersicht!$E$3:$BA$3,FALSE),FALSE),"")</f>
        <v>AOK PLUS</v>
      </c>
      <c r="L486" s="13">
        <f>IFERROR(VLOOKUP(B486,[1]Kundenübersicht!$E$4:$AC$1003,MATCH(L$3,[1]Kundenübersicht!$E$3:$BA$3,FALSE),FALSE),"")</f>
        <v>107299005</v>
      </c>
      <c r="M486" s="13" t="str">
        <f>IFERROR(VLOOKUP(B486,[1]Kundenübersicht!$E$4:$AC$1003,MATCH(M$3,[1]Kundenübersicht!$E$3:$BA$3,FALSE),FALSE),"")</f>
        <v>A758670111</v>
      </c>
      <c r="N486" s="13" t="str">
        <f>IFERROR(VLOOKUP(B486,[1]Kundenübersicht!$E$4:$AC$1003,MATCH(N$3,[1]Kundenübersicht!$E$3:$BA$3,FALSE),FALSE),"")</f>
        <v>PG 2</v>
      </c>
      <c r="P486" s="9" t="s">
        <v>29</v>
      </c>
      <c r="R486" s="9" t="s">
        <v>30</v>
      </c>
      <c r="S486" s="14"/>
      <c r="U486" s="15">
        <f>IF(YEAR(C486)&lt;=2025,IFERROR(IF(I486="Hauswirtschaft",VLOOKUP($B486,[1]Kundenübersicht!$E$4:$BA$1003,MATCH("Hauswirtschaft [€/Stunde]",[1]Kundenübersicht!$E$3:$BA$3,FALSE),FALSE),VLOOKUP($B486,[1]Kundenübersicht!$E$4:$BA$1003,MATCH("Alltagsbegleitung [€/Stunde]",[1]Kundenübersicht!$E$3:$BA$3,FALSE),FALSE)),0),IFERROR(IF(I486="Hauswirtschaft",VLOOKUP($B486,[1]Kundenübersicht!$E$4:$BA$1003,MATCH("HW ab 2026 [€/Stunde]",[1]Kundenübersicht!$E$3:$BA$3,FALSE),FALSE),VLOOKUP($B486,[1]Kundenübersicht!$E$4:$BA$1003,MATCH("Alltagsbegleitung [€/Stunde]",[1]Kundenübersicht!$E$3:$BA$3,FALSE),FALSE)),0))</f>
        <v>38</v>
      </c>
      <c r="V486" s="16">
        <f t="shared" si="110"/>
        <v>57</v>
      </c>
      <c r="W486" s="16">
        <f t="shared" si="120"/>
        <v>13.824999999999999</v>
      </c>
      <c r="X486" s="16" t="s">
        <v>89</v>
      </c>
      <c r="Z486" s="20" t="str">
        <f t="shared" ref="Z486:Z491" si="123">IF(AA486="","Nein","Ja")</f>
        <v>Ja</v>
      </c>
      <c r="AA486" s="19">
        <v>46066</v>
      </c>
      <c r="AC486" s="19"/>
      <c r="AE486" s="9">
        <f t="shared" si="115"/>
        <v>2026</v>
      </c>
      <c r="AF486" s="17" t="str">
        <f t="shared" si="116"/>
        <v>01.2026</v>
      </c>
      <c r="AG486" s="17" t="str">
        <f t="shared" si="117"/>
        <v>Christiane Fiebag</v>
      </c>
      <c r="AH486" s="17" t="str">
        <f>IFERROR(VLOOKUP(B486,[1]Kundenübersicht!$E$4:$F$85,2,FALSE),"")</f>
        <v>Christine Klewer</v>
      </c>
      <c r="AI486" s="17" t="str">
        <f t="shared" si="122"/>
        <v>Hauswirtschaft</v>
      </c>
      <c r="AJ486" s="17" t="str">
        <f t="shared" si="122"/>
        <v>Entlastungsleistung</v>
      </c>
      <c r="AL486" s="18">
        <f t="shared" si="111"/>
        <v>38</v>
      </c>
      <c r="AM486" s="18">
        <f t="shared" si="112"/>
        <v>57</v>
      </c>
      <c r="AN486" s="18">
        <f t="shared" si="113"/>
        <v>13.824999999999999</v>
      </c>
    </row>
    <row r="487" spans="2:40" x14ac:dyDescent="0.25">
      <c r="B487" s="30" t="s">
        <v>73</v>
      </c>
      <c r="C487" s="31">
        <v>46050</v>
      </c>
      <c r="D487" s="32">
        <v>0.38541666666666669</v>
      </c>
      <c r="E487" s="32">
        <v>0.4375</v>
      </c>
      <c r="F487" s="12">
        <f t="shared" si="109"/>
        <v>1.2499999999999996</v>
      </c>
      <c r="G487" s="12">
        <v>35.1</v>
      </c>
      <c r="H487" s="30" t="s">
        <v>33</v>
      </c>
      <c r="I487" s="30" t="s">
        <v>27</v>
      </c>
      <c r="J487" s="30" t="s">
        <v>28</v>
      </c>
      <c r="K487" s="9" t="str">
        <f>IFERROR(VLOOKUP($B487,[1]Kundenübersicht!$E$4:$AC$1003,MATCH(K$3,[1]Kundenübersicht!$E$3:$BA$3,FALSE),FALSE),"")</f>
        <v>AOK PLUS</v>
      </c>
      <c r="L487" s="13">
        <f>IFERROR(VLOOKUP(B487,[1]Kundenübersicht!$E$4:$AC$1003,MATCH(L$3,[1]Kundenübersicht!$E$3:$BA$3,FALSE),FALSE),"")</f>
        <v>107299005</v>
      </c>
      <c r="M487" s="13" t="str">
        <f>IFERROR(VLOOKUP(B487,[1]Kundenübersicht!$E$4:$AC$1003,MATCH(M$3,[1]Kundenübersicht!$E$3:$BA$3,FALSE),FALSE),"")</f>
        <v>A758670111</v>
      </c>
      <c r="N487" s="13" t="str">
        <f>IFERROR(VLOOKUP(B487,[1]Kundenübersicht!$E$4:$AC$1003,MATCH(N$3,[1]Kundenübersicht!$E$3:$BA$3,FALSE),FALSE),"")</f>
        <v>PG 2</v>
      </c>
      <c r="P487" s="9" t="s">
        <v>29</v>
      </c>
      <c r="R487" s="9" t="s">
        <v>30</v>
      </c>
      <c r="S487" s="14"/>
      <c r="U487" s="15">
        <f>IF(YEAR(C487)&lt;=2025,IFERROR(IF(I487="Hauswirtschaft",VLOOKUP($B487,[1]Kundenübersicht!$E$4:$BA$1003,MATCH("Hauswirtschaft [€/Stunde]",[1]Kundenübersicht!$E$3:$BA$3,FALSE),FALSE),VLOOKUP($B487,[1]Kundenübersicht!$E$4:$BA$1003,MATCH("Alltagsbegleitung [€/Stunde]",[1]Kundenübersicht!$E$3:$BA$3,FALSE),FALSE)),0),IFERROR(IF(I487="Hauswirtschaft",VLOOKUP($B487,[1]Kundenübersicht!$E$4:$BA$1003,MATCH("HW ab 2026 [€/Stunde]",[1]Kundenübersicht!$E$3:$BA$3,FALSE),FALSE),VLOOKUP($B487,[1]Kundenübersicht!$E$4:$BA$1003,MATCH("Alltagsbegleitung [€/Stunde]",[1]Kundenübersicht!$E$3:$BA$3,FALSE),FALSE)),0))</f>
        <v>38</v>
      </c>
      <c r="V487" s="16">
        <f t="shared" si="110"/>
        <v>47.499999999999986</v>
      </c>
      <c r="W487" s="16">
        <f t="shared" si="120"/>
        <v>12.285</v>
      </c>
      <c r="X487" s="16" t="s">
        <v>89</v>
      </c>
      <c r="Z487" s="20" t="str">
        <f t="shared" si="123"/>
        <v>Ja</v>
      </c>
      <c r="AA487" s="19">
        <v>46066</v>
      </c>
      <c r="AC487" s="19"/>
      <c r="AE487" s="9">
        <f t="shared" si="115"/>
        <v>2026</v>
      </c>
      <c r="AF487" s="17" t="str">
        <f t="shared" si="116"/>
        <v>01.2026</v>
      </c>
      <c r="AG487" s="17" t="str">
        <f t="shared" si="117"/>
        <v>Christiane Fiebag</v>
      </c>
      <c r="AH487" s="17" t="str">
        <f>IFERROR(VLOOKUP(B487,[1]Kundenübersicht!$E$4:$F$85,2,FALSE),"")</f>
        <v>Christine Klewer</v>
      </c>
      <c r="AI487" s="17" t="str">
        <f t="shared" si="122"/>
        <v>Hauswirtschaft</v>
      </c>
      <c r="AJ487" s="17" t="str">
        <f t="shared" si="122"/>
        <v>Entlastungsleistung</v>
      </c>
      <c r="AL487" s="18">
        <f t="shared" si="111"/>
        <v>38</v>
      </c>
      <c r="AM487" s="18">
        <f t="shared" si="112"/>
        <v>47.499999999999986</v>
      </c>
      <c r="AN487" s="18">
        <f t="shared" si="113"/>
        <v>12.285</v>
      </c>
    </row>
    <row r="488" spans="2:40" x14ac:dyDescent="0.25">
      <c r="B488" s="30" t="s">
        <v>82</v>
      </c>
      <c r="C488" s="31">
        <v>46042</v>
      </c>
      <c r="D488" s="32">
        <v>0.65625</v>
      </c>
      <c r="E488" s="32">
        <v>0.67708333333333337</v>
      </c>
      <c r="F488" s="12">
        <f t="shared" si="109"/>
        <v>0.50000000000000089</v>
      </c>
      <c r="G488" s="12">
        <v>19</v>
      </c>
      <c r="H488" s="30" t="s">
        <v>33</v>
      </c>
      <c r="I488" s="30" t="s">
        <v>41</v>
      </c>
      <c r="J488" s="30" t="s">
        <v>28</v>
      </c>
      <c r="K488" s="9" t="str">
        <f>IFERROR(VLOOKUP($B488,[1]Kundenübersicht!$E$4:$AC$1003,MATCH(K$3,[1]Kundenübersicht!$E$3:$BA$3,FALSE),FALSE),"")</f>
        <v>IKK Classic</v>
      </c>
      <c r="L488" s="13">
        <f>IFERROR(VLOOKUP(B488,[1]Kundenübersicht!$E$4:$AC$1003,MATCH(L$3,[1]Kundenübersicht!$E$3:$BA$3,FALSE),FALSE),"")</f>
        <v>187202793</v>
      </c>
      <c r="M488" s="13" t="str">
        <f>IFERROR(VLOOKUP(B488,[1]Kundenübersicht!$E$4:$AC$1003,MATCH(M$3,[1]Kundenübersicht!$E$3:$BA$3,FALSE),FALSE),"")</f>
        <v>D546661945</v>
      </c>
      <c r="N488" s="13" t="str">
        <f>IFERROR(VLOOKUP(B488,[1]Kundenübersicht!$E$4:$AC$1003,MATCH(N$3,[1]Kundenübersicht!$E$3:$BA$3,FALSE),FALSE),"")</f>
        <v>PG 1</v>
      </c>
      <c r="P488" s="9" t="s">
        <v>29</v>
      </c>
      <c r="R488" s="9" t="s">
        <v>30</v>
      </c>
      <c r="S488" s="14"/>
      <c r="U488" s="15">
        <f>IF(YEAR(C488)&lt;=2025,IFERROR(IF(I488="Hauswirtschaft",VLOOKUP($B488,[1]Kundenübersicht!$E$4:$BA$1003,MATCH("Hauswirtschaft [€/Stunde]",[1]Kundenübersicht!$E$3:$BA$3,FALSE),FALSE),VLOOKUP($B488,[1]Kundenübersicht!$E$4:$BA$1003,MATCH("Alltagsbegleitung [€/Stunde]",[1]Kundenübersicht!$E$3:$BA$3,FALSE),FALSE)),0),IFERROR(IF(I488="Hauswirtschaft",VLOOKUP($B488,[1]Kundenübersicht!$E$4:$BA$1003,MATCH("HW ab 2026 [€/Stunde]",[1]Kundenübersicht!$E$3:$BA$3,FALSE),FALSE),VLOOKUP($B488,[1]Kundenübersicht!$E$4:$BA$1003,MATCH("Alltagsbegleitung [€/Stunde]",[1]Kundenübersicht!$E$3:$BA$3,FALSE),FALSE)),0))</f>
        <v>42</v>
      </c>
      <c r="V488" s="16">
        <f t="shared" si="110"/>
        <v>21.000000000000036</v>
      </c>
      <c r="W488" s="16">
        <f t="shared" si="120"/>
        <v>6.6499999999999995</v>
      </c>
      <c r="X488" s="16" t="s">
        <v>89</v>
      </c>
      <c r="Z488" s="20" t="str">
        <f t="shared" si="123"/>
        <v>Ja</v>
      </c>
      <c r="AA488" s="19">
        <v>46066</v>
      </c>
      <c r="AC488" s="19"/>
      <c r="AE488" s="9">
        <f t="shared" si="115"/>
        <v>2026</v>
      </c>
      <c r="AF488" s="17" t="str">
        <f t="shared" si="116"/>
        <v>01.2026</v>
      </c>
      <c r="AG488" s="17" t="str">
        <f t="shared" si="117"/>
        <v>Christiane Fiebag</v>
      </c>
      <c r="AH488" s="17" t="str">
        <f>IFERROR(VLOOKUP(B488,[1]Kundenübersicht!$E$4:$F$85,2,FALSE),"")</f>
        <v>Renate Pittag</v>
      </c>
      <c r="AI488" s="17" t="str">
        <f t="shared" si="122"/>
        <v>Alltagsbegleitung</v>
      </c>
      <c r="AJ488" s="17" t="str">
        <f t="shared" si="122"/>
        <v>Entlastungsleistung</v>
      </c>
      <c r="AL488" s="18">
        <f t="shared" si="111"/>
        <v>42</v>
      </c>
      <c r="AM488" s="18">
        <f t="shared" si="112"/>
        <v>21.000000000000036</v>
      </c>
      <c r="AN488" s="18">
        <f t="shared" si="113"/>
        <v>6.6499999999999995</v>
      </c>
    </row>
    <row r="489" spans="2:40" x14ac:dyDescent="0.25">
      <c r="B489" s="30" t="s">
        <v>82</v>
      </c>
      <c r="C489" s="31">
        <v>46051</v>
      </c>
      <c r="D489" s="32">
        <v>0.33333333333333331</v>
      </c>
      <c r="E489" s="32">
        <v>0.375</v>
      </c>
      <c r="F489" s="12">
        <f t="shared" si="109"/>
        <v>1.0000000000000004</v>
      </c>
      <c r="G489" s="12">
        <v>8.8000000000000007</v>
      </c>
      <c r="H489" s="30" t="s">
        <v>33</v>
      </c>
      <c r="I489" s="30" t="s">
        <v>27</v>
      </c>
      <c r="J489" s="30" t="s">
        <v>28</v>
      </c>
      <c r="K489" s="9" t="str">
        <f>IFERROR(VLOOKUP($B489,[1]Kundenübersicht!$E$4:$AC$1003,MATCH(K$3,[1]Kundenübersicht!$E$3:$BA$3,FALSE),FALSE),"")</f>
        <v>IKK Classic</v>
      </c>
      <c r="L489" s="13">
        <f>IFERROR(VLOOKUP(B489,[1]Kundenübersicht!$E$4:$AC$1003,MATCH(L$3,[1]Kundenübersicht!$E$3:$BA$3,FALSE),FALSE),"")</f>
        <v>187202793</v>
      </c>
      <c r="M489" s="13" t="str">
        <f>IFERROR(VLOOKUP(B489,[1]Kundenübersicht!$E$4:$AC$1003,MATCH(M$3,[1]Kundenübersicht!$E$3:$BA$3,FALSE),FALSE),"")</f>
        <v>D546661945</v>
      </c>
      <c r="N489" s="13" t="str">
        <f>IFERROR(VLOOKUP(B489,[1]Kundenübersicht!$E$4:$AC$1003,MATCH(N$3,[1]Kundenübersicht!$E$3:$BA$3,FALSE),FALSE),"")</f>
        <v>PG 1</v>
      </c>
      <c r="P489" s="9" t="s">
        <v>29</v>
      </c>
      <c r="R489" s="9" t="s">
        <v>30</v>
      </c>
      <c r="S489" s="14"/>
      <c r="U489" s="15">
        <f>IF(YEAR(C489)&lt;=2025,IFERROR(IF(I489="Hauswirtschaft",VLOOKUP($B489,[1]Kundenübersicht!$E$4:$BA$1003,MATCH("Hauswirtschaft [€/Stunde]",[1]Kundenübersicht!$E$3:$BA$3,FALSE),FALSE),VLOOKUP($B489,[1]Kundenübersicht!$E$4:$BA$1003,MATCH("Alltagsbegleitung [€/Stunde]",[1]Kundenübersicht!$E$3:$BA$3,FALSE),FALSE)),0),IFERROR(IF(I489="Hauswirtschaft",VLOOKUP($B489,[1]Kundenübersicht!$E$4:$BA$1003,MATCH("HW ab 2026 [€/Stunde]",[1]Kundenübersicht!$E$3:$BA$3,FALSE),FALSE),VLOOKUP($B489,[1]Kundenübersicht!$E$4:$BA$1003,MATCH("Alltagsbegleitung [€/Stunde]",[1]Kundenübersicht!$E$3:$BA$3,FALSE),FALSE)),0))</f>
        <v>38</v>
      </c>
      <c r="V489" s="16">
        <f t="shared" si="110"/>
        <v>38.000000000000014</v>
      </c>
      <c r="W489" s="16">
        <f t="shared" si="120"/>
        <v>3.08</v>
      </c>
      <c r="X489" s="16" t="s">
        <v>89</v>
      </c>
      <c r="Z489" s="20" t="str">
        <f t="shared" si="123"/>
        <v>Ja</v>
      </c>
      <c r="AA489" s="19">
        <v>46066</v>
      </c>
      <c r="AC489" s="19"/>
      <c r="AE489" s="9">
        <f t="shared" si="115"/>
        <v>2026</v>
      </c>
      <c r="AF489" s="17" t="str">
        <f t="shared" si="116"/>
        <v>01.2026</v>
      </c>
      <c r="AG489" s="17" t="str">
        <f t="shared" si="117"/>
        <v>Christiane Fiebag</v>
      </c>
      <c r="AH489" s="17" t="str">
        <f>IFERROR(VLOOKUP(B489,[1]Kundenübersicht!$E$4:$F$85,2,FALSE),"")</f>
        <v>Renate Pittag</v>
      </c>
      <c r="AI489" s="17" t="str">
        <f t="shared" si="122"/>
        <v>Hauswirtschaft</v>
      </c>
      <c r="AJ489" s="17" t="str">
        <f t="shared" si="122"/>
        <v>Entlastungsleistung</v>
      </c>
      <c r="AL489" s="18">
        <f t="shared" si="111"/>
        <v>38</v>
      </c>
      <c r="AM489" s="18">
        <f t="shared" si="112"/>
        <v>38.000000000000014</v>
      </c>
      <c r="AN489" s="18">
        <f t="shared" si="113"/>
        <v>3.08</v>
      </c>
    </row>
    <row r="490" spans="2:40" x14ac:dyDescent="0.25">
      <c r="B490" s="30" t="s">
        <v>44</v>
      </c>
      <c r="C490" s="31">
        <v>46036</v>
      </c>
      <c r="D490" s="32">
        <v>0.53125</v>
      </c>
      <c r="E490" s="32">
        <v>0.58333333333333337</v>
      </c>
      <c r="F490" s="12">
        <f t="shared" si="109"/>
        <v>1.2500000000000009</v>
      </c>
      <c r="G490" s="12">
        <v>6</v>
      </c>
      <c r="H490" s="30" t="s">
        <v>33</v>
      </c>
      <c r="I490" s="30" t="s">
        <v>27</v>
      </c>
      <c r="J490" s="30" t="s">
        <v>28</v>
      </c>
      <c r="K490" s="9" t="str">
        <f>IFERROR(VLOOKUP($B490,[1]Kundenübersicht!$E$4:$AC$1003,MATCH(K$3,[1]Kundenübersicht!$E$3:$BA$3,FALSE),FALSE),"")</f>
        <v>Barmer Pflegekasse</v>
      </c>
      <c r="L490" s="13">
        <f>IFERROR(VLOOKUP(B490,[1]Kundenübersicht!$E$4:$AC$1003,MATCH(L$3,[1]Kundenübersicht!$E$3:$BA$3,FALSE),FALSE),"")</f>
        <v>184940005</v>
      </c>
      <c r="M490" s="13" t="str">
        <f>IFERROR(VLOOKUP(B490,[1]Kundenübersicht!$E$4:$AC$1003,MATCH(M$3,[1]Kundenübersicht!$E$3:$BA$3,FALSE),FALSE),"")</f>
        <v>Y800652371</v>
      </c>
      <c r="N490" s="13" t="str">
        <f>IFERROR(VLOOKUP(B490,[1]Kundenübersicht!$E$4:$AC$1003,MATCH(N$3,[1]Kundenübersicht!$E$3:$BA$3,FALSE),FALSE),"")</f>
        <v>PG 1</v>
      </c>
      <c r="P490" s="9" t="s">
        <v>29</v>
      </c>
      <c r="R490" s="9" t="s">
        <v>30</v>
      </c>
      <c r="S490" s="14"/>
      <c r="U490" s="15">
        <f>IF(YEAR(C490)&lt;=2025,IFERROR(IF(I490="Hauswirtschaft",VLOOKUP($B490,[1]Kundenübersicht!$E$4:$BA$1003,MATCH("Hauswirtschaft [€/Stunde]",[1]Kundenübersicht!$E$3:$BA$3,FALSE),FALSE),VLOOKUP($B490,[1]Kundenübersicht!$E$4:$BA$1003,MATCH("Alltagsbegleitung [€/Stunde]",[1]Kundenübersicht!$E$3:$BA$3,FALSE),FALSE)),0),IFERROR(IF(I490="Hauswirtschaft",VLOOKUP($B490,[1]Kundenübersicht!$E$4:$BA$1003,MATCH("HW ab 2026 [€/Stunde]",[1]Kundenübersicht!$E$3:$BA$3,FALSE),FALSE),VLOOKUP($B490,[1]Kundenübersicht!$E$4:$BA$1003,MATCH("Alltagsbegleitung [€/Stunde]",[1]Kundenübersicht!$E$3:$BA$3,FALSE),FALSE)),0))</f>
        <v>38</v>
      </c>
      <c r="V490" s="16">
        <f t="shared" si="110"/>
        <v>47.500000000000036</v>
      </c>
      <c r="W490" s="16">
        <f t="shared" si="120"/>
        <v>2.0999999999999996</v>
      </c>
      <c r="X490" s="16" t="s">
        <v>89</v>
      </c>
      <c r="Z490" s="20" t="str">
        <f t="shared" si="123"/>
        <v>Ja</v>
      </c>
      <c r="AA490" s="19">
        <v>46066</v>
      </c>
      <c r="AC490" s="19"/>
      <c r="AE490" s="9">
        <f t="shared" si="115"/>
        <v>2026</v>
      </c>
      <c r="AF490" s="17" t="str">
        <f t="shared" si="116"/>
        <v>01.2026</v>
      </c>
      <c r="AG490" s="17" t="str">
        <f t="shared" si="117"/>
        <v>Christiane Fiebag</v>
      </c>
      <c r="AH490" s="17" t="str">
        <f>IFERROR(VLOOKUP(B490,[1]Kundenübersicht!$E$4:$F$85,2,FALSE),"")</f>
        <v>Dieter Kraft</v>
      </c>
      <c r="AI490" s="17" t="str">
        <f t="shared" si="122"/>
        <v>Hauswirtschaft</v>
      </c>
      <c r="AJ490" s="17" t="str">
        <f t="shared" si="122"/>
        <v>Entlastungsleistung</v>
      </c>
      <c r="AL490" s="18">
        <f t="shared" si="111"/>
        <v>38</v>
      </c>
      <c r="AM490" s="18">
        <f t="shared" si="112"/>
        <v>47.500000000000036</v>
      </c>
      <c r="AN490" s="18">
        <f t="shared" si="113"/>
        <v>2.0999999999999996</v>
      </c>
    </row>
    <row r="491" spans="2:40" x14ac:dyDescent="0.25">
      <c r="B491" s="30" t="s">
        <v>44</v>
      </c>
      <c r="C491" s="31">
        <v>46051</v>
      </c>
      <c r="D491" s="32">
        <v>0.54166666666666663</v>
      </c>
      <c r="E491" s="32">
        <v>0.60416666666666663</v>
      </c>
      <c r="F491" s="12">
        <f t="shared" si="109"/>
        <v>1.5</v>
      </c>
      <c r="G491" s="12">
        <v>11.5</v>
      </c>
      <c r="H491" s="30" t="s">
        <v>33</v>
      </c>
      <c r="I491" s="30" t="s">
        <v>41</v>
      </c>
      <c r="J491" s="30" t="s">
        <v>28</v>
      </c>
      <c r="K491" s="9" t="str">
        <f>IFERROR(VLOOKUP($B491,[1]Kundenübersicht!$E$4:$AC$1003,MATCH(K$3,[1]Kundenübersicht!$E$3:$BA$3,FALSE),FALSE),"")</f>
        <v>Barmer Pflegekasse</v>
      </c>
      <c r="L491" s="13">
        <f>IFERROR(VLOOKUP(B491,[1]Kundenübersicht!$E$4:$AC$1003,MATCH(L$3,[1]Kundenübersicht!$E$3:$BA$3,FALSE),FALSE),"")</f>
        <v>184940005</v>
      </c>
      <c r="M491" s="13" t="str">
        <f>IFERROR(VLOOKUP(B491,[1]Kundenübersicht!$E$4:$AC$1003,MATCH(M$3,[1]Kundenübersicht!$E$3:$BA$3,FALSE),FALSE),"")</f>
        <v>Y800652371</v>
      </c>
      <c r="N491" s="13" t="str">
        <f>IFERROR(VLOOKUP(B491,[1]Kundenübersicht!$E$4:$AC$1003,MATCH(N$3,[1]Kundenübersicht!$E$3:$BA$3,FALSE),FALSE),"")</f>
        <v>PG 1</v>
      </c>
      <c r="P491" s="9" t="s">
        <v>29</v>
      </c>
      <c r="R491" s="9" t="s">
        <v>30</v>
      </c>
      <c r="S491" s="14"/>
      <c r="U491" s="15">
        <f>IF(YEAR(C491)&lt;=2025,IFERROR(IF(I491="Hauswirtschaft",VLOOKUP($B491,[1]Kundenübersicht!$E$4:$BA$1003,MATCH("Hauswirtschaft [€/Stunde]",[1]Kundenübersicht!$E$3:$BA$3,FALSE),FALSE),VLOOKUP($B491,[1]Kundenübersicht!$E$4:$BA$1003,MATCH("Alltagsbegleitung [€/Stunde]",[1]Kundenübersicht!$E$3:$BA$3,FALSE),FALSE)),0),IFERROR(IF(I491="Hauswirtschaft",VLOOKUP($B491,[1]Kundenübersicht!$E$4:$BA$1003,MATCH("HW ab 2026 [€/Stunde]",[1]Kundenübersicht!$E$3:$BA$3,FALSE),FALSE),VLOOKUP($B491,[1]Kundenübersicht!$E$4:$BA$1003,MATCH("Alltagsbegleitung [€/Stunde]",[1]Kundenübersicht!$E$3:$BA$3,FALSE),FALSE)),0))</f>
        <v>42</v>
      </c>
      <c r="V491" s="16">
        <f t="shared" si="110"/>
        <v>63</v>
      </c>
      <c r="W491" s="16">
        <f t="shared" si="120"/>
        <v>4.0249999999999995</v>
      </c>
      <c r="X491" s="16" t="s">
        <v>89</v>
      </c>
      <c r="Z491" s="20" t="str">
        <f t="shared" si="123"/>
        <v>Ja</v>
      </c>
      <c r="AA491" s="19">
        <v>46066</v>
      </c>
      <c r="AC491" s="19"/>
      <c r="AE491" s="9">
        <f t="shared" si="115"/>
        <v>2026</v>
      </c>
      <c r="AF491" s="17" t="str">
        <f t="shared" si="116"/>
        <v>01.2026</v>
      </c>
      <c r="AG491" s="17" t="str">
        <f t="shared" si="117"/>
        <v>Christiane Fiebag</v>
      </c>
      <c r="AH491" s="17" t="str">
        <f>IFERROR(VLOOKUP(B491,[1]Kundenübersicht!$E$4:$F$85,2,FALSE),"")</f>
        <v>Dieter Kraft</v>
      </c>
      <c r="AI491" s="17" t="str">
        <f t="shared" si="122"/>
        <v>Alltagsbegleitung</v>
      </c>
      <c r="AJ491" s="17" t="str">
        <f t="shared" si="122"/>
        <v>Entlastungsleistung</v>
      </c>
      <c r="AL491" s="18">
        <f t="shared" si="111"/>
        <v>42</v>
      </c>
      <c r="AM491" s="18">
        <f t="shared" si="112"/>
        <v>63</v>
      </c>
      <c r="AN491" s="18">
        <f t="shared" si="113"/>
        <v>4.0249999999999995</v>
      </c>
    </row>
    <row r="492" spans="2:40" x14ac:dyDescent="0.25">
      <c r="B492" s="30" t="s">
        <v>61</v>
      </c>
      <c r="C492" s="31">
        <v>46045</v>
      </c>
      <c r="D492" s="32">
        <v>0.5</v>
      </c>
      <c r="E492" s="32">
        <v>0.54166666666666663</v>
      </c>
      <c r="F492" s="12">
        <f t="shared" si="109"/>
        <v>0.99999999999999911</v>
      </c>
      <c r="G492" s="12">
        <v>19</v>
      </c>
      <c r="H492" s="30" t="s">
        <v>33</v>
      </c>
      <c r="I492" s="30" t="s">
        <v>27</v>
      </c>
      <c r="J492" s="30" t="s">
        <v>28</v>
      </c>
      <c r="K492" s="9" t="str">
        <f>IFERROR(VLOOKUP($B492,[1]Kundenübersicht!$E$4:$AC$1003,MATCH(K$3,[1]Kundenübersicht!$E$3:$BA$3,FALSE),FALSE),"")</f>
        <v>AOK PLUS</v>
      </c>
      <c r="L492" s="13">
        <f>IFERROR(VLOOKUP(B492,[1]Kundenübersicht!$E$4:$AC$1003,MATCH(L$3,[1]Kundenübersicht!$E$3:$BA$3,FALSE),FALSE),"")</f>
        <v>107299005</v>
      </c>
      <c r="M492" s="13" t="str">
        <f>IFERROR(VLOOKUP(B492,[1]Kundenübersicht!$E$4:$AC$1003,MATCH(M$3,[1]Kundenübersicht!$E$3:$BA$3,FALSE),FALSE),"")</f>
        <v>F038854351</v>
      </c>
      <c r="N492" s="13" t="str">
        <f>IFERROR(VLOOKUP(B492,[1]Kundenübersicht!$E$4:$AC$1003,MATCH(N$3,[1]Kundenübersicht!$E$3:$BA$3,FALSE),FALSE),"")</f>
        <v>PG 3</v>
      </c>
      <c r="P492" s="9" t="s">
        <v>29</v>
      </c>
      <c r="R492" s="9" t="s">
        <v>30</v>
      </c>
      <c r="S492" s="14"/>
      <c r="U492" s="15">
        <f>IF(YEAR(C492)&lt;=2025,IFERROR(IF(I492="Hauswirtschaft",VLOOKUP($B492,[1]Kundenübersicht!$E$4:$BA$1003,MATCH("Hauswirtschaft [€/Stunde]",[1]Kundenübersicht!$E$3:$BA$3,FALSE),FALSE),VLOOKUP($B492,[1]Kundenübersicht!$E$4:$BA$1003,MATCH("Alltagsbegleitung [€/Stunde]",[1]Kundenübersicht!$E$3:$BA$3,FALSE),FALSE)),0),IFERROR(IF(I492="Hauswirtschaft",VLOOKUP($B492,[1]Kundenübersicht!$E$4:$BA$1003,MATCH("HW ab 2026 [€/Stunde]",[1]Kundenübersicht!$E$3:$BA$3,FALSE),FALSE),VLOOKUP($B492,[1]Kundenübersicht!$E$4:$BA$1003,MATCH("Alltagsbegleitung [€/Stunde]",[1]Kundenübersicht!$E$3:$BA$3,FALSE),FALSE)),0))</f>
        <v>38</v>
      </c>
      <c r="V492" s="16">
        <f t="shared" si="110"/>
        <v>37.999999999999964</v>
      </c>
      <c r="W492" s="16">
        <f t="shared" si="120"/>
        <v>6.6499999999999995</v>
      </c>
      <c r="X492" s="16" t="s">
        <v>89</v>
      </c>
      <c r="Z492" s="20" t="str">
        <f>IF(AA492="","Nein","Ja")</f>
        <v>Ja</v>
      </c>
      <c r="AA492" s="19">
        <v>46066</v>
      </c>
      <c r="AC492" s="19"/>
      <c r="AE492" s="9">
        <f t="shared" si="115"/>
        <v>2026</v>
      </c>
      <c r="AF492" s="17" t="str">
        <f t="shared" si="116"/>
        <v>01.2026</v>
      </c>
      <c r="AG492" s="17" t="str">
        <f t="shared" si="117"/>
        <v>Christiane Fiebag</v>
      </c>
      <c r="AH492" s="17" t="str">
        <f>IFERROR(VLOOKUP(B492,[1]Kundenübersicht!$E$4:$F$85,2,FALSE),"")</f>
        <v>Elke Mühle</v>
      </c>
      <c r="AI492" s="17" t="str">
        <f t="shared" si="122"/>
        <v>Hauswirtschaft</v>
      </c>
      <c r="AJ492" s="17" t="str">
        <f t="shared" si="122"/>
        <v>Entlastungsleistung</v>
      </c>
      <c r="AL492" s="18">
        <f t="shared" si="111"/>
        <v>38</v>
      </c>
      <c r="AM492" s="18">
        <f t="shared" si="112"/>
        <v>37.999999999999964</v>
      </c>
      <c r="AN492" s="18">
        <f t="shared" si="113"/>
        <v>6.6499999999999995</v>
      </c>
    </row>
    <row r="493" spans="2:40" x14ac:dyDescent="0.25">
      <c r="B493" s="30" t="s">
        <v>37</v>
      </c>
      <c r="C493" s="31">
        <v>46035</v>
      </c>
      <c r="D493" s="32">
        <v>0.41666666666666669</v>
      </c>
      <c r="E493" s="32">
        <v>0.53125</v>
      </c>
      <c r="F493" s="12">
        <f t="shared" si="109"/>
        <v>2.7499999999999996</v>
      </c>
      <c r="G493" s="12">
        <v>22.4</v>
      </c>
      <c r="H493" s="30" t="s">
        <v>33</v>
      </c>
      <c r="I493" s="30" t="s">
        <v>27</v>
      </c>
      <c r="J493" s="30" t="s">
        <v>28</v>
      </c>
      <c r="K493" s="9" t="str">
        <f>IFERROR(VLOOKUP($B493,[1]Kundenübersicht!$E$4:$AC$1003,MATCH(K$3,[1]Kundenübersicht!$E$3:$BA$3,FALSE),FALSE),"")</f>
        <v>IKK Classic</v>
      </c>
      <c r="L493" s="13" t="str">
        <f>IFERROR(VLOOKUP(B493,[1]Kundenübersicht!$E$4:$AC$1003,MATCH(L$3,[1]Kundenübersicht!$E$3:$BA$3,FALSE),FALSE),"")</f>
        <v>187202793</v>
      </c>
      <c r="M493" s="13" t="str">
        <f>IFERROR(VLOOKUP(B493,[1]Kundenübersicht!$E$4:$AC$1003,MATCH(M$3,[1]Kundenübersicht!$E$3:$BA$3,FALSE),FALSE),"")</f>
        <v>E434900220</v>
      </c>
      <c r="N493" s="13" t="str">
        <f>IFERROR(VLOOKUP(B493,[1]Kundenübersicht!$E$4:$AC$1003,MATCH(N$3,[1]Kundenübersicht!$E$3:$BA$3,FALSE),FALSE),"")</f>
        <v>PG 1</v>
      </c>
      <c r="P493" s="9" t="s">
        <v>29</v>
      </c>
      <c r="R493" s="9" t="s">
        <v>30</v>
      </c>
      <c r="S493" s="14"/>
      <c r="U493" s="15">
        <f>IF(YEAR(C493)&lt;=2025,IFERROR(IF(I493="Hauswirtschaft",VLOOKUP($B493,[1]Kundenübersicht!$E$4:$BA$1003,MATCH("Hauswirtschaft [€/Stunde]",[1]Kundenübersicht!$E$3:$BA$3,FALSE),FALSE),VLOOKUP($B493,[1]Kundenübersicht!$E$4:$BA$1003,MATCH("Alltagsbegleitung [€/Stunde]",[1]Kundenübersicht!$E$3:$BA$3,FALSE),FALSE)),0),IFERROR(IF(I493="Hauswirtschaft",VLOOKUP($B493,[1]Kundenübersicht!$E$4:$BA$1003,MATCH("HW ab 2026 [€/Stunde]",[1]Kundenübersicht!$E$3:$BA$3,FALSE),FALSE),VLOOKUP($B493,[1]Kundenübersicht!$E$4:$BA$1003,MATCH("Alltagsbegleitung [€/Stunde]",[1]Kundenübersicht!$E$3:$BA$3,FALSE),FALSE)),0))</f>
        <v>38</v>
      </c>
      <c r="V493" s="16">
        <f t="shared" si="110"/>
        <v>104.49999999999999</v>
      </c>
      <c r="W493" s="16">
        <f t="shared" si="120"/>
        <v>7.839999999999999</v>
      </c>
      <c r="X493" s="16" t="s">
        <v>89</v>
      </c>
      <c r="Z493" s="20" t="str">
        <f t="shared" ref="Z493:Z495" si="124">IF(AA493="","Nein","Ja")</f>
        <v>Ja</v>
      </c>
      <c r="AA493" s="19">
        <v>46066</v>
      </c>
      <c r="AC493" s="19"/>
      <c r="AE493" s="9">
        <f t="shared" si="115"/>
        <v>2026</v>
      </c>
      <c r="AF493" s="17" t="str">
        <f t="shared" si="116"/>
        <v>01.2026</v>
      </c>
      <c r="AG493" s="17" t="str">
        <f t="shared" si="117"/>
        <v>Christiane Fiebag</v>
      </c>
      <c r="AH493" s="17" t="str">
        <f>IFERROR(VLOOKUP(B493,[1]Kundenübersicht!$E$4:$F$85,2,FALSE),"")</f>
        <v>Lothar Haufe</v>
      </c>
      <c r="AI493" s="17" t="str">
        <f t="shared" si="122"/>
        <v>Hauswirtschaft</v>
      </c>
      <c r="AJ493" s="17" t="str">
        <f t="shared" si="122"/>
        <v>Entlastungsleistung</v>
      </c>
      <c r="AL493" s="18">
        <f t="shared" si="111"/>
        <v>38</v>
      </c>
      <c r="AM493" s="18">
        <f t="shared" si="112"/>
        <v>104.49999999999999</v>
      </c>
      <c r="AN493" s="18">
        <f t="shared" si="113"/>
        <v>7.839999999999999</v>
      </c>
    </row>
    <row r="494" spans="2:40" x14ac:dyDescent="0.25">
      <c r="B494" s="30" t="s">
        <v>37</v>
      </c>
      <c r="C494" s="31">
        <v>46045</v>
      </c>
      <c r="D494" s="32">
        <v>0.34375</v>
      </c>
      <c r="E494" s="32">
        <v>0.46875</v>
      </c>
      <c r="F494" s="12">
        <f t="shared" si="109"/>
        <v>3</v>
      </c>
      <c r="G494" s="12">
        <v>12.2</v>
      </c>
      <c r="H494" s="30" t="s">
        <v>33</v>
      </c>
      <c r="I494" s="30" t="s">
        <v>27</v>
      </c>
      <c r="J494" s="30" t="s">
        <v>28</v>
      </c>
      <c r="K494" s="9" t="str">
        <f>IFERROR(VLOOKUP($B494,[1]Kundenübersicht!$E$4:$AC$1003,MATCH(K$3,[1]Kundenübersicht!$E$3:$BA$3,FALSE),FALSE),"")</f>
        <v>IKK Classic</v>
      </c>
      <c r="L494" s="13" t="str">
        <f>IFERROR(VLOOKUP(B494,[1]Kundenübersicht!$E$4:$AC$1003,MATCH(L$3,[1]Kundenübersicht!$E$3:$BA$3,FALSE),FALSE),"")</f>
        <v>187202793</v>
      </c>
      <c r="M494" s="13" t="str">
        <f>IFERROR(VLOOKUP(B494,[1]Kundenübersicht!$E$4:$AC$1003,MATCH(M$3,[1]Kundenübersicht!$E$3:$BA$3,FALSE),FALSE),"")</f>
        <v>E434900220</v>
      </c>
      <c r="N494" s="13" t="str">
        <f>IFERROR(VLOOKUP(B494,[1]Kundenübersicht!$E$4:$AC$1003,MATCH(N$3,[1]Kundenübersicht!$E$3:$BA$3,FALSE),FALSE),"")</f>
        <v>PG 1</v>
      </c>
      <c r="P494" s="9" t="s">
        <v>29</v>
      </c>
      <c r="R494" s="9" t="s">
        <v>30</v>
      </c>
      <c r="S494" s="14"/>
      <c r="U494" s="15">
        <f>IF(YEAR(C494)&lt;=2025,IFERROR(IF(I494="Hauswirtschaft",VLOOKUP($B494,[1]Kundenübersicht!$E$4:$BA$1003,MATCH("Hauswirtschaft [€/Stunde]",[1]Kundenübersicht!$E$3:$BA$3,FALSE),FALSE),VLOOKUP($B494,[1]Kundenübersicht!$E$4:$BA$1003,MATCH("Alltagsbegleitung [€/Stunde]",[1]Kundenübersicht!$E$3:$BA$3,FALSE),FALSE)),0),IFERROR(IF(I494="Hauswirtschaft",VLOOKUP($B494,[1]Kundenübersicht!$E$4:$BA$1003,MATCH("HW ab 2026 [€/Stunde]",[1]Kundenübersicht!$E$3:$BA$3,FALSE),FALSE),VLOOKUP($B494,[1]Kundenübersicht!$E$4:$BA$1003,MATCH("Alltagsbegleitung [€/Stunde]",[1]Kundenübersicht!$E$3:$BA$3,FALSE),FALSE)),0))</f>
        <v>38</v>
      </c>
      <c r="V494" s="16">
        <f t="shared" si="110"/>
        <v>114</v>
      </c>
      <c r="W494" s="16">
        <f t="shared" si="120"/>
        <v>4.2699999999999996</v>
      </c>
      <c r="X494" s="16" t="s">
        <v>89</v>
      </c>
      <c r="Z494" s="20" t="str">
        <f t="shared" si="124"/>
        <v>Ja</v>
      </c>
      <c r="AA494" s="19">
        <v>46066</v>
      </c>
      <c r="AC494" s="19"/>
      <c r="AE494" s="9">
        <f t="shared" si="115"/>
        <v>2026</v>
      </c>
      <c r="AF494" s="17" t="str">
        <f t="shared" si="116"/>
        <v>01.2026</v>
      </c>
      <c r="AG494" s="17" t="str">
        <f t="shared" si="117"/>
        <v>Christiane Fiebag</v>
      </c>
      <c r="AH494" s="17" t="str">
        <f>IFERROR(VLOOKUP(B494,[1]Kundenübersicht!$E$4:$F$85,2,FALSE),"")</f>
        <v>Lothar Haufe</v>
      </c>
      <c r="AI494" s="17" t="str">
        <f t="shared" si="122"/>
        <v>Hauswirtschaft</v>
      </c>
      <c r="AJ494" s="17" t="str">
        <f t="shared" si="122"/>
        <v>Entlastungsleistung</v>
      </c>
      <c r="AL494" s="18">
        <f t="shared" si="111"/>
        <v>38</v>
      </c>
      <c r="AM494" s="18">
        <f t="shared" si="112"/>
        <v>114</v>
      </c>
      <c r="AN494" s="18">
        <f t="shared" si="113"/>
        <v>4.2699999999999996</v>
      </c>
    </row>
    <row r="495" spans="2:40" x14ac:dyDescent="0.25">
      <c r="B495" s="30" t="s">
        <v>36</v>
      </c>
      <c r="C495" s="31">
        <v>46052</v>
      </c>
      <c r="D495" s="32">
        <v>0.34375</v>
      </c>
      <c r="E495" s="32">
        <v>0.47916666666666669</v>
      </c>
      <c r="F495" s="12">
        <f t="shared" si="109"/>
        <v>3.2500000000000004</v>
      </c>
      <c r="G495" s="12">
        <v>10.9</v>
      </c>
      <c r="H495" s="30" t="s">
        <v>33</v>
      </c>
      <c r="I495" s="30" t="s">
        <v>27</v>
      </c>
      <c r="J495" s="30" t="s">
        <v>28</v>
      </c>
      <c r="K495" s="9" t="str">
        <f>IFERROR(VLOOKUP($B495,[1]Kundenübersicht!$E$4:$AC$1003,MATCH(K$3,[1]Kundenübersicht!$E$3:$BA$3,FALSE),FALSE),"")</f>
        <v>IKK Classic</v>
      </c>
      <c r="L495" s="13" t="str">
        <f>IFERROR(VLOOKUP(B495,[1]Kundenübersicht!$E$4:$AC$1003,MATCH(L$3,[1]Kundenübersicht!$E$3:$BA$3,FALSE),FALSE),"")</f>
        <v>187202793</v>
      </c>
      <c r="M495" s="13" t="str">
        <f>IFERROR(VLOOKUP(B495,[1]Kundenübersicht!$E$4:$AC$1003,MATCH(M$3,[1]Kundenübersicht!$E$3:$BA$3,FALSE),FALSE),"")</f>
        <v>X365499146</v>
      </c>
      <c r="N495" s="13" t="str">
        <f>IFERROR(VLOOKUP(B495,[1]Kundenübersicht!$E$4:$AC$1003,MATCH(N$3,[1]Kundenübersicht!$E$3:$BA$3,FALSE),FALSE),"")</f>
        <v>PG 1</v>
      </c>
      <c r="P495" s="9" t="s">
        <v>29</v>
      </c>
      <c r="R495" s="9" t="s">
        <v>30</v>
      </c>
      <c r="S495" s="14"/>
      <c r="U495" s="15">
        <f>IF(YEAR(C495)&lt;=2025,IFERROR(IF(I495="Hauswirtschaft",VLOOKUP($B495,[1]Kundenübersicht!$E$4:$BA$1003,MATCH("Hauswirtschaft [€/Stunde]",[1]Kundenübersicht!$E$3:$BA$3,FALSE),FALSE),VLOOKUP($B495,[1]Kundenübersicht!$E$4:$BA$1003,MATCH("Alltagsbegleitung [€/Stunde]",[1]Kundenübersicht!$E$3:$BA$3,FALSE),FALSE)),0),IFERROR(IF(I495="Hauswirtschaft",VLOOKUP($B495,[1]Kundenübersicht!$E$4:$BA$1003,MATCH("HW ab 2026 [€/Stunde]",[1]Kundenübersicht!$E$3:$BA$3,FALSE),FALSE),VLOOKUP($B495,[1]Kundenübersicht!$E$4:$BA$1003,MATCH("Alltagsbegleitung [€/Stunde]",[1]Kundenübersicht!$E$3:$BA$3,FALSE),FALSE)),0))</f>
        <v>38</v>
      </c>
      <c r="V495" s="16">
        <f t="shared" si="110"/>
        <v>123.50000000000001</v>
      </c>
      <c r="W495" s="16">
        <f t="shared" si="120"/>
        <v>3.8149999999999999</v>
      </c>
      <c r="X495" s="16" t="s">
        <v>89</v>
      </c>
      <c r="Z495" s="20" t="str">
        <f t="shared" si="124"/>
        <v>Ja</v>
      </c>
      <c r="AA495" s="19">
        <v>46066</v>
      </c>
      <c r="AC495" s="19"/>
      <c r="AE495" s="9">
        <f t="shared" si="115"/>
        <v>2026</v>
      </c>
      <c r="AF495" s="17" t="str">
        <f t="shared" si="116"/>
        <v>01.2026</v>
      </c>
      <c r="AG495" s="17" t="str">
        <f t="shared" si="117"/>
        <v>Christiane Fiebag</v>
      </c>
      <c r="AH495" s="17" t="str">
        <f>IFERROR(VLOOKUP(B495,[1]Kundenübersicht!$E$4:$F$85,2,FALSE),"")</f>
        <v>Ingrid Haufe</v>
      </c>
      <c r="AI495" s="17" t="str">
        <f t="shared" si="122"/>
        <v>Hauswirtschaft</v>
      </c>
      <c r="AJ495" s="17" t="str">
        <f t="shared" si="122"/>
        <v>Entlastungsleistung</v>
      </c>
      <c r="AL495" s="18">
        <f t="shared" si="111"/>
        <v>38</v>
      </c>
      <c r="AM495" s="18">
        <f t="shared" si="112"/>
        <v>123.50000000000001</v>
      </c>
      <c r="AN495" s="18">
        <f t="shared" si="113"/>
        <v>3.8149999999999999</v>
      </c>
    </row>
    <row r="496" spans="2:40" x14ac:dyDescent="0.25">
      <c r="B496" s="30" t="s">
        <v>87</v>
      </c>
      <c r="C496" s="31">
        <v>46043</v>
      </c>
      <c r="D496" s="32">
        <v>0.44791666666666669</v>
      </c>
      <c r="E496" s="32">
        <v>0.47916666666666669</v>
      </c>
      <c r="F496" s="12">
        <f t="shared" si="109"/>
        <v>0.75</v>
      </c>
      <c r="G496" s="12">
        <v>7.4</v>
      </c>
      <c r="H496" s="30" t="s">
        <v>33</v>
      </c>
      <c r="I496" s="30" t="s">
        <v>27</v>
      </c>
      <c r="J496" s="30" t="s">
        <v>28</v>
      </c>
      <c r="K496" s="9" t="str">
        <f>IFERROR(VLOOKUP($B496,[1]Kundenübersicht!$E$4:$AC$1003,MATCH(K$3,[1]Kundenübersicht!$E$3:$BA$3,FALSE),FALSE),"")</f>
        <v>DKV</v>
      </c>
      <c r="L496" s="13">
        <f>IFERROR(VLOOKUP(B496,[1]Kundenübersicht!$E$4:$AC$1003,MATCH(L$3,[1]Kundenübersicht!$E$3:$BA$3,FALSE),FALSE),"")</f>
        <v>4044</v>
      </c>
      <c r="M496" s="13" t="str">
        <f>IFERROR(VLOOKUP(B496,[1]Kundenübersicht!$E$4:$AC$1003,MATCH(M$3,[1]Kundenübersicht!$E$3:$BA$3,FALSE),FALSE),"")</f>
        <v>233838956</v>
      </c>
      <c r="N496" s="13" t="str">
        <f>IFERROR(VLOOKUP(B496,[1]Kundenübersicht!$E$4:$AC$1003,MATCH(N$3,[1]Kundenübersicht!$E$3:$BA$3,FALSE),FALSE),"")</f>
        <v>PG 2</v>
      </c>
      <c r="P496" s="9" t="s">
        <v>29</v>
      </c>
      <c r="R496" s="9" t="s">
        <v>30</v>
      </c>
      <c r="S496" s="14"/>
      <c r="U496" s="15">
        <f>IF(YEAR(C496)&lt;=2025,IFERROR(IF(I496="Hauswirtschaft",VLOOKUP($B496,[1]Kundenübersicht!$E$4:$BA$1003,MATCH("Hauswirtschaft [€/Stunde]",[1]Kundenübersicht!$E$3:$BA$3,FALSE),FALSE),VLOOKUP($B496,[1]Kundenübersicht!$E$4:$BA$1003,MATCH("Alltagsbegleitung [€/Stunde]",[1]Kundenübersicht!$E$3:$BA$3,FALSE),FALSE)),0),IFERROR(IF(I496="Hauswirtschaft",VLOOKUP($B496,[1]Kundenübersicht!$E$4:$BA$1003,MATCH("HW ab 2026 [€/Stunde]",[1]Kundenübersicht!$E$3:$BA$3,FALSE),FALSE),VLOOKUP($B496,[1]Kundenübersicht!$E$4:$BA$1003,MATCH("Alltagsbegleitung [€/Stunde]",[1]Kundenübersicht!$E$3:$BA$3,FALSE),FALSE)),0))</f>
        <v>38</v>
      </c>
      <c r="V496" s="16">
        <f t="shared" si="110"/>
        <v>28.5</v>
      </c>
      <c r="W496" s="16">
        <f t="shared" si="120"/>
        <v>2.59</v>
      </c>
      <c r="X496" s="16" t="s">
        <v>89</v>
      </c>
      <c r="Z496" s="20" t="str">
        <f>IF(AA496="","Nein","Ja")</f>
        <v>Ja</v>
      </c>
      <c r="AA496" s="19">
        <v>46066</v>
      </c>
      <c r="AC496" s="19"/>
      <c r="AE496" s="9">
        <f t="shared" si="115"/>
        <v>2026</v>
      </c>
      <c r="AF496" s="17" t="str">
        <f t="shared" si="116"/>
        <v>01.2026</v>
      </c>
      <c r="AG496" s="17" t="str">
        <f t="shared" si="117"/>
        <v>Christiane Fiebag</v>
      </c>
      <c r="AH496" s="17" t="str">
        <f>IFERROR(VLOOKUP(B496,[1]Kundenübersicht!$E$4:$F$85,2,FALSE),"")</f>
        <v>Günter Hofmann</v>
      </c>
      <c r="AI496" s="17" t="str">
        <f t="shared" si="122"/>
        <v>Hauswirtschaft</v>
      </c>
      <c r="AJ496" s="17" t="str">
        <f t="shared" si="122"/>
        <v>Entlastungsleistung</v>
      </c>
      <c r="AL496" s="18">
        <f t="shared" si="111"/>
        <v>38</v>
      </c>
      <c r="AM496" s="18">
        <f t="shared" si="112"/>
        <v>28.5</v>
      </c>
      <c r="AN496" s="18">
        <f t="shared" si="113"/>
        <v>2.59</v>
      </c>
    </row>
    <row r="497" spans="2:40" x14ac:dyDescent="0.25">
      <c r="B497" s="30" t="s">
        <v>87</v>
      </c>
      <c r="C497" s="31">
        <v>46043</v>
      </c>
      <c r="D497" s="32">
        <v>0.47916666666666669</v>
      </c>
      <c r="E497" s="32">
        <v>0.5</v>
      </c>
      <c r="F497" s="12">
        <f t="shared" si="109"/>
        <v>0.49999999999999956</v>
      </c>
      <c r="G497" s="12">
        <v>8.1999999999999993</v>
      </c>
      <c r="H497" s="30" t="s">
        <v>33</v>
      </c>
      <c r="I497" s="30" t="s">
        <v>27</v>
      </c>
      <c r="J497" s="30" t="s">
        <v>28</v>
      </c>
      <c r="K497" s="9" t="str">
        <f>IFERROR(VLOOKUP($B497,[1]Kundenübersicht!$E$4:$AC$1003,MATCH(K$3,[1]Kundenübersicht!$E$3:$BA$3,FALSE),FALSE),"")</f>
        <v>DKV</v>
      </c>
      <c r="L497" s="13">
        <f>IFERROR(VLOOKUP(B497,[1]Kundenübersicht!$E$4:$AC$1003,MATCH(L$3,[1]Kundenübersicht!$E$3:$BA$3,FALSE),FALSE),"")</f>
        <v>4044</v>
      </c>
      <c r="M497" s="13" t="str">
        <f>IFERROR(VLOOKUP(B497,[1]Kundenübersicht!$E$4:$AC$1003,MATCH(M$3,[1]Kundenübersicht!$E$3:$BA$3,FALSE),FALSE),"")</f>
        <v>233838956</v>
      </c>
      <c r="N497" s="13" t="str">
        <f>IFERROR(VLOOKUP(B497,[1]Kundenübersicht!$E$4:$AC$1003,MATCH(N$3,[1]Kundenübersicht!$E$3:$BA$3,FALSE),FALSE),"")</f>
        <v>PG 2</v>
      </c>
      <c r="P497" s="9" t="s">
        <v>29</v>
      </c>
      <c r="R497" s="9" t="s">
        <v>30</v>
      </c>
      <c r="S497" s="14"/>
      <c r="U497" s="15">
        <f>IF(YEAR(C497)&lt;=2025,IFERROR(IF(I497="Hauswirtschaft",VLOOKUP($B497,[1]Kundenübersicht!$E$4:$BA$1003,MATCH("Hauswirtschaft [€/Stunde]",[1]Kundenübersicht!$E$3:$BA$3,FALSE),FALSE),VLOOKUP($B497,[1]Kundenübersicht!$E$4:$BA$1003,MATCH("Alltagsbegleitung [€/Stunde]",[1]Kundenübersicht!$E$3:$BA$3,FALSE),FALSE)),0),IFERROR(IF(I497="Hauswirtschaft",VLOOKUP($B497,[1]Kundenübersicht!$E$4:$BA$1003,MATCH("HW ab 2026 [€/Stunde]",[1]Kundenübersicht!$E$3:$BA$3,FALSE),FALSE),VLOOKUP($B497,[1]Kundenübersicht!$E$4:$BA$1003,MATCH("Alltagsbegleitung [€/Stunde]",[1]Kundenübersicht!$E$3:$BA$3,FALSE),FALSE)),0))</f>
        <v>38</v>
      </c>
      <c r="V497" s="16">
        <f t="shared" si="110"/>
        <v>18.999999999999982</v>
      </c>
      <c r="W497" s="16">
        <f t="shared" si="120"/>
        <v>2.8699999999999997</v>
      </c>
      <c r="X497" s="16" t="s">
        <v>89</v>
      </c>
      <c r="Z497" s="20" t="str">
        <f>IF(AA497="","Nein","Ja")</f>
        <v>Ja</v>
      </c>
      <c r="AA497" s="19">
        <v>46066</v>
      </c>
      <c r="AC497" s="19"/>
      <c r="AE497" s="9">
        <f t="shared" si="115"/>
        <v>2026</v>
      </c>
      <c r="AF497" s="17" t="str">
        <f t="shared" si="116"/>
        <v>01.2026</v>
      </c>
      <c r="AG497" s="17" t="str">
        <f t="shared" si="117"/>
        <v>Christiane Fiebag</v>
      </c>
      <c r="AH497" s="17" t="str">
        <f>IFERROR(VLOOKUP(B497,[1]Kundenübersicht!$E$4:$F$85,2,FALSE),"")</f>
        <v>Günter Hofmann</v>
      </c>
      <c r="AI497" s="17" t="str">
        <f t="shared" si="122"/>
        <v>Hauswirtschaft</v>
      </c>
      <c r="AJ497" s="17" t="str">
        <f t="shared" si="122"/>
        <v>Entlastungsleistung</v>
      </c>
      <c r="AL497" s="18">
        <f t="shared" si="111"/>
        <v>38</v>
      </c>
      <c r="AM497" s="18">
        <f t="shared" si="112"/>
        <v>18.999999999999982</v>
      </c>
      <c r="AN497" s="18">
        <f t="shared" si="113"/>
        <v>2.8699999999999997</v>
      </c>
    </row>
    <row r="498" spans="2:40" x14ac:dyDescent="0.25">
      <c r="B498" s="30" t="s">
        <v>100</v>
      </c>
      <c r="C498" s="31">
        <v>46034</v>
      </c>
      <c r="D498" s="32">
        <v>0.55208333333333337</v>
      </c>
      <c r="E498" s="32">
        <v>0.61458333333333337</v>
      </c>
      <c r="F498" s="12">
        <f t="shared" si="109"/>
        <v>1.5</v>
      </c>
      <c r="G498" s="12">
        <v>6.9</v>
      </c>
      <c r="H498" s="30" t="s">
        <v>33</v>
      </c>
      <c r="I498" s="30" t="s">
        <v>27</v>
      </c>
      <c r="J498" s="30" t="s">
        <v>28</v>
      </c>
      <c r="K498" s="9" t="str">
        <f>IFERROR(VLOOKUP($B498,[1]Kundenübersicht!$E$4:$AC$1003,MATCH(K$3,[1]Kundenübersicht!$E$3:$BA$3,FALSE),FALSE),"")</f>
        <v>Barmer Pflegekasse</v>
      </c>
      <c r="L498" s="13">
        <f>IFERROR(VLOOKUP(B498,[1]Kundenübersicht!$E$4:$AC$1003,MATCH(L$3,[1]Kundenübersicht!$E$3:$BA$3,FALSE),FALSE),"")</f>
        <v>184940005</v>
      </c>
      <c r="M498" s="13" t="str">
        <f>IFERROR(VLOOKUP(B498,[1]Kundenübersicht!$E$4:$AC$1003,MATCH(M$3,[1]Kundenübersicht!$E$3:$BA$3,FALSE),FALSE),"")</f>
        <v>N787993980</v>
      </c>
      <c r="N498" s="13" t="str">
        <f>IFERROR(VLOOKUP(B498,[1]Kundenübersicht!$E$4:$AC$1003,MATCH(N$3,[1]Kundenübersicht!$E$3:$BA$3,FALSE),FALSE),"")</f>
        <v>PG 3</v>
      </c>
      <c r="P498" s="9" t="s">
        <v>29</v>
      </c>
      <c r="R498" s="9" t="s">
        <v>30</v>
      </c>
      <c r="S498" s="14"/>
      <c r="U498" s="15">
        <f>IF(YEAR(C498)&lt;=2025,IFERROR(IF(I498="Hauswirtschaft",VLOOKUP($B498,[1]Kundenübersicht!$E$4:$BA$1003,MATCH("Hauswirtschaft [€/Stunde]",[1]Kundenübersicht!$E$3:$BA$3,FALSE),FALSE),VLOOKUP($B498,[1]Kundenübersicht!$E$4:$BA$1003,MATCH("Alltagsbegleitung [€/Stunde]",[1]Kundenübersicht!$E$3:$BA$3,FALSE),FALSE)),0),IFERROR(IF(I498="Hauswirtschaft",VLOOKUP($B498,[1]Kundenübersicht!$E$4:$BA$1003,MATCH("HW ab 2026 [€/Stunde]",[1]Kundenübersicht!$E$3:$BA$3,FALSE),FALSE),VLOOKUP($B498,[1]Kundenübersicht!$E$4:$BA$1003,MATCH("Alltagsbegleitung [€/Stunde]",[1]Kundenübersicht!$E$3:$BA$3,FALSE),FALSE)),0))</f>
        <v>38</v>
      </c>
      <c r="V498" s="16">
        <f t="shared" si="110"/>
        <v>57</v>
      </c>
      <c r="W498" s="16">
        <f t="shared" si="120"/>
        <v>2.415</v>
      </c>
      <c r="X498" s="16" t="s">
        <v>89</v>
      </c>
      <c r="Z498" s="20" t="str">
        <f t="shared" ref="Z498:Z561" si="125">IF(AA498="","Nein","Ja")</f>
        <v>Ja</v>
      </c>
      <c r="AA498" s="19">
        <v>46066</v>
      </c>
      <c r="AC498" s="19"/>
      <c r="AE498" s="9">
        <f t="shared" si="115"/>
        <v>2026</v>
      </c>
      <c r="AF498" s="17" t="str">
        <f t="shared" si="116"/>
        <v>01.2026</v>
      </c>
      <c r="AG498" s="17" t="str">
        <f t="shared" si="117"/>
        <v>Christiane Fiebag</v>
      </c>
      <c r="AH498" s="17" t="str">
        <f>IFERROR(VLOOKUP(B498,[1]Kundenübersicht!$E$4:$F$85,2,FALSE),"")</f>
        <v>Ingeborg Müller</v>
      </c>
      <c r="AI498" s="17" t="str">
        <f t="shared" si="122"/>
        <v>Hauswirtschaft</v>
      </c>
      <c r="AJ498" s="17" t="str">
        <f t="shared" si="122"/>
        <v>Entlastungsleistung</v>
      </c>
      <c r="AL498" s="18">
        <f t="shared" si="111"/>
        <v>38</v>
      </c>
      <c r="AM498" s="18">
        <f t="shared" si="112"/>
        <v>57</v>
      </c>
      <c r="AN498" s="18">
        <f t="shared" si="113"/>
        <v>2.415</v>
      </c>
    </row>
    <row r="499" spans="2:40" x14ac:dyDescent="0.25">
      <c r="B499" s="30" t="s">
        <v>100</v>
      </c>
      <c r="C499" s="31">
        <v>46052</v>
      </c>
      <c r="D499" s="32">
        <v>0.5</v>
      </c>
      <c r="E499" s="32">
        <v>0.5625</v>
      </c>
      <c r="F499" s="12">
        <f t="shared" si="109"/>
        <v>1.5</v>
      </c>
      <c r="G499" s="12">
        <v>17.2</v>
      </c>
      <c r="H499" s="30" t="s">
        <v>33</v>
      </c>
      <c r="I499" s="30" t="s">
        <v>27</v>
      </c>
      <c r="J499" s="30" t="s">
        <v>28</v>
      </c>
      <c r="K499" s="9" t="str">
        <f>IFERROR(VLOOKUP($B499,[1]Kundenübersicht!$E$4:$AC$1003,MATCH(K$3,[1]Kundenübersicht!$E$3:$BA$3,FALSE),FALSE),"")</f>
        <v>Barmer Pflegekasse</v>
      </c>
      <c r="L499" s="13">
        <f>IFERROR(VLOOKUP(B499,[1]Kundenübersicht!$E$4:$AC$1003,MATCH(L$3,[1]Kundenübersicht!$E$3:$BA$3,FALSE),FALSE),"")</f>
        <v>184940005</v>
      </c>
      <c r="M499" s="13" t="str">
        <f>IFERROR(VLOOKUP(B499,[1]Kundenübersicht!$E$4:$AC$1003,MATCH(M$3,[1]Kundenübersicht!$E$3:$BA$3,FALSE),FALSE),"")</f>
        <v>N787993980</v>
      </c>
      <c r="N499" s="13" t="str">
        <f>IFERROR(VLOOKUP(B499,[1]Kundenübersicht!$E$4:$AC$1003,MATCH(N$3,[1]Kundenübersicht!$E$3:$BA$3,FALSE),FALSE),"")</f>
        <v>PG 3</v>
      </c>
      <c r="P499" s="9" t="s">
        <v>29</v>
      </c>
      <c r="R499" s="9" t="s">
        <v>30</v>
      </c>
      <c r="S499" s="14"/>
      <c r="U499" s="15">
        <f>IF(YEAR(C499)&lt;=2025,IFERROR(IF(I499="Hauswirtschaft",VLOOKUP($B499,[1]Kundenübersicht!$E$4:$BA$1003,MATCH("Hauswirtschaft [€/Stunde]",[1]Kundenübersicht!$E$3:$BA$3,FALSE),FALSE),VLOOKUP($B499,[1]Kundenübersicht!$E$4:$BA$1003,MATCH("Alltagsbegleitung [€/Stunde]",[1]Kundenübersicht!$E$3:$BA$3,FALSE),FALSE)),0),IFERROR(IF(I499="Hauswirtschaft",VLOOKUP($B499,[1]Kundenübersicht!$E$4:$BA$1003,MATCH("HW ab 2026 [€/Stunde]",[1]Kundenübersicht!$E$3:$BA$3,FALSE),FALSE),VLOOKUP($B499,[1]Kundenübersicht!$E$4:$BA$1003,MATCH("Alltagsbegleitung [€/Stunde]",[1]Kundenübersicht!$E$3:$BA$3,FALSE),FALSE)),0))</f>
        <v>38</v>
      </c>
      <c r="V499" s="16">
        <f t="shared" si="110"/>
        <v>57</v>
      </c>
      <c r="W499" s="16">
        <f t="shared" si="120"/>
        <v>6.02</v>
      </c>
      <c r="X499" s="16" t="s">
        <v>89</v>
      </c>
      <c r="Z499" s="20" t="str">
        <f t="shared" si="125"/>
        <v>Ja</v>
      </c>
      <c r="AA499" s="19">
        <v>46066</v>
      </c>
      <c r="AC499" s="19"/>
      <c r="AE499" s="9">
        <f t="shared" si="115"/>
        <v>2026</v>
      </c>
      <c r="AF499" s="17" t="str">
        <f t="shared" si="116"/>
        <v>01.2026</v>
      </c>
      <c r="AG499" s="17" t="str">
        <f t="shared" si="117"/>
        <v>Christiane Fiebag</v>
      </c>
      <c r="AH499" s="17" t="str">
        <f>IFERROR(VLOOKUP(B499,[1]Kundenübersicht!$E$4:$F$85,2,FALSE),"")</f>
        <v>Ingeborg Müller</v>
      </c>
      <c r="AI499" s="17" t="str">
        <f t="shared" si="122"/>
        <v>Hauswirtschaft</v>
      </c>
      <c r="AJ499" s="17" t="str">
        <f t="shared" si="122"/>
        <v>Entlastungsleistung</v>
      </c>
      <c r="AL499" s="18">
        <f t="shared" si="111"/>
        <v>38</v>
      </c>
      <c r="AM499" s="18">
        <f t="shared" si="112"/>
        <v>57</v>
      </c>
      <c r="AN499" s="18">
        <f t="shared" si="113"/>
        <v>6.02</v>
      </c>
    </row>
    <row r="500" spans="2:40" x14ac:dyDescent="0.25">
      <c r="B500" s="30" t="s">
        <v>101</v>
      </c>
      <c r="C500" s="31">
        <v>46044</v>
      </c>
      <c r="D500" s="32">
        <v>0.66666666666666663</v>
      </c>
      <c r="E500" s="32">
        <v>0.70833333333333337</v>
      </c>
      <c r="F500" s="12">
        <f t="shared" si="109"/>
        <v>1.0000000000000018</v>
      </c>
      <c r="G500" s="12">
        <v>3</v>
      </c>
      <c r="H500" s="30" t="s">
        <v>102</v>
      </c>
      <c r="I500" s="30" t="s">
        <v>41</v>
      </c>
      <c r="J500" s="30" t="s">
        <v>28</v>
      </c>
      <c r="K500" s="9" t="str">
        <f>IFERROR(VLOOKUP($B500,[1]Kundenübersicht!$E$4:$AC$1003,MATCH(K$3,[1]Kundenübersicht!$E$3:$BA$3,FALSE),FALSE),"")</f>
        <v>AOK PLUS</v>
      </c>
      <c r="L500" s="13">
        <f>IFERROR(VLOOKUP(B500,[1]Kundenübersicht!$E$4:$AC$1003,MATCH(L$3,[1]Kundenübersicht!$E$3:$BA$3,FALSE),FALSE),"")</f>
        <v>107299005</v>
      </c>
      <c r="M500" s="13" t="str">
        <f>IFERROR(VLOOKUP(B500,[1]Kundenübersicht!$E$4:$AC$1003,MATCH(M$3,[1]Kundenübersicht!$E$3:$BA$3,FALSE),FALSE),"")</f>
        <v>L753069203</v>
      </c>
      <c r="N500" s="13" t="str">
        <f>IFERROR(VLOOKUP(B500,[1]Kundenübersicht!$E$4:$AC$1003,MATCH(N$3,[1]Kundenübersicht!$E$3:$BA$3,FALSE),FALSE),"")</f>
        <v>PG 3</v>
      </c>
      <c r="P500" s="9" t="s">
        <v>29</v>
      </c>
      <c r="R500" s="9" t="s">
        <v>30</v>
      </c>
      <c r="S500" s="14"/>
      <c r="U500" s="15">
        <f>IF(YEAR(C500)&lt;=2025,IFERROR(IF(I500="Hauswirtschaft",VLOOKUP($B500,[1]Kundenübersicht!$E$4:$BA$1003,MATCH("Hauswirtschaft [€/Stunde]",[1]Kundenübersicht!$E$3:$BA$3,FALSE),FALSE),VLOOKUP($B500,[1]Kundenübersicht!$E$4:$BA$1003,MATCH("Alltagsbegleitung [€/Stunde]",[1]Kundenübersicht!$E$3:$BA$3,FALSE),FALSE)),0),IFERROR(IF(I500="Hauswirtschaft",VLOOKUP($B500,[1]Kundenübersicht!$E$4:$BA$1003,MATCH("HW ab 2026 [€/Stunde]",[1]Kundenübersicht!$E$3:$BA$3,FALSE),FALSE),VLOOKUP($B500,[1]Kundenübersicht!$E$4:$BA$1003,MATCH("Alltagsbegleitung [€/Stunde]",[1]Kundenübersicht!$E$3:$BA$3,FALSE),FALSE)),0))</f>
        <v>42</v>
      </c>
      <c r="V500" s="16">
        <f t="shared" si="110"/>
        <v>42.000000000000071</v>
      </c>
      <c r="W500" s="16">
        <f t="shared" si="120"/>
        <v>1.0499999999999998</v>
      </c>
      <c r="X500" s="16" t="s">
        <v>89</v>
      </c>
      <c r="Z500" s="20" t="str">
        <f t="shared" si="125"/>
        <v>Ja</v>
      </c>
      <c r="AA500" s="19">
        <v>46066</v>
      </c>
      <c r="AC500" s="19"/>
      <c r="AE500" s="9">
        <f t="shared" si="115"/>
        <v>2026</v>
      </c>
      <c r="AF500" s="17" t="str">
        <f t="shared" si="116"/>
        <v>01.2026</v>
      </c>
      <c r="AG500" s="17" t="str">
        <f t="shared" si="117"/>
        <v>Monique Geitner</v>
      </c>
      <c r="AH500" s="17" t="str">
        <f>IFERROR(VLOOKUP(B500,[1]Kundenübersicht!$E$4:$F$85,2,FALSE),"")</f>
        <v>Linda Döring</v>
      </c>
      <c r="AI500" s="17" t="str">
        <f t="shared" si="122"/>
        <v>Alltagsbegleitung</v>
      </c>
      <c r="AJ500" s="17" t="str">
        <f t="shared" si="122"/>
        <v>Entlastungsleistung</v>
      </c>
      <c r="AL500" s="18">
        <f t="shared" si="111"/>
        <v>42</v>
      </c>
      <c r="AM500" s="18">
        <f t="shared" si="112"/>
        <v>42.000000000000071</v>
      </c>
      <c r="AN500" s="18">
        <f t="shared" si="113"/>
        <v>1.0499999999999998</v>
      </c>
    </row>
    <row r="501" spans="2:40" x14ac:dyDescent="0.25">
      <c r="B501" s="30" t="s">
        <v>101</v>
      </c>
      <c r="C501" s="31">
        <v>46052</v>
      </c>
      <c r="D501" s="32">
        <v>0.625</v>
      </c>
      <c r="E501" s="32">
        <v>0.66666666666666663</v>
      </c>
      <c r="F501" s="12">
        <f t="shared" si="109"/>
        <v>0.99999999999999911</v>
      </c>
      <c r="G501" s="12">
        <v>3</v>
      </c>
      <c r="H501" s="30" t="s">
        <v>102</v>
      </c>
      <c r="I501" s="30" t="s">
        <v>41</v>
      </c>
      <c r="J501" s="30" t="s">
        <v>28</v>
      </c>
      <c r="K501" s="9" t="str">
        <f>IFERROR(VLOOKUP($B501,[1]Kundenübersicht!$E$4:$AC$1003,MATCH(K$3,[1]Kundenübersicht!$E$3:$BA$3,FALSE),FALSE),"")</f>
        <v>AOK PLUS</v>
      </c>
      <c r="L501" s="13">
        <f>IFERROR(VLOOKUP(B501,[1]Kundenübersicht!$E$4:$AC$1003,MATCH(L$3,[1]Kundenübersicht!$E$3:$BA$3,FALSE),FALSE),"")</f>
        <v>107299005</v>
      </c>
      <c r="M501" s="13" t="str">
        <f>IFERROR(VLOOKUP(B501,[1]Kundenübersicht!$E$4:$AC$1003,MATCH(M$3,[1]Kundenübersicht!$E$3:$BA$3,FALSE),FALSE),"")</f>
        <v>L753069203</v>
      </c>
      <c r="N501" s="13" t="str">
        <f>IFERROR(VLOOKUP(B501,[1]Kundenübersicht!$E$4:$AC$1003,MATCH(N$3,[1]Kundenübersicht!$E$3:$BA$3,FALSE),FALSE),"")</f>
        <v>PG 3</v>
      </c>
      <c r="P501" s="9" t="s">
        <v>29</v>
      </c>
      <c r="R501" s="9" t="s">
        <v>30</v>
      </c>
      <c r="S501" s="14"/>
      <c r="U501" s="15">
        <f>IF(YEAR(C501)&lt;=2025,IFERROR(IF(I501="Hauswirtschaft",VLOOKUP($B501,[1]Kundenübersicht!$E$4:$BA$1003,MATCH("Hauswirtschaft [€/Stunde]",[1]Kundenübersicht!$E$3:$BA$3,FALSE),FALSE),VLOOKUP($B501,[1]Kundenübersicht!$E$4:$BA$1003,MATCH("Alltagsbegleitung [€/Stunde]",[1]Kundenübersicht!$E$3:$BA$3,FALSE),FALSE)),0),IFERROR(IF(I501="Hauswirtschaft",VLOOKUP($B501,[1]Kundenübersicht!$E$4:$BA$1003,MATCH("HW ab 2026 [€/Stunde]",[1]Kundenübersicht!$E$3:$BA$3,FALSE),FALSE),VLOOKUP($B501,[1]Kundenübersicht!$E$4:$BA$1003,MATCH("Alltagsbegleitung [€/Stunde]",[1]Kundenübersicht!$E$3:$BA$3,FALSE),FALSE)),0))</f>
        <v>42</v>
      </c>
      <c r="V501" s="16">
        <f t="shared" si="110"/>
        <v>41.999999999999964</v>
      </c>
      <c r="W501" s="16">
        <f t="shared" si="120"/>
        <v>1.0499999999999998</v>
      </c>
      <c r="X501" s="16" t="s">
        <v>89</v>
      </c>
      <c r="Z501" s="20" t="str">
        <f t="shared" si="125"/>
        <v>Ja</v>
      </c>
      <c r="AA501" s="19">
        <v>46066</v>
      </c>
      <c r="AC501" s="19"/>
      <c r="AE501" s="9">
        <f t="shared" si="115"/>
        <v>2026</v>
      </c>
      <c r="AF501" s="17" t="str">
        <f t="shared" si="116"/>
        <v>01.2026</v>
      </c>
      <c r="AG501" s="17" t="str">
        <f t="shared" si="117"/>
        <v>Monique Geitner</v>
      </c>
      <c r="AH501" s="17" t="str">
        <f>IFERROR(VLOOKUP(B501,[1]Kundenübersicht!$E$4:$F$85,2,FALSE),"")</f>
        <v>Linda Döring</v>
      </c>
      <c r="AI501" s="17" t="str">
        <f t="shared" si="122"/>
        <v>Alltagsbegleitung</v>
      </c>
      <c r="AJ501" s="17" t="str">
        <f t="shared" si="122"/>
        <v>Entlastungsleistung</v>
      </c>
      <c r="AL501" s="18">
        <f t="shared" si="111"/>
        <v>42</v>
      </c>
      <c r="AM501" s="18">
        <f t="shared" si="112"/>
        <v>41.999999999999964</v>
      </c>
      <c r="AN501" s="18">
        <f t="shared" si="113"/>
        <v>1.0499999999999998</v>
      </c>
    </row>
    <row r="502" spans="2:40" x14ac:dyDescent="0.25">
      <c r="B502" s="30" t="s">
        <v>62</v>
      </c>
      <c r="C502" s="31">
        <v>46036</v>
      </c>
      <c r="D502" s="32">
        <v>0.41666666666666669</v>
      </c>
      <c r="E502" s="32">
        <v>0.5</v>
      </c>
      <c r="F502" s="12">
        <f t="shared" si="109"/>
        <v>1.9999999999999996</v>
      </c>
      <c r="G502" s="12">
        <v>8.1999999999999993</v>
      </c>
      <c r="H502" s="30" t="s">
        <v>64</v>
      </c>
      <c r="I502" s="30" t="s">
        <v>27</v>
      </c>
      <c r="J502" s="30" t="s">
        <v>28</v>
      </c>
      <c r="K502" s="9" t="str">
        <f>IFERROR(VLOOKUP($B502,[1]Kundenübersicht!$E$4:$AC$1003,MATCH(K$3,[1]Kundenübersicht!$E$3:$BA$3,FALSE),FALSE),"")</f>
        <v>IKK Classic</v>
      </c>
      <c r="L502" s="13">
        <f>IFERROR(VLOOKUP(B502,[1]Kundenübersicht!$E$4:$AC$1003,MATCH(L$3,[1]Kundenübersicht!$E$3:$BA$3,FALSE),FALSE),"")</f>
        <v>187202793</v>
      </c>
      <c r="M502" s="13" t="str">
        <f>IFERROR(VLOOKUP(B502,[1]Kundenübersicht!$E$4:$AC$1003,MATCH(M$3,[1]Kundenübersicht!$E$3:$BA$3,FALSE),FALSE),"")</f>
        <v>D629015744</v>
      </c>
      <c r="N502" s="13" t="str">
        <f>IFERROR(VLOOKUP(B502,[1]Kundenübersicht!$E$4:$AC$1003,MATCH(N$3,[1]Kundenübersicht!$E$3:$BA$3,FALSE),FALSE),"")</f>
        <v>PG 2</v>
      </c>
      <c r="P502" s="9" t="s">
        <v>29</v>
      </c>
      <c r="R502" s="9" t="str">
        <f t="shared" ref="R502:R565" si="126">IF(S502="Link","Unterschrieben","Fehlt")</f>
        <v>Unterschrieben</v>
      </c>
      <c r="S502" s="14" t="s">
        <v>31</v>
      </c>
      <c r="U502" s="15">
        <f>IF(YEAR(C502)&lt;=2025,IFERROR(IF(I502="Hauswirtschaft",VLOOKUP($B502,[1]Kundenübersicht!$E$4:$BA$1003,MATCH("Hauswirtschaft [€/Stunde]",[1]Kundenübersicht!$E$3:$BA$3,FALSE),FALSE),VLOOKUP($B502,[1]Kundenübersicht!$E$4:$BA$1003,MATCH("Alltagsbegleitung [€/Stunde]",[1]Kundenübersicht!$E$3:$BA$3,FALSE),FALSE)),0),IFERROR(IF(I502="Hauswirtschaft",VLOOKUP($B502,[1]Kundenübersicht!$E$4:$BA$1003,MATCH("HW ab 2026 [€/Stunde]",[1]Kundenübersicht!$E$3:$BA$3,FALSE),FALSE),VLOOKUP($B502,[1]Kundenübersicht!$E$4:$BA$1003,MATCH("Alltagsbegleitung [€/Stunde]",[1]Kundenübersicht!$E$3:$BA$3,FALSE),FALSE)),0))</f>
        <v>38</v>
      </c>
      <c r="V502" s="16">
        <f t="shared" si="110"/>
        <v>75.999999999999986</v>
      </c>
      <c r="W502" s="16">
        <f t="shared" si="120"/>
        <v>2.8699999999999997</v>
      </c>
      <c r="X502" s="16" t="s">
        <v>89</v>
      </c>
      <c r="Z502" s="20" t="str">
        <f t="shared" si="125"/>
        <v>Ja</v>
      </c>
      <c r="AA502" s="19">
        <v>46077</v>
      </c>
      <c r="AC502" s="19"/>
      <c r="AE502" s="9">
        <f t="shared" si="115"/>
        <v>2026</v>
      </c>
      <c r="AF502" s="17" t="str">
        <f t="shared" si="116"/>
        <v>01.2026</v>
      </c>
      <c r="AG502" s="17" t="str">
        <f t="shared" si="117"/>
        <v>Ursula Ullmann</v>
      </c>
      <c r="AH502" s="17" t="str">
        <f>IFERROR(VLOOKUP(B502,[1]Kundenübersicht!$E$4:$F$85,2,FALSE),"")</f>
        <v>Hannelore Köhler</v>
      </c>
      <c r="AI502" s="17" t="str">
        <f t="shared" si="122"/>
        <v>Hauswirtschaft</v>
      </c>
      <c r="AJ502" s="17" t="str">
        <f t="shared" si="122"/>
        <v>Entlastungsleistung</v>
      </c>
      <c r="AL502" s="18">
        <f t="shared" si="111"/>
        <v>38</v>
      </c>
      <c r="AM502" s="18">
        <f t="shared" si="112"/>
        <v>75.999999999999986</v>
      </c>
      <c r="AN502" s="18">
        <f t="shared" si="113"/>
        <v>2.8699999999999997</v>
      </c>
    </row>
    <row r="503" spans="2:40" x14ac:dyDescent="0.25">
      <c r="B503" s="30" t="s">
        <v>62</v>
      </c>
      <c r="C503" s="31">
        <v>46050</v>
      </c>
      <c r="D503" s="32">
        <v>0.41666666666666669</v>
      </c>
      <c r="E503" s="32">
        <v>0.5</v>
      </c>
      <c r="F503" s="12">
        <f t="shared" si="109"/>
        <v>1.9999999999999996</v>
      </c>
      <c r="G503" s="12">
        <v>3.8</v>
      </c>
      <c r="H503" s="30" t="s">
        <v>64</v>
      </c>
      <c r="I503" s="30" t="s">
        <v>27</v>
      </c>
      <c r="J503" s="30" t="s">
        <v>28</v>
      </c>
      <c r="K503" s="9" t="str">
        <f>IFERROR(VLOOKUP($B503,[1]Kundenübersicht!$E$4:$AC$1003,MATCH(K$3,[1]Kundenübersicht!$E$3:$BA$3,FALSE),FALSE),"")</f>
        <v>IKK Classic</v>
      </c>
      <c r="L503" s="13">
        <f>IFERROR(VLOOKUP(B503,[1]Kundenübersicht!$E$4:$AC$1003,MATCH(L$3,[1]Kundenübersicht!$E$3:$BA$3,FALSE),FALSE),"")</f>
        <v>187202793</v>
      </c>
      <c r="M503" s="13" t="str">
        <f>IFERROR(VLOOKUP(B503,[1]Kundenübersicht!$E$4:$AC$1003,MATCH(M$3,[1]Kundenübersicht!$E$3:$BA$3,FALSE),FALSE),"")</f>
        <v>D629015744</v>
      </c>
      <c r="N503" s="13" t="str">
        <f>IFERROR(VLOOKUP(B503,[1]Kundenübersicht!$E$4:$AC$1003,MATCH(N$3,[1]Kundenübersicht!$E$3:$BA$3,FALSE),FALSE),"")</f>
        <v>PG 2</v>
      </c>
      <c r="P503" s="9" t="s">
        <v>29</v>
      </c>
      <c r="R503" s="9" t="str">
        <f t="shared" si="126"/>
        <v>Unterschrieben</v>
      </c>
      <c r="S503" s="14" t="s">
        <v>31</v>
      </c>
      <c r="U503" s="15">
        <f>IF(YEAR(C503)&lt;=2025,IFERROR(IF(I503="Hauswirtschaft",VLOOKUP($B503,[1]Kundenübersicht!$E$4:$BA$1003,MATCH("Hauswirtschaft [€/Stunde]",[1]Kundenübersicht!$E$3:$BA$3,FALSE),FALSE),VLOOKUP($B503,[1]Kundenübersicht!$E$4:$BA$1003,MATCH("Alltagsbegleitung [€/Stunde]",[1]Kundenübersicht!$E$3:$BA$3,FALSE),FALSE)),0),IFERROR(IF(I503="Hauswirtschaft",VLOOKUP($B503,[1]Kundenübersicht!$E$4:$BA$1003,MATCH("HW ab 2026 [€/Stunde]",[1]Kundenübersicht!$E$3:$BA$3,FALSE),FALSE),VLOOKUP($B503,[1]Kundenübersicht!$E$4:$BA$1003,MATCH("Alltagsbegleitung [€/Stunde]",[1]Kundenübersicht!$E$3:$BA$3,FALSE),FALSE)),0))</f>
        <v>38</v>
      </c>
      <c r="V503" s="16">
        <f t="shared" si="110"/>
        <v>75.999999999999986</v>
      </c>
      <c r="W503" s="16">
        <f t="shared" si="120"/>
        <v>1.3299999999999998</v>
      </c>
      <c r="X503" s="16" t="s">
        <v>89</v>
      </c>
      <c r="Z503" s="20" t="str">
        <f t="shared" si="125"/>
        <v>Ja</v>
      </c>
      <c r="AA503" s="19">
        <v>46077</v>
      </c>
      <c r="AC503" s="19"/>
      <c r="AE503" s="9">
        <f t="shared" si="115"/>
        <v>2026</v>
      </c>
      <c r="AF503" s="17" t="str">
        <f t="shared" si="116"/>
        <v>01.2026</v>
      </c>
      <c r="AG503" s="17" t="str">
        <f t="shared" si="117"/>
        <v>Ursula Ullmann</v>
      </c>
      <c r="AH503" s="17" t="str">
        <f>IFERROR(VLOOKUP(B503,[1]Kundenübersicht!$E$4:$F$85,2,FALSE),"")</f>
        <v>Hannelore Köhler</v>
      </c>
      <c r="AI503" s="17" t="str">
        <f t="shared" si="122"/>
        <v>Hauswirtschaft</v>
      </c>
      <c r="AJ503" s="17" t="str">
        <f t="shared" si="122"/>
        <v>Entlastungsleistung</v>
      </c>
      <c r="AL503" s="18">
        <f t="shared" si="111"/>
        <v>38</v>
      </c>
      <c r="AM503" s="18">
        <f t="shared" si="112"/>
        <v>75.999999999999986</v>
      </c>
      <c r="AN503" s="18">
        <f t="shared" si="113"/>
        <v>1.3299999999999998</v>
      </c>
    </row>
    <row r="504" spans="2:40" x14ac:dyDescent="0.25">
      <c r="B504" s="30" t="s">
        <v>60</v>
      </c>
      <c r="C504" s="31">
        <v>46029</v>
      </c>
      <c r="D504" s="32">
        <v>0.35416666666666669</v>
      </c>
      <c r="E504" s="32">
        <v>0.39583333333333331</v>
      </c>
      <c r="F504" s="12">
        <f t="shared" ref="F504:F567" si="127">(E504-D504)*24</f>
        <v>0.99999999999999911</v>
      </c>
      <c r="G504" s="12">
        <v>4.5</v>
      </c>
      <c r="H504" s="30" t="s">
        <v>64</v>
      </c>
      <c r="I504" s="30" t="s">
        <v>27</v>
      </c>
      <c r="J504" s="30" t="s">
        <v>28</v>
      </c>
      <c r="K504" s="9" t="str">
        <f>IFERROR(VLOOKUP($B504,[1]Kundenübersicht!$E$4:$AC$1003,MATCH(K$3,[1]Kundenübersicht!$E$3:$BA$3,FALSE),FALSE),"")</f>
        <v>Techniker Krankenkasse</v>
      </c>
      <c r="L504" s="13">
        <f>IFERROR(VLOOKUP(B504,[1]Kundenübersicht!$E$4:$AC$1003,MATCH(L$3,[1]Kundenübersicht!$E$3:$BA$3,FALSE),FALSE),"")</f>
        <v>101575519</v>
      </c>
      <c r="M504" s="13" t="str">
        <f>IFERROR(VLOOKUP(B504,[1]Kundenübersicht!$E$4:$AC$1003,MATCH(M$3,[1]Kundenübersicht!$E$3:$BA$3,FALSE),FALSE),"")</f>
        <v>O824144952</v>
      </c>
      <c r="N504" s="13" t="str">
        <f>IFERROR(VLOOKUP(B504,[1]Kundenübersicht!$E$4:$AC$1003,MATCH(N$3,[1]Kundenübersicht!$E$3:$BA$3,FALSE),FALSE),"")</f>
        <v>PG 2</v>
      </c>
      <c r="P504" s="9" t="s">
        <v>29</v>
      </c>
      <c r="R504" s="9" t="str">
        <f t="shared" si="126"/>
        <v>Unterschrieben</v>
      </c>
      <c r="S504" s="14" t="s">
        <v>31</v>
      </c>
      <c r="U504" s="15">
        <f>IF(YEAR(C504)&lt;=2025,IFERROR(IF(I504="Hauswirtschaft",VLOOKUP($B504,[1]Kundenübersicht!$E$4:$BA$1003,MATCH("Hauswirtschaft [€/Stunde]",[1]Kundenübersicht!$E$3:$BA$3,FALSE),FALSE),VLOOKUP($B504,[1]Kundenübersicht!$E$4:$BA$1003,MATCH("Alltagsbegleitung [€/Stunde]",[1]Kundenübersicht!$E$3:$BA$3,FALSE),FALSE)),0),IFERROR(IF(I504="Hauswirtschaft",VLOOKUP($B504,[1]Kundenübersicht!$E$4:$BA$1003,MATCH("HW ab 2026 [€/Stunde]",[1]Kundenübersicht!$E$3:$BA$3,FALSE),FALSE),VLOOKUP($B504,[1]Kundenübersicht!$E$4:$BA$1003,MATCH("Alltagsbegleitung [€/Stunde]",[1]Kundenübersicht!$E$3:$BA$3,FALSE),FALSE)),0))</f>
        <v>38</v>
      </c>
      <c r="V504" s="16">
        <f t="shared" ref="V504:V567" si="128">U504*F504</f>
        <v>37.999999999999964</v>
      </c>
      <c r="W504" s="16">
        <f t="shared" si="120"/>
        <v>1.575</v>
      </c>
      <c r="X504" s="16" t="s">
        <v>89</v>
      </c>
      <c r="Z504" s="20" t="str">
        <f t="shared" si="125"/>
        <v>Ja</v>
      </c>
      <c r="AA504" s="19">
        <v>46077</v>
      </c>
      <c r="AC504" s="19">
        <v>46085</v>
      </c>
      <c r="AE504" s="9">
        <f t="shared" si="115"/>
        <v>2026</v>
      </c>
      <c r="AF504" s="17" t="str">
        <f t="shared" si="116"/>
        <v>01.2026</v>
      </c>
      <c r="AG504" s="17" t="str">
        <f t="shared" si="117"/>
        <v>Ursula Ullmann</v>
      </c>
      <c r="AH504" s="17" t="str">
        <f>IFERROR(VLOOKUP(B504,[1]Kundenübersicht!$E$4:$F$85,2,FALSE),"")</f>
        <v>Ellenore Lein</v>
      </c>
      <c r="AI504" s="17" t="str">
        <f t="shared" si="122"/>
        <v>Hauswirtschaft</v>
      </c>
      <c r="AJ504" s="17" t="str">
        <f t="shared" si="122"/>
        <v>Entlastungsleistung</v>
      </c>
      <c r="AL504" s="18">
        <f t="shared" si="111"/>
        <v>38</v>
      </c>
      <c r="AM504" s="18">
        <f t="shared" si="112"/>
        <v>37.999999999999964</v>
      </c>
      <c r="AN504" s="18">
        <f t="shared" si="113"/>
        <v>1.575</v>
      </c>
    </row>
    <row r="505" spans="2:40" x14ac:dyDescent="0.25">
      <c r="B505" s="30" t="s">
        <v>60</v>
      </c>
      <c r="C505" s="31">
        <v>46036</v>
      </c>
      <c r="D505" s="32">
        <v>0.625</v>
      </c>
      <c r="E505" s="32">
        <v>0.66666666666666663</v>
      </c>
      <c r="F505" s="12">
        <f t="shared" si="127"/>
        <v>0.99999999999999911</v>
      </c>
      <c r="G505" s="12">
        <v>5</v>
      </c>
      <c r="H505" s="30" t="s">
        <v>64</v>
      </c>
      <c r="I505" s="30" t="s">
        <v>41</v>
      </c>
      <c r="J505" s="30" t="s">
        <v>28</v>
      </c>
      <c r="K505" s="9" t="str">
        <f>IFERROR(VLOOKUP($B505,[1]Kundenübersicht!$E$4:$AC$1003,MATCH(K$3,[1]Kundenübersicht!$E$3:$BA$3,FALSE),FALSE),"")</f>
        <v>Techniker Krankenkasse</v>
      </c>
      <c r="L505" s="13">
        <f>IFERROR(VLOOKUP(B505,[1]Kundenübersicht!$E$4:$AC$1003,MATCH(L$3,[1]Kundenübersicht!$E$3:$BA$3,FALSE),FALSE),"")</f>
        <v>101575519</v>
      </c>
      <c r="M505" s="13" t="str">
        <f>IFERROR(VLOOKUP(B505,[1]Kundenübersicht!$E$4:$AC$1003,MATCH(M$3,[1]Kundenübersicht!$E$3:$BA$3,FALSE),FALSE),"")</f>
        <v>O824144952</v>
      </c>
      <c r="N505" s="13" t="str">
        <f>IFERROR(VLOOKUP(B505,[1]Kundenübersicht!$E$4:$AC$1003,MATCH(N$3,[1]Kundenübersicht!$E$3:$BA$3,FALSE),FALSE),"")</f>
        <v>PG 2</v>
      </c>
      <c r="P505" s="9" t="s">
        <v>29</v>
      </c>
      <c r="R505" s="9" t="str">
        <f t="shared" si="126"/>
        <v>Unterschrieben</v>
      </c>
      <c r="S505" s="14" t="s">
        <v>31</v>
      </c>
      <c r="U505" s="15">
        <f>IF(YEAR(C505)&lt;=2025,IFERROR(IF(I505="Hauswirtschaft",VLOOKUP($B505,[1]Kundenübersicht!$E$4:$BA$1003,MATCH("Hauswirtschaft [€/Stunde]",[1]Kundenübersicht!$E$3:$BA$3,FALSE),FALSE),VLOOKUP($B505,[1]Kundenübersicht!$E$4:$BA$1003,MATCH("Alltagsbegleitung [€/Stunde]",[1]Kundenübersicht!$E$3:$BA$3,FALSE),FALSE)),0),IFERROR(IF(I505="Hauswirtschaft",VLOOKUP($B505,[1]Kundenübersicht!$E$4:$BA$1003,MATCH("HW ab 2026 [€/Stunde]",[1]Kundenübersicht!$E$3:$BA$3,FALSE),FALSE),VLOOKUP($B505,[1]Kundenübersicht!$E$4:$BA$1003,MATCH("Alltagsbegleitung [€/Stunde]",[1]Kundenübersicht!$E$3:$BA$3,FALSE),FALSE)),0))</f>
        <v>42</v>
      </c>
      <c r="V505" s="16">
        <f t="shared" si="128"/>
        <v>41.999999999999964</v>
      </c>
      <c r="W505" s="16">
        <f t="shared" si="120"/>
        <v>1.75</v>
      </c>
      <c r="X505" s="16" t="s">
        <v>89</v>
      </c>
      <c r="Z505" s="20" t="str">
        <f t="shared" si="125"/>
        <v>Ja</v>
      </c>
      <c r="AA505" s="19">
        <v>46077</v>
      </c>
      <c r="AC505" s="19">
        <v>46085</v>
      </c>
      <c r="AE505" s="9">
        <f t="shared" si="115"/>
        <v>2026</v>
      </c>
      <c r="AF505" s="17" t="str">
        <f t="shared" si="116"/>
        <v>01.2026</v>
      </c>
      <c r="AG505" s="17" t="str">
        <f t="shared" si="117"/>
        <v>Ursula Ullmann</v>
      </c>
      <c r="AH505" s="17" t="str">
        <f>IFERROR(VLOOKUP(B505,[1]Kundenübersicht!$E$4:$F$85,2,FALSE),"")</f>
        <v>Ellenore Lein</v>
      </c>
      <c r="AI505" s="17" t="str">
        <f t="shared" si="122"/>
        <v>Alltagsbegleitung</v>
      </c>
      <c r="AJ505" s="17" t="str">
        <f t="shared" si="122"/>
        <v>Entlastungsleistung</v>
      </c>
      <c r="AL505" s="18">
        <f t="shared" si="111"/>
        <v>42</v>
      </c>
      <c r="AM505" s="18">
        <f t="shared" si="112"/>
        <v>41.999999999999964</v>
      </c>
      <c r="AN505" s="18">
        <f t="shared" si="113"/>
        <v>1.75</v>
      </c>
    </row>
    <row r="506" spans="2:40" x14ac:dyDescent="0.25">
      <c r="B506" s="30" t="s">
        <v>60</v>
      </c>
      <c r="C506" s="31">
        <v>46043</v>
      </c>
      <c r="D506" s="32">
        <v>0.41666666666666669</v>
      </c>
      <c r="E506" s="32">
        <v>0.47916666666666669</v>
      </c>
      <c r="F506" s="12">
        <f t="shared" si="127"/>
        <v>1.5</v>
      </c>
      <c r="G506" s="12">
        <v>5.0999999999999996</v>
      </c>
      <c r="H506" s="30" t="s">
        <v>64</v>
      </c>
      <c r="I506" s="30" t="s">
        <v>27</v>
      </c>
      <c r="J506" s="30" t="s">
        <v>28</v>
      </c>
      <c r="K506" s="9" t="str">
        <f>IFERROR(VLOOKUP($B506,[1]Kundenübersicht!$E$4:$AC$1003,MATCH(K$3,[1]Kundenübersicht!$E$3:$BA$3,FALSE),FALSE),"")</f>
        <v>Techniker Krankenkasse</v>
      </c>
      <c r="L506" s="13">
        <f>IFERROR(VLOOKUP(B506,[1]Kundenübersicht!$E$4:$AC$1003,MATCH(L$3,[1]Kundenübersicht!$E$3:$BA$3,FALSE),FALSE),"")</f>
        <v>101575519</v>
      </c>
      <c r="M506" s="13" t="str">
        <f>IFERROR(VLOOKUP(B506,[1]Kundenübersicht!$E$4:$AC$1003,MATCH(M$3,[1]Kundenübersicht!$E$3:$BA$3,FALSE),FALSE),"")</f>
        <v>O824144952</v>
      </c>
      <c r="N506" s="13" t="str">
        <f>IFERROR(VLOOKUP(B506,[1]Kundenübersicht!$E$4:$AC$1003,MATCH(N$3,[1]Kundenübersicht!$E$3:$BA$3,FALSE),FALSE),"")</f>
        <v>PG 2</v>
      </c>
      <c r="P506" s="9" t="s">
        <v>29</v>
      </c>
      <c r="R506" s="9" t="str">
        <f t="shared" si="126"/>
        <v>Unterschrieben</v>
      </c>
      <c r="S506" s="14" t="s">
        <v>31</v>
      </c>
      <c r="U506" s="15">
        <f>IF(YEAR(C506)&lt;=2025,IFERROR(IF(I506="Hauswirtschaft",VLOOKUP($B506,[1]Kundenübersicht!$E$4:$BA$1003,MATCH("Hauswirtschaft [€/Stunde]",[1]Kundenübersicht!$E$3:$BA$3,FALSE),FALSE),VLOOKUP($B506,[1]Kundenübersicht!$E$4:$BA$1003,MATCH("Alltagsbegleitung [€/Stunde]",[1]Kundenübersicht!$E$3:$BA$3,FALSE),FALSE)),0),IFERROR(IF(I506="Hauswirtschaft",VLOOKUP($B506,[1]Kundenübersicht!$E$4:$BA$1003,MATCH("HW ab 2026 [€/Stunde]",[1]Kundenübersicht!$E$3:$BA$3,FALSE),FALSE),VLOOKUP($B506,[1]Kundenübersicht!$E$4:$BA$1003,MATCH("Alltagsbegleitung [€/Stunde]",[1]Kundenübersicht!$E$3:$BA$3,FALSE),FALSE)),0))</f>
        <v>38</v>
      </c>
      <c r="V506" s="16">
        <f t="shared" si="128"/>
        <v>57</v>
      </c>
      <c r="W506" s="16">
        <f t="shared" si="120"/>
        <v>1.7849999999999997</v>
      </c>
      <c r="X506" s="16" t="s">
        <v>89</v>
      </c>
      <c r="Z506" s="20" t="str">
        <f t="shared" si="125"/>
        <v>Ja</v>
      </c>
      <c r="AA506" s="19">
        <v>46077</v>
      </c>
      <c r="AC506" s="19">
        <v>46085</v>
      </c>
      <c r="AE506" s="9">
        <f t="shared" si="115"/>
        <v>2026</v>
      </c>
      <c r="AF506" s="17" t="str">
        <f t="shared" si="116"/>
        <v>01.2026</v>
      </c>
      <c r="AG506" s="17" t="str">
        <f t="shared" si="117"/>
        <v>Ursula Ullmann</v>
      </c>
      <c r="AH506" s="17" t="str">
        <f>IFERROR(VLOOKUP(B506,[1]Kundenübersicht!$E$4:$F$85,2,FALSE),"")</f>
        <v>Ellenore Lein</v>
      </c>
      <c r="AI506" s="17" t="str">
        <f t="shared" si="122"/>
        <v>Hauswirtschaft</v>
      </c>
      <c r="AJ506" s="17" t="str">
        <f t="shared" si="122"/>
        <v>Entlastungsleistung</v>
      </c>
      <c r="AL506" s="18">
        <f t="shared" si="111"/>
        <v>38</v>
      </c>
      <c r="AM506" s="18">
        <f t="shared" si="112"/>
        <v>57</v>
      </c>
      <c r="AN506" s="18">
        <f t="shared" si="113"/>
        <v>1.7849999999999997</v>
      </c>
    </row>
    <row r="507" spans="2:40" x14ac:dyDescent="0.25">
      <c r="B507" s="30" t="s">
        <v>60</v>
      </c>
      <c r="C507" s="31">
        <v>46050</v>
      </c>
      <c r="D507" s="32">
        <v>0.625</v>
      </c>
      <c r="E507" s="32">
        <v>0.66666666666666663</v>
      </c>
      <c r="F507" s="12">
        <f t="shared" si="127"/>
        <v>0.99999999999999911</v>
      </c>
      <c r="G507" s="12">
        <v>5</v>
      </c>
      <c r="H507" s="30" t="s">
        <v>64</v>
      </c>
      <c r="I507" s="30" t="s">
        <v>41</v>
      </c>
      <c r="J507" s="30" t="s">
        <v>28</v>
      </c>
      <c r="K507" s="9" t="str">
        <f>IFERROR(VLOOKUP($B507,[1]Kundenübersicht!$E$4:$AC$1003,MATCH(K$3,[1]Kundenübersicht!$E$3:$BA$3,FALSE),FALSE),"")</f>
        <v>Techniker Krankenkasse</v>
      </c>
      <c r="L507" s="13">
        <f>IFERROR(VLOOKUP(B507,[1]Kundenübersicht!$E$4:$AC$1003,MATCH(L$3,[1]Kundenübersicht!$E$3:$BA$3,FALSE),FALSE),"")</f>
        <v>101575519</v>
      </c>
      <c r="M507" s="13" t="str">
        <f>IFERROR(VLOOKUP(B507,[1]Kundenübersicht!$E$4:$AC$1003,MATCH(M$3,[1]Kundenübersicht!$E$3:$BA$3,FALSE),FALSE),"")</f>
        <v>O824144952</v>
      </c>
      <c r="N507" s="13" t="str">
        <f>IFERROR(VLOOKUP(B507,[1]Kundenübersicht!$E$4:$AC$1003,MATCH(N$3,[1]Kundenübersicht!$E$3:$BA$3,FALSE),FALSE),"")</f>
        <v>PG 2</v>
      </c>
      <c r="P507" s="9" t="s">
        <v>29</v>
      </c>
      <c r="R507" s="9" t="str">
        <f t="shared" si="126"/>
        <v>Unterschrieben</v>
      </c>
      <c r="S507" s="14" t="s">
        <v>31</v>
      </c>
      <c r="U507" s="15">
        <f>IF(YEAR(C507)&lt;=2025,IFERROR(IF(I507="Hauswirtschaft",VLOOKUP($B507,[1]Kundenübersicht!$E$4:$BA$1003,MATCH("Hauswirtschaft [€/Stunde]",[1]Kundenübersicht!$E$3:$BA$3,FALSE),FALSE),VLOOKUP($B507,[1]Kundenübersicht!$E$4:$BA$1003,MATCH("Alltagsbegleitung [€/Stunde]",[1]Kundenübersicht!$E$3:$BA$3,FALSE),FALSE)),0),IFERROR(IF(I507="Hauswirtschaft",VLOOKUP($B507,[1]Kundenübersicht!$E$4:$BA$1003,MATCH("HW ab 2026 [€/Stunde]",[1]Kundenübersicht!$E$3:$BA$3,FALSE),FALSE),VLOOKUP($B507,[1]Kundenübersicht!$E$4:$BA$1003,MATCH("Alltagsbegleitung [€/Stunde]",[1]Kundenübersicht!$E$3:$BA$3,FALSE),FALSE)),0))</f>
        <v>42</v>
      </c>
      <c r="V507" s="16">
        <f t="shared" si="128"/>
        <v>41.999999999999964</v>
      </c>
      <c r="W507" s="16">
        <f t="shared" si="120"/>
        <v>1.75</v>
      </c>
      <c r="X507" s="16" t="s">
        <v>89</v>
      </c>
      <c r="Z507" s="20" t="str">
        <f t="shared" si="125"/>
        <v>Ja</v>
      </c>
      <c r="AA507" s="19">
        <v>46077</v>
      </c>
      <c r="AC507" s="19">
        <v>46085</v>
      </c>
      <c r="AE507" s="9">
        <f t="shared" si="115"/>
        <v>2026</v>
      </c>
      <c r="AF507" s="17" t="str">
        <f t="shared" si="116"/>
        <v>01.2026</v>
      </c>
      <c r="AG507" s="17" t="str">
        <f t="shared" si="117"/>
        <v>Ursula Ullmann</v>
      </c>
      <c r="AH507" s="17" t="str">
        <f>IFERROR(VLOOKUP(B507,[1]Kundenübersicht!$E$4:$F$85,2,FALSE),"")</f>
        <v>Ellenore Lein</v>
      </c>
      <c r="AI507" s="17" t="str">
        <f t="shared" si="122"/>
        <v>Alltagsbegleitung</v>
      </c>
      <c r="AJ507" s="17" t="str">
        <f t="shared" si="122"/>
        <v>Entlastungsleistung</v>
      </c>
      <c r="AL507" s="18">
        <f t="shared" si="111"/>
        <v>42</v>
      </c>
      <c r="AM507" s="18">
        <f t="shared" si="112"/>
        <v>41.999999999999964</v>
      </c>
      <c r="AN507" s="18">
        <f t="shared" si="113"/>
        <v>1.75</v>
      </c>
    </row>
    <row r="508" spans="2:40" x14ac:dyDescent="0.25">
      <c r="B508" s="30" t="s">
        <v>103</v>
      </c>
      <c r="C508" s="31">
        <v>46049</v>
      </c>
      <c r="D508" s="32">
        <v>0.33333333333333331</v>
      </c>
      <c r="E508" s="32">
        <v>0.39583333333333331</v>
      </c>
      <c r="F508" s="12">
        <f t="shared" si="127"/>
        <v>1.5</v>
      </c>
      <c r="G508" s="12"/>
      <c r="H508" s="30" t="s">
        <v>64</v>
      </c>
      <c r="I508" s="30" t="s">
        <v>27</v>
      </c>
      <c r="J508" s="30" t="s">
        <v>28</v>
      </c>
      <c r="K508" s="9" t="str">
        <f>IFERROR(VLOOKUP($B508,[1]Kundenübersicht!$E$4:$AC$1003,MATCH(K$3,[1]Kundenübersicht!$E$3:$BA$3,FALSE),FALSE),"")</f>
        <v>IKK Classic</v>
      </c>
      <c r="L508" s="13">
        <f>IFERROR(VLOOKUP(B508,[1]Kundenübersicht!$E$4:$AC$1003,MATCH(L$3,[1]Kundenübersicht!$E$3:$BA$3,FALSE),FALSE),"")</f>
        <v>187202793</v>
      </c>
      <c r="M508" s="13" t="str">
        <f>IFERROR(VLOOKUP(B508,[1]Kundenübersicht!$E$4:$AC$1003,MATCH(M$3,[1]Kundenübersicht!$E$3:$BA$3,FALSE),FALSE),"")</f>
        <v>K561197109</v>
      </c>
      <c r="N508" s="13" t="str">
        <f>IFERROR(VLOOKUP(B508,[1]Kundenübersicht!$E$4:$AC$1003,MATCH(N$3,[1]Kundenübersicht!$E$3:$BA$3,FALSE),FALSE),"")</f>
        <v>PG 2</v>
      </c>
      <c r="P508" s="9" t="s">
        <v>29</v>
      </c>
      <c r="R508" s="9" t="str">
        <f t="shared" si="126"/>
        <v>Unterschrieben</v>
      </c>
      <c r="S508" s="14" t="s">
        <v>31</v>
      </c>
      <c r="U508" s="15">
        <f>IF(YEAR(C508)&lt;=2025,IFERROR(IF(I508="Hauswirtschaft",VLOOKUP($B508,[1]Kundenübersicht!$E$4:$BA$1003,MATCH("Hauswirtschaft [€/Stunde]",[1]Kundenübersicht!$E$3:$BA$3,FALSE),FALSE),VLOOKUP($B508,[1]Kundenübersicht!$E$4:$BA$1003,MATCH("Alltagsbegleitung [€/Stunde]",[1]Kundenübersicht!$E$3:$BA$3,FALSE),FALSE)),0),IFERROR(IF(I508="Hauswirtschaft",VLOOKUP($B508,[1]Kundenübersicht!$E$4:$BA$1003,MATCH("HW ab 2026 [€/Stunde]",[1]Kundenübersicht!$E$3:$BA$3,FALSE),FALSE),VLOOKUP($B508,[1]Kundenübersicht!$E$4:$BA$1003,MATCH("Alltagsbegleitung [€/Stunde]",[1]Kundenübersicht!$E$3:$BA$3,FALSE),FALSE)),0))</f>
        <v>38</v>
      </c>
      <c r="V508" s="16">
        <f t="shared" si="128"/>
        <v>57</v>
      </c>
      <c r="W508" s="16">
        <f t="shared" si="120"/>
        <v>0</v>
      </c>
      <c r="X508" s="16" t="s">
        <v>89</v>
      </c>
      <c r="Z508" s="20" t="str">
        <f t="shared" si="125"/>
        <v>Ja</v>
      </c>
      <c r="AA508" s="19">
        <v>46077</v>
      </c>
      <c r="AC508" s="19"/>
      <c r="AE508" s="9">
        <f t="shared" si="115"/>
        <v>2026</v>
      </c>
      <c r="AF508" s="17" t="str">
        <f t="shared" si="116"/>
        <v>01.2026</v>
      </c>
      <c r="AG508" s="17" t="str">
        <f t="shared" si="117"/>
        <v>Ursula Ullmann</v>
      </c>
      <c r="AH508" s="17" t="str">
        <f>IFERROR(VLOOKUP(B508,[1]Kundenübersicht!$E$4:$F$85,2,FALSE),"")</f>
        <v>Tom Fischer</v>
      </c>
      <c r="AI508" s="17" t="str">
        <f t="shared" si="122"/>
        <v>Hauswirtschaft</v>
      </c>
      <c r="AJ508" s="17" t="str">
        <f t="shared" si="122"/>
        <v>Entlastungsleistung</v>
      </c>
      <c r="AL508" s="18">
        <f t="shared" si="111"/>
        <v>38</v>
      </c>
      <c r="AM508" s="18">
        <f t="shared" si="112"/>
        <v>57</v>
      </c>
      <c r="AN508" s="18">
        <f t="shared" si="113"/>
        <v>0</v>
      </c>
    </row>
    <row r="509" spans="2:40" x14ac:dyDescent="0.25">
      <c r="B509" s="30" t="s">
        <v>68</v>
      </c>
      <c r="C509" s="31">
        <v>46027</v>
      </c>
      <c r="D509" s="32">
        <v>0.375</v>
      </c>
      <c r="E509" s="32">
        <v>0.4375</v>
      </c>
      <c r="F509" s="12">
        <f t="shared" si="127"/>
        <v>1.5</v>
      </c>
      <c r="G509" s="12">
        <v>4.3</v>
      </c>
      <c r="H509" s="30" t="s">
        <v>64</v>
      </c>
      <c r="I509" s="30" t="s">
        <v>27</v>
      </c>
      <c r="J509" s="30" t="s">
        <v>28</v>
      </c>
      <c r="K509" s="9" t="str">
        <f>IFERROR(VLOOKUP($B509,[1]Kundenübersicht!$E$4:$AC$1003,MATCH(K$3,[1]Kundenübersicht!$E$3:$BA$3,FALSE),FALSE),"")</f>
        <v>AOK PLUS</v>
      </c>
      <c r="L509" s="13">
        <f>IFERROR(VLOOKUP(B509,[1]Kundenübersicht!$E$4:$AC$1003,MATCH(L$3,[1]Kundenübersicht!$E$3:$BA$3,FALSE),FALSE),"")</f>
        <v>107299005</v>
      </c>
      <c r="M509" s="13" t="str">
        <f>IFERROR(VLOOKUP(B509,[1]Kundenübersicht!$E$4:$AC$1003,MATCH(M$3,[1]Kundenübersicht!$E$3:$BA$3,FALSE),FALSE),"")</f>
        <v>W183342294</v>
      </c>
      <c r="N509" s="13" t="str">
        <f>IFERROR(VLOOKUP(B509,[1]Kundenübersicht!$E$4:$AC$1003,MATCH(N$3,[1]Kundenübersicht!$E$3:$BA$3,FALSE),FALSE),"")</f>
        <v>PG 1</v>
      </c>
      <c r="P509" s="9" t="s">
        <v>29</v>
      </c>
      <c r="R509" s="9" t="str">
        <f t="shared" si="126"/>
        <v>Unterschrieben</v>
      </c>
      <c r="S509" s="14" t="s">
        <v>31</v>
      </c>
      <c r="U509" s="15">
        <f>IF(YEAR(C509)&lt;=2025,IFERROR(IF(I509="Hauswirtschaft",VLOOKUP($B509,[1]Kundenübersicht!$E$4:$BA$1003,MATCH("Hauswirtschaft [€/Stunde]",[1]Kundenübersicht!$E$3:$BA$3,FALSE),FALSE),VLOOKUP($B509,[1]Kundenübersicht!$E$4:$BA$1003,MATCH("Alltagsbegleitung [€/Stunde]",[1]Kundenübersicht!$E$3:$BA$3,FALSE),FALSE)),0),IFERROR(IF(I509="Hauswirtschaft",VLOOKUP($B509,[1]Kundenübersicht!$E$4:$BA$1003,MATCH("HW ab 2026 [€/Stunde]",[1]Kundenübersicht!$E$3:$BA$3,FALSE),FALSE),VLOOKUP($B509,[1]Kundenübersicht!$E$4:$BA$1003,MATCH("Alltagsbegleitung [€/Stunde]",[1]Kundenübersicht!$E$3:$BA$3,FALSE),FALSE)),0))</f>
        <v>38</v>
      </c>
      <c r="V509" s="16">
        <f t="shared" si="128"/>
        <v>57</v>
      </c>
      <c r="W509" s="16">
        <f t="shared" si="120"/>
        <v>1.5049999999999999</v>
      </c>
      <c r="X509" s="16" t="s">
        <v>89</v>
      </c>
      <c r="Z509" s="20" t="str">
        <f t="shared" ref="Z509:Z510" si="129">IF(AA509&lt;"","Ja","Nein")</f>
        <v>Ja</v>
      </c>
      <c r="AA509" s="19">
        <v>46077</v>
      </c>
      <c r="AC509" s="19"/>
      <c r="AE509" s="9">
        <f t="shared" si="115"/>
        <v>2026</v>
      </c>
      <c r="AF509" s="17" t="str">
        <f t="shared" si="116"/>
        <v>01.2026</v>
      </c>
      <c r="AG509" s="17" t="str">
        <f t="shared" si="117"/>
        <v>Ursula Ullmann</v>
      </c>
      <c r="AH509" s="17" t="str">
        <f>IFERROR(VLOOKUP(B509,[1]Kundenübersicht!$E$4:$F$85,2,FALSE),"")</f>
        <v>Jutta Seidel</v>
      </c>
      <c r="AI509" s="17" t="str">
        <f t="shared" si="122"/>
        <v>Hauswirtschaft</v>
      </c>
      <c r="AJ509" s="17" t="str">
        <f t="shared" si="122"/>
        <v>Entlastungsleistung</v>
      </c>
      <c r="AL509" s="18">
        <f t="shared" si="111"/>
        <v>38</v>
      </c>
      <c r="AM509" s="18">
        <f t="shared" si="112"/>
        <v>57</v>
      </c>
      <c r="AN509" s="18">
        <f t="shared" si="113"/>
        <v>1.5049999999999999</v>
      </c>
    </row>
    <row r="510" spans="2:40" x14ac:dyDescent="0.25">
      <c r="B510" s="30" t="s">
        <v>68</v>
      </c>
      <c r="C510" s="31">
        <v>46048</v>
      </c>
      <c r="D510" s="32">
        <v>0.66666666666666663</v>
      </c>
      <c r="E510" s="32">
        <v>0.72916666666666663</v>
      </c>
      <c r="F510" s="12">
        <f t="shared" si="127"/>
        <v>1.5</v>
      </c>
      <c r="G510" s="12">
        <v>5.4</v>
      </c>
      <c r="H510" s="30" t="s">
        <v>64</v>
      </c>
      <c r="I510" s="30" t="s">
        <v>27</v>
      </c>
      <c r="J510" s="30" t="s">
        <v>28</v>
      </c>
      <c r="K510" s="9" t="str">
        <f>IFERROR(VLOOKUP($B510,[1]Kundenübersicht!$E$4:$AC$1003,MATCH(K$3,[1]Kundenübersicht!$E$3:$BA$3,FALSE),FALSE),"")</f>
        <v>AOK PLUS</v>
      </c>
      <c r="L510" s="13">
        <f>IFERROR(VLOOKUP(B510,[1]Kundenübersicht!$E$4:$AC$1003,MATCH(L$3,[1]Kundenübersicht!$E$3:$BA$3,FALSE),FALSE),"")</f>
        <v>107299005</v>
      </c>
      <c r="M510" s="13" t="str">
        <f>IFERROR(VLOOKUP(B510,[1]Kundenübersicht!$E$4:$AC$1003,MATCH(M$3,[1]Kundenübersicht!$E$3:$BA$3,FALSE),FALSE),"")</f>
        <v>W183342294</v>
      </c>
      <c r="N510" s="13" t="str">
        <f>IFERROR(VLOOKUP(B510,[1]Kundenübersicht!$E$4:$AC$1003,MATCH(N$3,[1]Kundenübersicht!$E$3:$BA$3,FALSE),FALSE),"")</f>
        <v>PG 1</v>
      </c>
      <c r="P510" s="9" t="s">
        <v>29</v>
      </c>
      <c r="R510" s="9" t="str">
        <f t="shared" si="126"/>
        <v>Unterschrieben</v>
      </c>
      <c r="S510" s="14" t="s">
        <v>31</v>
      </c>
      <c r="U510" s="15">
        <f>IF(YEAR(C510)&lt;=2025,IFERROR(IF(I510="Hauswirtschaft",VLOOKUP($B510,[1]Kundenübersicht!$E$4:$BA$1003,MATCH("Hauswirtschaft [€/Stunde]",[1]Kundenübersicht!$E$3:$BA$3,FALSE),FALSE),VLOOKUP($B510,[1]Kundenübersicht!$E$4:$BA$1003,MATCH("Alltagsbegleitung [€/Stunde]",[1]Kundenübersicht!$E$3:$BA$3,FALSE),FALSE)),0),IFERROR(IF(I510="Hauswirtschaft",VLOOKUP($B510,[1]Kundenübersicht!$E$4:$BA$1003,MATCH("HW ab 2026 [€/Stunde]",[1]Kundenübersicht!$E$3:$BA$3,FALSE),FALSE),VLOOKUP($B510,[1]Kundenübersicht!$E$4:$BA$1003,MATCH("Alltagsbegleitung [€/Stunde]",[1]Kundenübersicht!$E$3:$BA$3,FALSE),FALSE)),0))</f>
        <v>38</v>
      </c>
      <c r="V510" s="16">
        <f t="shared" si="128"/>
        <v>57</v>
      </c>
      <c r="W510" s="16">
        <f t="shared" si="120"/>
        <v>1.89</v>
      </c>
      <c r="X510" s="16" t="s">
        <v>89</v>
      </c>
      <c r="Z510" s="20" t="str">
        <f t="shared" si="129"/>
        <v>Ja</v>
      </c>
      <c r="AA510" s="19">
        <v>46077</v>
      </c>
      <c r="AC510" s="19"/>
      <c r="AE510" s="9">
        <f t="shared" si="115"/>
        <v>2026</v>
      </c>
      <c r="AF510" s="17" t="str">
        <f t="shared" si="116"/>
        <v>01.2026</v>
      </c>
      <c r="AG510" s="17" t="str">
        <f t="shared" si="117"/>
        <v>Ursula Ullmann</v>
      </c>
      <c r="AH510" s="17" t="str">
        <f>IFERROR(VLOOKUP(B510,[1]Kundenübersicht!$E$4:$F$85,2,FALSE),"")</f>
        <v>Jutta Seidel</v>
      </c>
      <c r="AI510" s="17" t="str">
        <f t="shared" si="122"/>
        <v>Hauswirtschaft</v>
      </c>
      <c r="AJ510" s="17" t="str">
        <f t="shared" si="122"/>
        <v>Entlastungsleistung</v>
      </c>
      <c r="AL510" s="18">
        <f t="shared" si="111"/>
        <v>38</v>
      </c>
      <c r="AM510" s="18">
        <f t="shared" si="112"/>
        <v>57</v>
      </c>
      <c r="AN510" s="18">
        <f t="shared" si="113"/>
        <v>1.89</v>
      </c>
    </row>
    <row r="511" spans="2:40" x14ac:dyDescent="0.25">
      <c r="B511" s="30" t="s">
        <v>56</v>
      </c>
      <c r="C511" s="31">
        <v>46031</v>
      </c>
      <c r="D511" s="32">
        <v>0.41666666666666669</v>
      </c>
      <c r="E511" s="32">
        <v>0.5</v>
      </c>
      <c r="F511" s="12">
        <f t="shared" si="127"/>
        <v>1.9999999999999996</v>
      </c>
      <c r="G511" s="12">
        <v>7.5</v>
      </c>
      <c r="H511" s="30" t="s">
        <v>64</v>
      </c>
      <c r="I511" s="30" t="s">
        <v>27</v>
      </c>
      <c r="J511" s="30" t="s">
        <v>28</v>
      </c>
      <c r="K511" s="9" t="str">
        <f>IFERROR(VLOOKUP($B511,[1]Kundenübersicht!$E$4:$AC$1003,MATCH(K$3,[1]Kundenübersicht!$E$3:$BA$3,FALSE),FALSE),"")</f>
        <v>Barmer Pflegekasse</v>
      </c>
      <c r="L511" s="13">
        <f>IFERROR(VLOOKUP(B511,[1]Kundenübersicht!$E$4:$AC$1003,MATCH(L$3,[1]Kundenübersicht!$E$3:$BA$3,FALSE),FALSE),"")</f>
        <v>184940005</v>
      </c>
      <c r="M511" s="13" t="str">
        <f>IFERROR(VLOOKUP(B511,[1]Kundenübersicht!$E$4:$AC$1003,MATCH(M$3,[1]Kundenübersicht!$E$3:$BA$3,FALSE),FALSE),"")</f>
        <v>F006688944</v>
      </c>
      <c r="N511" s="13" t="str">
        <f>IFERROR(VLOOKUP(B511,[1]Kundenübersicht!$E$4:$AC$1003,MATCH(N$3,[1]Kundenübersicht!$E$3:$BA$3,FALSE),FALSE),"")</f>
        <v>PG 1</v>
      </c>
      <c r="P511" s="9" t="s">
        <v>29</v>
      </c>
      <c r="R511" s="9" t="str">
        <f t="shared" si="126"/>
        <v>Unterschrieben</v>
      </c>
      <c r="S511" s="14" t="s">
        <v>31</v>
      </c>
      <c r="U511" s="15">
        <f>IF(YEAR(C511)&lt;=2025,IFERROR(IF(I511="Hauswirtschaft",VLOOKUP($B511,[1]Kundenübersicht!$E$4:$BA$1003,MATCH("Hauswirtschaft [€/Stunde]",[1]Kundenübersicht!$E$3:$BA$3,FALSE),FALSE),VLOOKUP($B511,[1]Kundenübersicht!$E$4:$BA$1003,MATCH("Alltagsbegleitung [€/Stunde]",[1]Kundenübersicht!$E$3:$BA$3,FALSE),FALSE)),0),IFERROR(IF(I511="Hauswirtschaft",VLOOKUP($B511,[1]Kundenübersicht!$E$4:$BA$1003,MATCH("HW ab 2026 [€/Stunde]",[1]Kundenübersicht!$E$3:$BA$3,FALSE),FALSE),VLOOKUP($B511,[1]Kundenübersicht!$E$4:$BA$1003,MATCH("Alltagsbegleitung [€/Stunde]",[1]Kundenübersicht!$E$3:$BA$3,FALSE),FALSE)),0))</f>
        <v>38</v>
      </c>
      <c r="V511" s="16">
        <f t="shared" si="128"/>
        <v>75.999999999999986</v>
      </c>
      <c r="W511" s="16">
        <f t="shared" si="120"/>
        <v>2.625</v>
      </c>
      <c r="X511" s="16" t="s">
        <v>89</v>
      </c>
      <c r="Z511" s="20" t="str">
        <f t="shared" ref="Z511:Z512" si="130">IF(AA511="","Nein","Ja")</f>
        <v>Ja</v>
      </c>
      <c r="AA511" s="19">
        <v>46077</v>
      </c>
      <c r="AC511" s="19"/>
      <c r="AE511" s="9">
        <f t="shared" si="115"/>
        <v>2026</v>
      </c>
      <c r="AF511" s="17" t="str">
        <f t="shared" si="116"/>
        <v>01.2026</v>
      </c>
      <c r="AG511" s="17" t="str">
        <f t="shared" si="117"/>
        <v>Ursula Ullmann</v>
      </c>
      <c r="AH511" s="17" t="str">
        <f>IFERROR(VLOOKUP(B511,[1]Kundenübersicht!$E$4:$F$85,2,FALSE),"")</f>
        <v>Gudrun Hentschel</v>
      </c>
      <c r="AI511" s="17" t="str">
        <f t="shared" si="122"/>
        <v>Hauswirtschaft</v>
      </c>
      <c r="AJ511" s="17" t="str">
        <f t="shared" si="122"/>
        <v>Entlastungsleistung</v>
      </c>
      <c r="AL511" s="18">
        <f t="shared" si="111"/>
        <v>38</v>
      </c>
      <c r="AM511" s="18">
        <f t="shared" si="112"/>
        <v>75.999999999999986</v>
      </c>
      <c r="AN511" s="18">
        <f t="shared" si="113"/>
        <v>2.625</v>
      </c>
    </row>
    <row r="512" spans="2:40" x14ac:dyDescent="0.25">
      <c r="B512" s="30" t="s">
        <v>56</v>
      </c>
      <c r="C512" s="31">
        <v>46045</v>
      </c>
      <c r="D512" s="32">
        <v>0.41666666666666669</v>
      </c>
      <c r="E512" s="32">
        <v>0.5</v>
      </c>
      <c r="F512" s="12">
        <f t="shared" si="127"/>
        <v>1.9999999999999996</v>
      </c>
      <c r="G512" s="12">
        <v>3.4</v>
      </c>
      <c r="H512" s="30" t="s">
        <v>64</v>
      </c>
      <c r="I512" s="30" t="s">
        <v>27</v>
      </c>
      <c r="J512" s="30" t="s">
        <v>28</v>
      </c>
      <c r="K512" s="9" t="str">
        <f>IFERROR(VLOOKUP($B512,[1]Kundenübersicht!$E$4:$AC$1003,MATCH(K$3,[1]Kundenübersicht!$E$3:$BA$3,FALSE),FALSE),"")</f>
        <v>Barmer Pflegekasse</v>
      </c>
      <c r="L512" s="13">
        <f>IFERROR(VLOOKUP(B512,[1]Kundenübersicht!$E$4:$AC$1003,MATCH(L$3,[1]Kundenübersicht!$E$3:$BA$3,FALSE),FALSE),"")</f>
        <v>184940005</v>
      </c>
      <c r="M512" s="13" t="str">
        <f>IFERROR(VLOOKUP(B512,[1]Kundenübersicht!$E$4:$AC$1003,MATCH(M$3,[1]Kundenübersicht!$E$3:$BA$3,FALSE),FALSE),"")</f>
        <v>F006688944</v>
      </c>
      <c r="N512" s="13" t="str">
        <f>IFERROR(VLOOKUP(B512,[1]Kundenübersicht!$E$4:$AC$1003,MATCH(N$3,[1]Kundenübersicht!$E$3:$BA$3,FALSE),FALSE),"")</f>
        <v>PG 1</v>
      </c>
      <c r="P512" s="9" t="s">
        <v>29</v>
      </c>
      <c r="R512" s="9" t="str">
        <f t="shared" si="126"/>
        <v>Unterschrieben</v>
      </c>
      <c r="S512" s="14" t="s">
        <v>31</v>
      </c>
      <c r="U512" s="15">
        <f>IF(YEAR(C512)&lt;=2025,IFERROR(IF(I512="Hauswirtschaft",VLOOKUP($B512,[1]Kundenübersicht!$E$4:$BA$1003,MATCH("Hauswirtschaft [€/Stunde]",[1]Kundenübersicht!$E$3:$BA$3,FALSE),FALSE),VLOOKUP($B512,[1]Kundenübersicht!$E$4:$BA$1003,MATCH("Alltagsbegleitung [€/Stunde]",[1]Kundenübersicht!$E$3:$BA$3,FALSE),FALSE)),0),IFERROR(IF(I512="Hauswirtschaft",VLOOKUP($B512,[1]Kundenübersicht!$E$4:$BA$1003,MATCH("HW ab 2026 [€/Stunde]",[1]Kundenübersicht!$E$3:$BA$3,FALSE),FALSE),VLOOKUP($B512,[1]Kundenübersicht!$E$4:$BA$1003,MATCH("Alltagsbegleitung [€/Stunde]",[1]Kundenübersicht!$E$3:$BA$3,FALSE),FALSE)),0))</f>
        <v>38</v>
      </c>
      <c r="V512" s="16">
        <f t="shared" si="128"/>
        <v>75.999999999999986</v>
      </c>
      <c r="W512" s="16">
        <f t="shared" si="120"/>
        <v>1.19</v>
      </c>
      <c r="X512" s="16" t="s">
        <v>89</v>
      </c>
      <c r="Z512" s="20" t="str">
        <f t="shared" si="130"/>
        <v>Ja</v>
      </c>
      <c r="AA512" s="19">
        <v>46077</v>
      </c>
      <c r="AC512" s="19"/>
      <c r="AE512" s="9">
        <f t="shared" si="115"/>
        <v>2026</v>
      </c>
      <c r="AF512" s="17" t="str">
        <f t="shared" si="116"/>
        <v>01.2026</v>
      </c>
      <c r="AG512" s="17" t="str">
        <f t="shared" si="117"/>
        <v>Ursula Ullmann</v>
      </c>
      <c r="AH512" s="17" t="str">
        <f>IFERROR(VLOOKUP(B512,[1]Kundenübersicht!$E$4:$F$85,2,FALSE),"")</f>
        <v>Gudrun Hentschel</v>
      </c>
      <c r="AI512" s="17" t="str">
        <f t="shared" si="122"/>
        <v>Hauswirtschaft</v>
      </c>
      <c r="AJ512" s="17" t="str">
        <f t="shared" si="122"/>
        <v>Entlastungsleistung</v>
      </c>
      <c r="AL512" s="18">
        <f t="shared" si="111"/>
        <v>38</v>
      </c>
      <c r="AM512" s="18">
        <f t="shared" si="112"/>
        <v>75.999999999999986</v>
      </c>
      <c r="AN512" s="18">
        <f t="shared" si="113"/>
        <v>1.19</v>
      </c>
    </row>
    <row r="513" spans="2:40" x14ac:dyDescent="0.25">
      <c r="B513" s="30" t="s">
        <v>57</v>
      </c>
      <c r="C513" s="31">
        <v>46027</v>
      </c>
      <c r="D513" s="32">
        <v>0.45833333333333331</v>
      </c>
      <c r="E513" s="32">
        <v>0.52083333333333337</v>
      </c>
      <c r="F513" s="12">
        <f t="shared" si="127"/>
        <v>1.5000000000000013</v>
      </c>
      <c r="G513" s="12">
        <v>6.3</v>
      </c>
      <c r="H513" s="30" t="s">
        <v>64</v>
      </c>
      <c r="I513" s="30" t="s">
        <v>27</v>
      </c>
      <c r="J513" s="30" t="s">
        <v>28</v>
      </c>
      <c r="K513" s="9" t="str">
        <f>IFERROR(VLOOKUP($B513,[1]Kundenübersicht!$E$4:$AC$1003,MATCH(K$3,[1]Kundenübersicht!$E$3:$BA$3,FALSE),FALSE),"")</f>
        <v>AOK PLUS</v>
      </c>
      <c r="L513" s="13">
        <f>IFERROR(VLOOKUP(B513,[1]Kundenübersicht!$E$4:$AC$1003,MATCH(L$3,[1]Kundenübersicht!$E$3:$BA$3,FALSE),FALSE),"")</f>
        <v>107299005</v>
      </c>
      <c r="M513" s="13" t="str">
        <f>IFERROR(VLOOKUP(B513,[1]Kundenübersicht!$E$4:$AC$1003,MATCH(M$3,[1]Kundenübersicht!$E$3:$BA$3,FALSE),FALSE),"")</f>
        <v>N303904545</v>
      </c>
      <c r="N513" s="13" t="str">
        <f>IFERROR(VLOOKUP(B513,[1]Kundenübersicht!$E$4:$AC$1003,MATCH(N$3,[1]Kundenübersicht!$E$3:$BA$3,FALSE),FALSE),"")</f>
        <v>PG 1</v>
      </c>
      <c r="P513" s="9" t="s">
        <v>29</v>
      </c>
      <c r="R513" s="9" t="str">
        <f t="shared" si="126"/>
        <v>Unterschrieben</v>
      </c>
      <c r="S513" s="14" t="s">
        <v>31</v>
      </c>
      <c r="U513" s="15">
        <f>IF(YEAR(C513)&lt;=2025,IFERROR(IF(I513="Hauswirtschaft",VLOOKUP($B513,[1]Kundenübersicht!$E$4:$BA$1003,MATCH("Hauswirtschaft [€/Stunde]",[1]Kundenübersicht!$E$3:$BA$3,FALSE),FALSE),VLOOKUP($B513,[1]Kundenübersicht!$E$4:$BA$1003,MATCH("Alltagsbegleitung [€/Stunde]",[1]Kundenübersicht!$E$3:$BA$3,FALSE),FALSE)),0),IFERROR(IF(I513="Hauswirtschaft",VLOOKUP($B513,[1]Kundenübersicht!$E$4:$BA$1003,MATCH("HW ab 2026 [€/Stunde]",[1]Kundenübersicht!$E$3:$BA$3,FALSE),FALSE),VLOOKUP($B513,[1]Kundenübersicht!$E$4:$BA$1003,MATCH("Alltagsbegleitung [€/Stunde]",[1]Kundenübersicht!$E$3:$BA$3,FALSE),FALSE)),0))</f>
        <v>38</v>
      </c>
      <c r="V513" s="16">
        <f t="shared" si="128"/>
        <v>57.00000000000005</v>
      </c>
      <c r="W513" s="16">
        <f t="shared" si="120"/>
        <v>2.2049999999999996</v>
      </c>
      <c r="X513" s="16" t="s">
        <v>89</v>
      </c>
      <c r="Z513" s="20" t="str">
        <f t="shared" ref="Z513:Z515" si="131">IF(AA513&lt;"","Ja","Nein")</f>
        <v>Ja</v>
      </c>
      <c r="AA513" s="19">
        <v>46077</v>
      </c>
      <c r="AC513" s="19"/>
      <c r="AE513" s="9">
        <f t="shared" si="115"/>
        <v>2026</v>
      </c>
      <c r="AF513" s="17" t="str">
        <f t="shared" si="116"/>
        <v>01.2026</v>
      </c>
      <c r="AG513" s="17" t="str">
        <f t="shared" si="117"/>
        <v>Ursula Ullmann</v>
      </c>
      <c r="AH513" s="17" t="str">
        <f>IFERROR(VLOOKUP(B513,[1]Kundenübersicht!$E$4:$F$85,2,FALSE),"")</f>
        <v>Egon Bochmann</v>
      </c>
      <c r="AI513" s="17" t="str">
        <f t="shared" ref="AI513:AJ541" si="132">IF(I513="","",I513)</f>
        <v>Hauswirtschaft</v>
      </c>
      <c r="AJ513" s="17" t="str">
        <f t="shared" si="132"/>
        <v>Entlastungsleistung</v>
      </c>
      <c r="AL513" s="18">
        <f t="shared" ref="AL513:AL576" si="133">IF(I513="Hauswirtschaft",38,42)</f>
        <v>38</v>
      </c>
      <c r="AM513" s="18">
        <f t="shared" ref="AM513:AM576" si="134">AL513*F513</f>
        <v>57.00000000000005</v>
      </c>
      <c r="AN513" s="18">
        <f t="shared" ref="AN513:AN576" si="135">G513*0.35</f>
        <v>2.2049999999999996</v>
      </c>
    </row>
    <row r="514" spans="2:40" x14ac:dyDescent="0.25">
      <c r="B514" s="30" t="s">
        <v>57</v>
      </c>
      <c r="C514" s="31">
        <v>46041</v>
      </c>
      <c r="D514" s="32">
        <v>0.39583333333333331</v>
      </c>
      <c r="E514" s="32">
        <v>0.45833333333333331</v>
      </c>
      <c r="F514" s="12">
        <f t="shared" si="127"/>
        <v>1.5</v>
      </c>
      <c r="G514" s="12">
        <v>6.5</v>
      </c>
      <c r="H514" s="30" t="s">
        <v>64</v>
      </c>
      <c r="I514" s="30" t="s">
        <v>27</v>
      </c>
      <c r="J514" s="30" t="s">
        <v>28</v>
      </c>
      <c r="K514" s="9" t="str">
        <f>IFERROR(VLOOKUP($B514,[1]Kundenübersicht!$E$4:$AC$1003,MATCH(K$3,[1]Kundenübersicht!$E$3:$BA$3,FALSE),FALSE),"")</f>
        <v>AOK PLUS</v>
      </c>
      <c r="L514" s="13">
        <f>IFERROR(VLOOKUP(B514,[1]Kundenübersicht!$E$4:$AC$1003,MATCH(L$3,[1]Kundenübersicht!$E$3:$BA$3,FALSE),FALSE),"")</f>
        <v>107299005</v>
      </c>
      <c r="M514" s="13" t="str">
        <f>IFERROR(VLOOKUP(B514,[1]Kundenübersicht!$E$4:$AC$1003,MATCH(M$3,[1]Kundenübersicht!$E$3:$BA$3,FALSE),FALSE),"")</f>
        <v>N303904545</v>
      </c>
      <c r="N514" s="13" t="str">
        <f>IFERROR(VLOOKUP(B514,[1]Kundenübersicht!$E$4:$AC$1003,MATCH(N$3,[1]Kundenübersicht!$E$3:$BA$3,FALSE),FALSE),"")</f>
        <v>PG 1</v>
      </c>
      <c r="P514" s="9" t="s">
        <v>29</v>
      </c>
      <c r="R514" s="9" t="str">
        <f t="shared" si="126"/>
        <v>Unterschrieben</v>
      </c>
      <c r="S514" s="14" t="s">
        <v>31</v>
      </c>
      <c r="U514" s="15">
        <f>IF(YEAR(C514)&lt;=2025,IFERROR(IF(I514="Hauswirtschaft",VLOOKUP($B514,[1]Kundenübersicht!$E$4:$BA$1003,MATCH("Hauswirtschaft [€/Stunde]",[1]Kundenübersicht!$E$3:$BA$3,FALSE),FALSE),VLOOKUP($B514,[1]Kundenübersicht!$E$4:$BA$1003,MATCH("Alltagsbegleitung [€/Stunde]",[1]Kundenübersicht!$E$3:$BA$3,FALSE),FALSE)),0),IFERROR(IF(I514="Hauswirtschaft",VLOOKUP($B514,[1]Kundenübersicht!$E$4:$BA$1003,MATCH("HW ab 2026 [€/Stunde]",[1]Kundenübersicht!$E$3:$BA$3,FALSE),FALSE),VLOOKUP($B514,[1]Kundenübersicht!$E$4:$BA$1003,MATCH("Alltagsbegleitung [€/Stunde]",[1]Kundenübersicht!$E$3:$BA$3,FALSE),FALSE)),0))</f>
        <v>38</v>
      </c>
      <c r="V514" s="16">
        <f t="shared" si="128"/>
        <v>57</v>
      </c>
      <c r="W514" s="16">
        <f t="shared" si="120"/>
        <v>2.2749999999999999</v>
      </c>
      <c r="X514" s="16" t="s">
        <v>89</v>
      </c>
      <c r="Z514" s="20" t="str">
        <f t="shared" si="131"/>
        <v>Ja</v>
      </c>
      <c r="AA514" s="19">
        <v>46077</v>
      </c>
      <c r="AC514" s="19"/>
      <c r="AE514" s="9">
        <f t="shared" si="115"/>
        <v>2026</v>
      </c>
      <c r="AF514" s="17" t="str">
        <f t="shared" si="116"/>
        <v>01.2026</v>
      </c>
      <c r="AG514" s="17" t="str">
        <f t="shared" si="117"/>
        <v>Ursula Ullmann</v>
      </c>
      <c r="AH514" s="17" t="str">
        <f>IFERROR(VLOOKUP(B514,[1]Kundenübersicht!$E$4:$F$85,2,FALSE),"")</f>
        <v>Egon Bochmann</v>
      </c>
      <c r="AI514" s="17" t="str">
        <f t="shared" si="132"/>
        <v>Hauswirtschaft</v>
      </c>
      <c r="AJ514" s="17" t="str">
        <f t="shared" si="132"/>
        <v>Entlastungsleistung</v>
      </c>
      <c r="AL514" s="18">
        <f t="shared" si="133"/>
        <v>38</v>
      </c>
      <c r="AM514" s="18">
        <f t="shared" si="134"/>
        <v>57</v>
      </c>
      <c r="AN514" s="18">
        <f t="shared" si="135"/>
        <v>2.2749999999999999</v>
      </c>
    </row>
    <row r="515" spans="2:40" x14ac:dyDescent="0.25">
      <c r="B515" s="30" t="s">
        <v>104</v>
      </c>
      <c r="C515" s="31">
        <v>46048</v>
      </c>
      <c r="D515" s="32">
        <v>0.39583333333333331</v>
      </c>
      <c r="E515" s="32">
        <v>0.45833333333333331</v>
      </c>
      <c r="F515" s="12">
        <f t="shared" si="127"/>
        <v>1.5</v>
      </c>
      <c r="G515" s="12">
        <v>10.1</v>
      </c>
      <c r="H515" s="30" t="s">
        <v>64</v>
      </c>
      <c r="I515" s="30" t="s">
        <v>27</v>
      </c>
      <c r="J515" s="30" t="s">
        <v>28</v>
      </c>
      <c r="K515" s="9" t="str">
        <f>IFERROR(VLOOKUP($B515,[1]Kundenübersicht!$E$4:$AC$1003,MATCH(K$3,[1]Kundenübersicht!$E$3:$BA$3,FALSE),FALSE),"")</f>
        <v>AOK PLUS</v>
      </c>
      <c r="L515" s="13">
        <f>IFERROR(VLOOKUP(B515,[1]Kundenübersicht!$E$4:$AC$1003,MATCH(L$3,[1]Kundenübersicht!$E$3:$BA$3,FALSE),FALSE),"")</f>
        <v>107299005</v>
      </c>
      <c r="M515" s="13" t="str">
        <f>IFERROR(VLOOKUP(B515,[1]Kundenübersicht!$E$4:$AC$1003,MATCH(M$3,[1]Kundenübersicht!$E$3:$BA$3,FALSE),FALSE),"")</f>
        <v>X467412211</v>
      </c>
      <c r="N515" s="13" t="str">
        <f>IFERROR(VLOOKUP(B515,[1]Kundenübersicht!$E$4:$AC$1003,MATCH(N$3,[1]Kundenübersicht!$E$3:$BA$3,FALSE),FALSE),"")</f>
        <v>PG 2</v>
      </c>
      <c r="P515" s="9" t="s">
        <v>29</v>
      </c>
      <c r="R515" s="9" t="str">
        <f t="shared" si="126"/>
        <v>Unterschrieben</v>
      </c>
      <c r="S515" s="14" t="s">
        <v>31</v>
      </c>
      <c r="U515" s="15">
        <f>IF(YEAR(C515)&lt;=2025,IFERROR(IF(I515="Hauswirtschaft",VLOOKUP($B515,[1]Kundenübersicht!$E$4:$BA$1003,MATCH("Hauswirtschaft [€/Stunde]",[1]Kundenübersicht!$E$3:$BA$3,FALSE),FALSE),VLOOKUP($B515,[1]Kundenübersicht!$E$4:$BA$1003,MATCH("Alltagsbegleitung [€/Stunde]",[1]Kundenübersicht!$E$3:$BA$3,FALSE),FALSE)),0),IFERROR(IF(I515="Hauswirtschaft",VLOOKUP($B515,[1]Kundenübersicht!$E$4:$BA$1003,MATCH("HW ab 2026 [€/Stunde]",[1]Kundenübersicht!$E$3:$BA$3,FALSE),FALSE),VLOOKUP($B515,[1]Kundenübersicht!$E$4:$BA$1003,MATCH("Alltagsbegleitung [€/Stunde]",[1]Kundenübersicht!$E$3:$BA$3,FALSE),FALSE)),0))</f>
        <v>38</v>
      </c>
      <c r="V515" s="16">
        <f t="shared" si="128"/>
        <v>57</v>
      </c>
      <c r="W515" s="16">
        <f t="shared" si="120"/>
        <v>3.5349999999999997</v>
      </c>
      <c r="X515" s="16" t="s">
        <v>89</v>
      </c>
      <c r="Z515" s="20" t="str">
        <f t="shared" si="131"/>
        <v>Ja</v>
      </c>
      <c r="AA515" s="19">
        <v>46077</v>
      </c>
      <c r="AC515" s="19"/>
      <c r="AE515" s="9">
        <f t="shared" si="115"/>
        <v>2026</v>
      </c>
      <c r="AF515" s="17" t="str">
        <f t="shared" si="116"/>
        <v>01.2026</v>
      </c>
      <c r="AG515" s="17" t="str">
        <f t="shared" si="117"/>
        <v>Ursula Ullmann</v>
      </c>
      <c r="AH515" s="17" t="str">
        <f>IFERROR(VLOOKUP(B515,[1]Kundenübersicht!$E$4:$F$85,2,FALSE),"")</f>
        <v>Helga Bochmann</v>
      </c>
      <c r="AI515" s="17" t="str">
        <f t="shared" si="132"/>
        <v>Hauswirtschaft</v>
      </c>
      <c r="AJ515" s="17" t="str">
        <f t="shared" si="132"/>
        <v>Entlastungsleistung</v>
      </c>
      <c r="AL515" s="18">
        <f t="shared" si="133"/>
        <v>38</v>
      </c>
      <c r="AM515" s="18">
        <f t="shared" si="134"/>
        <v>57</v>
      </c>
      <c r="AN515" s="18">
        <f t="shared" si="135"/>
        <v>3.5349999999999997</v>
      </c>
    </row>
    <row r="516" spans="2:40" x14ac:dyDescent="0.25">
      <c r="B516" s="30" t="s">
        <v>65</v>
      </c>
      <c r="C516" s="31">
        <v>46034</v>
      </c>
      <c r="D516" s="32">
        <v>0.48958333333333331</v>
      </c>
      <c r="E516" s="32">
        <v>0.55208333333333337</v>
      </c>
      <c r="F516" s="12">
        <f t="shared" si="127"/>
        <v>1.5000000000000013</v>
      </c>
      <c r="G516" s="12">
        <v>7.2</v>
      </c>
      <c r="H516" s="30" t="s">
        <v>64</v>
      </c>
      <c r="I516" s="30" t="s">
        <v>27</v>
      </c>
      <c r="J516" s="30" t="s">
        <v>28</v>
      </c>
      <c r="K516" s="9" t="str">
        <f>IFERROR(VLOOKUP($B516,[1]Kundenübersicht!$E$4:$AC$1003,MATCH(K$3,[1]Kundenübersicht!$E$3:$BA$3,FALSE),FALSE),"")</f>
        <v>IKK Südwest</v>
      </c>
      <c r="L516" s="13">
        <f>IFERROR(VLOOKUP(B516,[1]Kundenübersicht!$E$4:$AC$1003,MATCH(L$3,[1]Kundenübersicht!$E$3:$BA$3,FALSE),FALSE),"")</f>
        <v>109303301</v>
      </c>
      <c r="M516" s="13" t="str">
        <f>IFERROR(VLOOKUP(B516,[1]Kundenübersicht!$E$4:$AC$1003,MATCH(M$3,[1]Kundenübersicht!$E$3:$BA$3,FALSE),FALSE),"")</f>
        <v>Y341093341</v>
      </c>
      <c r="N516" s="13" t="str">
        <f>IFERROR(VLOOKUP(B516,[1]Kundenübersicht!$E$4:$AC$1003,MATCH(N$3,[1]Kundenübersicht!$E$3:$BA$3,FALSE),FALSE),"")</f>
        <v>PG 1</v>
      </c>
      <c r="P516" s="9" t="s">
        <v>29</v>
      </c>
      <c r="R516" s="9" t="str">
        <f t="shared" si="126"/>
        <v>Unterschrieben</v>
      </c>
      <c r="S516" s="14" t="s">
        <v>31</v>
      </c>
      <c r="U516" s="15">
        <f>IF(YEAR(C516)&lt;=2025,IFERROR(IF(I516="Hauswirtschaft",VLOOKUP($B516,[1]Kundenübersicht!$E$4:$BA$1003,MATCH("Hauswirtschaft [€/Stunde]",[1]Kundenübersicht!$E$3:$BA$3,FALSE),FALSE),VLOOKUP($B516,[1]Kundenübersicht!$E$4:$BA$1003,MATCH("Alltagsbegleitung [€/Stunde]",[1]Kundenübersicht!$E$3:$BA$3,FALSE),FALSE)),0),IFERROR(IF(I516="Hauswirtschaft",VLOOKUP($B516,[1]Kundenübersicht!$E$4:$BA$1003,MATCH("HW ab 2026 [€/Stunde]",[1]Kundenübersicht!$E$3:$BA$3,FALSE),FALSE),VLOOKUP($B516,[1]Kundenübersicht!$E$4:$BA$1003,MATCH("Alltagsbegleitung [€/Stunde]",[1]Kundenübersicht!$E$3:$BA$3,FALSE),FALSE)),0))</f>
        <v>38</v>
      </c>
      <c r="V516" s="16">
        <f t="shared" si="128"/>
        <v>57.00000000000005</v>
      </c>
      <c r="W516" s="16">
        <f t="shared" si="120"/>
        <v>2.52</v>
      </c>
      <c r="X516" s="16" t="s">
        <v>89</v>
      </c>
      <c r="Z516" s="20" t="str">
        <f t="shared" si="125"/>
        <v>Ja</v>
      </c>
      <c r="AA516" s="19">
        <v>45720</v>
      </c>
      <c r="AC516" s="19"/>
      <c r="AE516" s="9">
        <f t="shared" si="115"/>
        <v>2026</v>
      </c>
      <c r="AF516" s="17" t="str">
        <f t="shared" si="116"/>
        <v>01.2026</v>
      </c>
      <c r="AG516" s="17" t="str">
        <f t="shared" si="117"/>
        <v>Ursula Ullmann</v>
      </c>
      <c r="AH516" s="17" t="str">
        <f>IFERROR(VLOOKUP(B516,[1]Kundenübersicht!$E$4:$F$85,2,FALSE),"")</f>
        <v>Beate Konradt</v>
      </c>
      <c r="AI516" s="17" t="str">
        <f t="shared" si="132"/>
        <v>Hauswirtschaft</v>
      </c>
      <c r="AJ516" s="17" t="str">
        <f t="shared" si="132"/>
        <v>Entlastungsleistung</v>
      </c>
      <c r="AL516" s="18">
        <f t="shared" si="133"/>
        <v>38</v>
      </c>
      <c r="AM516" s="18">
        <f t="shared" si="134"/>
        <v>57.00000000000005</v>
      </c>
      <c r="AN516" s="18">
        <f t="shared" si="135"/>
        <v>2.52</v>
      </c>
    </row>
    <row r="517" spans="2:40" x14ac:dyDescent="0.25">
      <c r="B517" s="30" t="s">
        <v>65</v>
      </c>
      <c r="C517" s="31">
        <v>46052</v>
      </c>
      <c r="D517" s="32">
        <v>0.52083333333333337</v>
      </c>
      <c r="E517" s="32">
        <v>0.58333333333333337</v>
      </c>
      <c r="F517" s="12">
        <f t="shared" si="127"/>
        <v>1.5</v>
      </c>
      <c r="G517" s="12">
        <v>7.4</v>
      </c>
      <c r="H517" s="30" t="s">
        <v>64</v>
      </c>
      <c r="I517" s="30" t="s">
        <v>27</v>
      </c>
      <c r="J517" s="30" t="s">
        <v>28</v>
      </c>
      <c r="K517" s="9" t="str">
        <f>IFERROR(VLOOKUP($B517,[1]Kundenübersicht!$E$4:$AC$1003,MATCH(K$3,[1]Kundenübersicht!$E$3:$BA$3,FALSE),FALSE),"")</f>
        <v>IKK Südwest</v>
      </c>
      <c r="L517" s="13">
        <f>IFERROR(VLOOKUP(B517,[1]Kundenübersicht!$E$4:$AC$1003,MATCH(L$3,[1]Kundenübersicht!$E$3:$BA$3,FALSE),FALSE),"")</f>
        <v>109303301</v>
      </c>
      <c r="M517" s="13" t="str">
        <f>IFERROR(VLOOKUP(B517,[1]Kundenübersicht!$E$4:$AC$1003,MATCH(M$3,[1]Kundenübersicht!$E$3:$BA$3,FALSE),FALSE),"")</f>
        <v>Y341093341</v>
      </c>
      <c r="N517" s="13" t="str">
        <f>IFERROR(VLOOKUP(B517,[1]Kundenübersicht!$E$4:$AC$1003,MATCH(N$3,[1]Kundenübersicht!$E$3:$BA$3,FALSE),FALSE),"")</f>
        <v>PG 1</v>
      </c>
      <c r="P517" s="9" t="s">
        <v>29</v>
      </c>
      <c r="R517" s="9" t="str">
        <f t="shared" si="126"/>
        <v>Unterschrieben</v>
      </c>
      <c r="S517" s="14" t="s">
        <v>31</v>
      </c>
      <c r="U517" s="15">
        <f>IF(YEAR(C517)&lt;=2025,IFERROR(IF(I517="Hauswirtschaft",VLOOKUP($B517,[1]Kundenübersicht!$E$4:$BA$1003,MATCH("Hauswirtschaft [€/Stunde]",[1]Kundenübersicht!$E$3:$BA$3,FALSE),FALSE),VLOOKUP($B517,[1]Kundenübersicht!$E$4:$BA$1003,MATCH("Alltagsbegleitung [€/Stunde]",[1]Kundenübersicht!$E$3:$BA$3,FALSE),FALSE)),0),IFERROR(IF(I517="Hauswirtschaft",VLOOKUP($B517,[1]Kundenübersicht!$E$4:$BA$1003,MATCH("HW ab 2026 [€/Stunde]",[1]Kundenübersicht!$E$3:$BA$3,FALSE),FALSE),VLOOKUP($B517,[1]Kundenübersicht!$E$4:$BA$1003,MATCH("Alltagsbegleitung [€/Stunde]",[1]Kundenübersicht!$E$3:$BA$3,FALSE),FALSE)),0))</f>
        <v>38</v>
      </c>
      <c r="V517" s="16">
        <f t="shared" si="128"/>
        <v>57</v>
      </c>
      <c r="W517" s="16">
        <f t="shared" si="120"/>
        <v>2.59</v>
      </c>
      <c r="X517" s="16" t="s">
        <v>89</v>
      </c>
      <c r="Z517" s="20" t="str">
        <f t="shared" si="125"/>
        <v>Ja</v>
      </c>
      <c r="AA517" s="19">
        <v>45720</v>
      </c>
      <c r="AC517" s="19"/>
      <c r="AE517" s="9">
        <f t="shared" si="115"/>
        <v>2026</v>
      </c>
      <c r="AF517" s="17" t="str">
        <f t="shared" si="116"/>
        <v>01.2026</v>
      </c>
      <c r="AG517" s="17" t="str">
        <f t="shared" si="117"/>
        <v>Ursula Ullmann</v>
      </c>
      <c r="AH517" s="17" t="str">
        <f>IFERROR(VLOOKUP(B517,[1]Kundenübersicht!$E$4:$F$85,2,FALSE),"")</f>
        <v>Beate Konradt</v>
      </c>
      <c r="AI517" s="17" t="str">
        <f t="shared" si="132"/>
        <v>Hauswirtschaft</v>
      </c>
      <c r="AJ517" s="17" t="str">
        <f t="shared" si="132"/>
        <v>Entlastungsleistung</v>
      </c>
      <c r="AL517" s="18">
        <f t="shared" si="133"/>
        <v>38</v>
      </c>
      <c r="AM517" s="18">
        <f t="shared" si="134"/>
        <v>57</v>
      </c>
      <c r="AN517" s="18">
        <f t="shared" si="135"/>
        <v>2.59</v>
      </c>
    </row>
    <row r="518" spans="2:40" x14ac:dyDescent="0.25">
      <c r="B518" s="30" t="s">
        <v>66</v>
      </c>
      <c r="C518" s="31">
        <v>46038</v>
      </c>
      <c r="D518" s="32">
        <v>0.41666666666666669</v>
      </c>
      <c r="E518" s="32">
        <v>0.45833333333333331</v>
      </c>
      <c r="F518" s="12">
        <f t="shared" si="127"/>
        <v>0.99999999999999911</v>
      </c>
      <c r="G518" s="12">
        <v>3.8</v>
      </c>
      <c r="H518" s="30" t="s">
        <v>64</v>
      </c>
      <c r="I518" s="30" t="s">
        <v>27</v>
      </c>
      <c r="J518" s="30" t="s">
        <v>28</v>
      </c>
      <c r="K518" s="9" t="str">
        <f>IFERROR(VLOOKUP($B518,[1]Kundenübersicht!$E$4:$AC$1003,MATCH(K$3,[1]Kundenübersicht!$E$3:$BA$3,FALSE),FALSE),"")</f>
        <v>KNAPPSCHAFT</v>
      </c>
      <c r="L518" s="13">
        <f>IFERROR(VLOOKUP(B518,[1]Kundenübersicht!$E$4:$AC$1003,MATCH(L$3,[1]Kundenübersicht!$E$3:$BA$3,FALSE),FALSE),"")</f>
        <v>109990508</v>
      </c>
      <c r="M518" s="13" t="str">
        <f>IFERROR(VLOOKUP(B518,[1]Kundenübersicht!$E$4:$AC$1003,MATCH(M$3,[1]Kundenübersicht!$E$3:$BA$3,FALSE),FALSE),"")</f>
        <v>F167156079</v>
      </c>
      <c r="N518" s="13" t="str">
        <f>IFERROR(VLOOKUP(B518,[1]Kundenübersicht!$E$4:$AC$1003,MATCH(N$3,[1]Kundenübersicht!$E$3:$BA$3,FALSE),FALSE),"")</f>
        <v>PG 2</v>
      </c>
      <c r="P518" s="9" t="s">
        <v>29</v>
      </c>
      <c r="R518" s="9" t="str">
        <f t="shared" si="126"/>
        <v>Unterschrieben</v>
      </c>
      <c r="S518" s="14" t="s">
        <v>31</v>
      </c>
      <c r="U518" s="15">
        <f>IF(YEAR(C518)&lt;=2025,IFERROR(IF(I518="Hauswirtschaft",VLOOKUP($B518,[1]Kundenübersicht!$E$4:$BA$1003,MATCH("Hauswirtschaft [€/Stunde]",[1]Kundenübersicht!$E$3:$BA$3,FALSE),FALSE),VLOOKUP($B518,[1]Kundenübersicht!$E$4:$BA$1003,MATCH("Alltagsbegleitung [€/Stunde]",[1]Kundenübersicht!$E$3:$BA$3,FALSE),FALSE)),0),IFERROR(IF(I518="Hauswirtschaft",VLOOKUP($B518,[1]Kundenübersicht!$E$4:$BA$1003,MATCH("HW ab 2026 [€/Stunde]",[1]Kundenübersicht!$E$3:$BA$3,FALSE),FALSE),VLOOKUP($B518,[1]Kundenübersicht!$E$4:$BA$1003,MATCH("Alltagsbegleitung [€/Stunde]",[1]Kundenübersicht!$E$3:$BA$3,FALSE),FALSE)),0))</f>
        <v>38</v>
      </c>
      <c r="V518" s="16">
        <f t="shared" si="128"/>
        <v>37.999999999999964</v>
      </c>
      <c r="W518" s="16">
        <f t="shared" si="120"/>
        <v>1.3299999999999998</v>
      </c>
      <c r="X518" s="16" t="s">
        <v>89</v>
      </c>
      <c r="Z518" s="20" t="str">
        <f t="shared" si="125"/>
        <v>Ja</v>
      </c>
      <c r="AA518" s="19">
        <v>46077</v>
      </c>
      <c r="AC518" s="19"/>
      <c r="AE518" s="9">
        <f t="shared" ref="AE518:AE581" si="136">YEAR(C518)</f>
        <v>2026</v>
      </c>
      <c r="AF518" s="17" t="str">
        <f t="shared" ref="AF518:AF581" si="137">IF(MONTH(C518)&lt;=9,"0"&amp;MONTH(C518)&amp;"."&amp;YEAR(C518),MONTH(C518)&amp;"."&amp;YEAR(C518))</f>
        <v>01.2026</v>
      </c>
      <c r="AG518" s="17" t="str">
        <f t="shared" ref="AG518:AG581" si="138">IF(H518="","",H518)</f>
        <v>Ursula Ullmann</v>
      </c>
      <c r="AH518" s="17" t="str">
        <f>IFERROR(VLOOKUP(B518,[1]Kundenübersicht!$E$4:$F$85,2,FALSE),"")</f>
        <v>Sigrid Müller</v>
      </c>
      <c r="AI518" s="17" t="str">
        <f t="shared" si="132"/>
        <v>Hauswirtschaft</v>
      </c>
      <c r="AJ518" s="17" t="str">
        <f t="shared" si="132"/>
        <v>Entlastungsleistung</v>
      </c>
      <c r="AL518" s="18">
        <f t="shared" si="133"/>
        <v>38</v>
      </c>
      <c r="AM518" s="18">
        <f t="shared" si="134"/>
        <v>37.999999999999964</v>
      </c>
      <c r="AN518" s="18">
        <f t="shared" si="135"/>
        <v>1.3299999999999998</v>
      </c>
    </row>
    <row r="519" spans="2:40" x14ac:dyDescent="0.25">
      <c r="B519" s="30" t="s">
        <v>66</v>
      </c>
      <c r="C519" s="31">
        <v>46052</v>
      </c>
      <c r="D519" s="32">
        <v>0.41666666666666669</v>
      </c>
      <c r="E519" s="32">
        <v>0.5</v>
      </c>
      <c r="F519" s="12">
        <f t="shared" si="127"/>
        <v>1.9999999999999996</v>
      </c>
      <c r="G519" s="12">
        <v>4.2</v>
      </c>
      <c r="H519" s="30" t="s">
        <v>64</v>
      </c>
      <c r="I519" s="30" t="s">
        <v>27</v>
      </c>
      <c r="J519" s="30" t="s">
        <v>28</v>
      </c>
      <c r="K519" s="9" t="str">
        <f>IFERROR(VLOOKUP($B519,[1]Kundenübersicht!$E$4:$AC$1003,MATCH(K$3,[1]Kundenübersicht!$E$3:$BA$3,FALSE),FALSE),"")</f>
        <v>KNAPPSCHAFT</v>
      </c>
      <c r="L519" s="13">
        <f>IFERROR(VLOOKUP(B519,[1]Kundenübersicht!$E$4:$AC$1003,MATCH(L$3,[1]Kundenübersicht!$E$3:$BA$3,FALSE),FALSE),"")</f>
        <v>109990508</v>
      </c>
      <c r="M519" s="13" t="str">
        <f>IFERROR(VLOOKUP(B519,[1]Kundenübersicht!$E$4:$AC$1003,MATCH(M$3,[1]Kundenübersicht!$E$3:$BA$3,FALSE),FALSE),"")</f>
        <v>F167156079</v>
      </c>
      <c r="N519" s="13" t="str">
        <f>IFERROR(VLOOKUP(B519,[1]Kundenübersicht!$E$4:$AC$1003,MATCH(N$3,[1]Kundenübersicht!$E$3:$BA$3,FALSE),FALSE),"")</f>
        <v>PG 2</v>
      </c>
      <c r="P519" s="9" t="s">
        <v>29</v>
      </c>
      <c r="R519" s="9" t="str">
        <f t="shared" si="126"/>
        <v>Unterschrieben</v>
      </c>
      <c r="S519" s="14" t="s">
        <v>31</v>
      </c>
      <c r="U519" s="15">
        <f>IF(YEAR(C519)&lt;=2025,IFERROR(IF(I519="Hauswirtschaft",VLOOKUP($B519,[1]Kundenübersicht!$E$4:$BA$1003,MATCH("Hauswirtschaft [€/Stunde]",[1]Kundenübersicht!$E$3:$BA$3,FALSE),FALSE),VLOOKUP($B519,[1]Kundenübersicht!$E$4:$BA$1003,MATCH("Alltagsbegleitung [€/Stunde]",[1]Kundenübersicht!$E$3:$BA$3,FALSE),FALSE)),0),IFERROR(IF(I519="Hauswirtschaft",VLOOKUP($B519,[1]Kundenübersicht!$E$4:$BA$1003,MATCH("HW ab 2026 [€/Stunde]",[1]Kundenübersicht!$E$3:$BA$3,FALSE),FALSE),VLOOKUP($B519,[1]Kundenübersicht!$E$4:$BA$1003,MATCH("Alltagsbegleitung [€/Stunde]",[1]Kundenübersicht!$E$3:$BA$3,FALSE),FALSE)),0))</f>
        <v>38</v>
      </c>
      <c r="V519" s="16">
        <f t="shared" si="128"/>
        <v>75.999999999999986</v>
      </c>
      <c r="W519" s="16">
        <f t="shared" si="120"/>
        <v>1.47</v>
      </c>
      <c r="X519" s="16" t="s">
        <v>89</v>
      </c>
      <c r="Z519" s="20" t="str">
        <f t="shared" si="125"/>
        <v>Ja</v>
      </c>
      <c r="AA519" s="19">
        <v>46077</v>
      </c>
      <c r="AC519" s="19"/>
      <c r="AE519" s="9">
        <f t="shared" si="136"/>
        <v>2026</v>
      </c>
      <c r="AF519" s="17" t="str">
        <f t="shared" si="137"/>
        <v>01.2026</v>
      </c>
      <c r="AG519" s="17" t="str">
        <f t="shared" si="138"/>
        <v>Ursula Ullmann</v>
      </c>
      <c r="AH519" s="17" t="str">
        <f>IFERROR(VLOOKUP(B519,[1]Kundenübersicht!$E$4:$F$85,2,FALSE),"")</f>
        <v>Sigrid Müller</v>
      </c>
      <c r="AI519" s="17" t="str">
        <f t="shared" si="132"/>
        <v>Hauswirtschaft</v>
      </c>
      <c r="AJ519" s="17" t="str">
        <f t="shared" si="132"/>
        <v>Entlastungsleistung</v>
      </c>
      <c r="AL519" s="18">
        <f t="shared" si="133"/>
        <v>38</v>
      </c>
      <c r="AM519" s="18">
        <f t="shared" si="134"/>
        <v>75.999999999999986</v>
      </c>
      <c r="AN519" s="18">
        <f t="shared" si="135"/>
        <v>1.47</v>
      </c>
    </row>
    <row r="520" spans="2:40" x14ac:dyDescent="0.25">
      <c r="B520" s="30" t="s">
        <v>71</v>
      </c>
      <c r="C520" s="31">
        <v>46030</v>
      </c>
      <c r="D520" s="32">
        <v>0.41666666666666669</v>
      </c>
      <c r="E520" s="32">
        <v>0.4375</v>
      </c>
      <c r="F520" s="12">
        <f t="shared" si="127"/>
        <v>0.49999999999999956</v>
      </c>
      <c r="G520" s="12">
        <v>8.5</v>
      </c>
      <c r="H520" s="30" t="s">
        <v>64</v>
      </c>
      <c r="I520" s="30" t="s">
        <v>27</v>
      </c>
      <c r="J520" s="30" t="s">
        <v>28</v>
      </c>
      <c r="K520" s="9" t="str">
        <f>IFERROR(VLOOKUP($B520,[1]Kundenübersicht!$E$4:$AC$1003,MATCH(K$3,[1]Kundenübersicht!$E$3:$BA$3,FALSE),FALSE),"")</f>
        <v>Techniker Krankenkasse</v>
      </c>
      <c r="L520" s="13">
        <f>IFERROR(VLOOKUP(B520,[1]Kundenübersicht!$E$4:$AC$1003,MATCH(L$3,[1]Kundenübersicht!$E$3:$BA$3,FALSE),FALSE),"")</f>
        <v>101575519</v>
      </c>
      <c r="M520" s="13" t="str">
        <f>IFERROR(VLOOKUP(B520,[1]Kundenübersicht!$E$4:$AC$1003,MATCH(M$3,[1]Kundenübersicht!$E$3:$BA$3,FALSE),FALSE),"")</f>
        <v>V281460760</v>
      </c>
      <c r="N520" s="13" t="str">
        <f>IFERROR(VLOOKUP(B520,[1]Kundenübersicht!$E$4:$AC$1003,MATCH(N$3,[1]Kundenübersicht!$E$3:$BA$3,FALSE),FALSE),"")</f>
        <v>PG 2</v>
      </c>
      <c r="P520" s="9" t="s">
        <v>29</v>
      </c>
      <c r="R520" s="9" t="str">
        <f t="shared" si="126"/>
        <v>Unterschrieben</v>
      </c>
      <c r="S520" s="14" t="s">
        <v>31</v>
      </c>
      <c r="U520" s="15">
        <f>IF(YEAR(C520)&lt;=2025,IFERROR(IF(I520="Hauswirtschaft",VLOOKUP($B520,[1]Kundenübersicht!$E$4:$BA$1003,MATCH("Hauswirtschaft [€/Stunde]",[1]Kundenübersicht!$E$3:$BA$3,FALSE),FALSE),VLOOKUP($B520,[1]Kundenübersicht!$E$4:$BA$1003,MATCH("Alltagsbegleitung [€/Stunde]",[1]Kundenübersicht!$E$3:$BA$3,FALSE),FALSE)),0),IFERROR(IF(I520="Hauswirtschaft",VLOOKUP($B520,[1]Kundenübersicht!$E$4:$BA$1003,MATCH("HW ab 2026 [€/Stunde]",[1]Kundenübersicht!$E$3:$BA$3,FALSE),FALSE),VLOOKUP($B520,[1]Kundenübersicht!$E$4:$BA$1003,MATCH("Alltagsbegleitung [€/Stunde]",[1]Kundenübersicht!$E$3:$BA$3,FALSE),FALSE)),0))</f>
        <v>38</v>
      </c>
      <c r="V520" s="16">
        <f t="shared" si="128"/>
        <v>18.999999999999982</v>
      </c>
      <c r="W520" s="16">
        <f t="shared" si="120"/>
        <v>2.9749999999999996</v>
      </c>
      <c r="X520" s="16" t="s">
        <v>89</v>
      </c>
      <c r="Z520" s="20" t="str">
        <f t="shared" si="125"/>
        <v>Ja</v>
      </c>
      <c r="AA520" s="19">
        <v>46077</v>
      </c>
      <c r="AC520" s="19"/>
      <c r="AE520" s="9">
        <f t="shared" si="136"/>
        <v>2026</v>
      </c>
      <c r="AF520" s="17" t="str">
        <f t="shared" si="137"/>
        <v>01.2026</v>
      </c>
      <c r="AG520" s="17" t="str">
        <f t="shared" si="138"/>
        <v>Ursula Ullmann</v>
      </c>
      <c r="AH520" s="17" t="str">
        <f>IFERROR(VLOOKUP(B520,[1]Kundenübersicht!$E$4:$F$85,2,FALSE),"")</f>
        <v>Wolfgang Seidel</v>
      </c>
      <c r="AI520" s="17" t="str">
        <f t="shared" si="132"/>
        <v>Hauswirtschaft</v>
      </c>
      <c r="AJ520" s="17" t="str">
        <f t="shared" si="132"/>
        <v>Entlastungsleistung</v>
      </c>
      <c r="AL520" s="18">
        <f t="shared" si="133"/>
        <v>38</v>
      </c>
      <c r="AM520" s="18">
        <f t="shared" si="134"/>
        <v>18.999999999999982</v>
      </c>
      <c r="AN520" s="18">
        <f t="shared" si="135"/>
        <v>2.9749999999999996</v>
      </c>
    </row>
    <row r="521" spans="2:40" x14ac:dyDescent="0.25">
      <c r="B521" s="30" t="s">
        <v>71</v>
      </c>
      <c r="C521" s="31">
        <v>46030</v>
      </c>
      <c r="D521" s="32">
        <v>0.4375</v>
      </c>
      <c r="E521" s="32">
        <v>0.47916666666666669</v>
      </c>
      <c r="F521" s="12">
        <f t="shared" si="127"/>
        <v>1.0000000000000004</v>
      </c>
      <c r="G521" s="12"/>
      <c r="H521" s="30" t="s">
        <v>64</v>
      </c>
      <c r="I521" s="30" t="s">
        <v>41</v>
      </c>
      <c r="J521" s="30" t="s">
        <v>28</v>
      </c>
      <c r="K521" s="9" t="str">
        <f>IFERROR(VLOOKUP($B521,[1]Kundenübersicht!$E$4:$AC$1003,MATCH(K$3,[1]Kundenübersicht!$E$3:$BA$3,FALSE),FALSE),"")</f>
        <v>Techniker Krankenkasse</v>
      </c>
      <c r="L521" s="13">
        <f>IFERROR(VLOOKUP(B521,[1]Kundenübersicht!$E$4:$AC$1003,MATCH(L$3,[1]Kundenübersicht!$E$3:$BA$3,FALSE),FALSE),"")</f>
        <v>101575519</v>
      </c>
      <c r="M521" s="13" t="str">
        <f>IFERROR(VLOOKUP(B521,[1]Kundenübersicht!$E$4:$AC$1003,MATCH(M$3,[1]Kundenübersicht!$E$3:$BA$3,FALSE),FALSE),"")</f>
        <v>V281460760</v>
      </c>
      <c r="N521" s="13" t="str">
        <f>IFERROR(VLOOKUP(B521,[1]Kundenübersicht!$E$4:$AC$1003,MATCH(N$3,[1]Kundenübersicht!$E$3:$BA$3,FALSE),FALSE),"")</f>
        <v>PG 2</v>
      </c>
      <c r="P521" s="9" t="s">
        <v>29</v>
      </c>
      <c r="R521" s="9" t="str">
        <f t="shared" si="126"/>
        <v>Unterschrieben</v>
      </c>
      <c r="S521" s="14" t="s">
        <v>31</v>
      </c>
      <c r="U521" s="15">
        <f>IF(YEAR(C521)&lt;=2025,IFERROR(IF(I521="Hauswirtschaft",VLOOKUP($B521,[1]Kundenübersicht!$E$4:$BA$1003,MATCH("Hauswirtschaft [€/Stunde]",[1]Kundenübersicht!$E$3:$BA$3,FALSE),FALSE),VLOOKUP($B521,[1]Kundenübersicht!$E$4:$BA$1003,MATCH("Alltagsbegleitung [€/Stunde]",[1]Kundenübersicht!$E$3:$BA$3,FALSE),FALSE)),0),IFERROR(IF(I521="Hauswirtschaft",VLOOKUP($B521,[1]Kundenübersicht!$E$4:$BA$1003,MATCH("HW ab 2026 [€/Stunde]",[1]Kundenübersicht!$E$3:$BA$3,FALSE),FALSE),VLOOKUP($B521,[1]Kundenübersicht!$E$4:$BA$1003,MATCH("Alltagsbegleitung [€/Stunde]",[1]Kundenübersicht!$E$3:$BA$3,FALSE),FALSE)),0))</f>
        <v>42</v>
      </c>
      <c r="V521" s="16">
        <f t="shared" si="128"/>
        <v>42.000000000000021</v>
      </c>
      <c r="W521" s="16">
        <f t="shared" si="120"/>
        <v>0</v>
      </c>
      <c r="X521" s="16" t="s">
        <v>89</v>
      </c>
      <c r="Z521" s="20" t="str">
        <f t="shared" si="125"/>
        <v>Ja</v>
      </c>
      <c r="AA521" s="19">
        <v>46077</v>
      </c>
      <c r="AC521" s="19"/>
      <c r="AE521" s="9">
        <f t="shared" si="136"/>
        <v>2026</v>
      </c>
      <c r="AF521" s="17" t="str">
        <f t="shared" si="137"/>
        <v>01.2026</v>
      </c>
      <c r="AG521" s="17" t="str">
        <f t="shared" si="138"/>
        <v>Ursula Ullmann</v>
      </c>
      <c r="AH521" s="17" t="str">
        <f>IFERROR(VLOOKUP(B521,[1]Kundenübersicht!$E$4:$F$85,2,FALSE),"")</f>
        <v>Wolfgang Seidel</v>
      </c>
      <c r="AI521" s="17" t="str">
        <f t="shared" si="132"/>
        <v>Alltagsbegleitung</v>
      </c>
      <c r="AJ521" s="17" t="str">
        <f t="shared" si="132"/>
        <v>Entlastungsleistung</v>
      </c>
      <c r="AL521" s="18">
        <f t="shared" si="133"/>
        <v>42</v>
      </c>
      <c r="AM521" s="18">
        <f t="shared" si="134"/>
        <v>42.000000000000021</v>
      </c>
      <c r="AN521" s="18">
        <f t="shared" si="135"/>
        <v>0</v>
      </c>
    </row>
    <row r="522" spans="2:40" x14ac:dyDescent="0.25">
      <c r="B522" s="30" t="s">
        <v>71</v>
      </c>
      <c r="C522" s="31">
        <v>46035</v>
      </c>
      <c r="D522" s="32">
        <v>0.41666666666666669</v>
      </c>
      <c r="E522" s="32">
        <v>0.4375</v>
      </c>
      <c r="F522" s="12">
        <f t="shared" si="127"/>
        <v>0.49999999999999956</v>
      </c>
      <c r="G522" s="12">
        <v>7.3</v>
      </c>
      <c r="H522" s="30" t="s">
        <v>64</v>
      </c>
      <c r="I522" s="30" t="s">
        <v>27</v>
      </c>
      <c r="J522" s="30" t="s">
        <v>28</v>
      </c>
      <c r="K522" s="9" t="str">
        <f>IFERROR(VLOOKUP($B522,[1]Kundenübersicht!$E$4:$AC$1003,MATCH(K$3,[1]Kundenübersicht!$E$3:$BA$3,FALSE),FALSE),"")</f>
        <v>Techniker Krankenkasse</v>
      </c>
      <c r="L522" s="13">
        <f>IFERROR(VLOOKUP(B522,[1]Kundenübersicht!$E$4:$AC$1003,MATCH(L$3,[1]Kundenübersicht!$E$3:$BA$3,FALSE),FALSE),"")</f>
        <v>101575519</v>
      </c>
      <c r="M522" s="13" t="str">
        <f>IFERROR(VLOOKUP(B522,[1]Kundenübersicht!$E$4:$AC$1003,MATCH(M$3,[1]Kundenübersicht!$E$3:$BA$3,FALSE),FALSE),"")</f>
        <v>V281460760</v>
      </c>
      <c r="N522" s="13" t="str">
        <f>IFERROR(VLOOKUP(B522,[1]Kundenübersicht!$E$4:$AC$1003,MATCH(N$3,[1]Kundenübersicht!$E$3:$BA$3,FALSE),FALSE),"")</f>
        <v>PG 2</v>
      </c>
      <c r="P522" s="9" t="s">
        <v>29</v>
      </c>
      <c r="R522" s="9" t="str">
        <f t="shared" si="126"/>
        <v>Unterschrieben</v>
      </c>
      <c r="S522" s="14" t="s">
        <v>31</v>
      </c>
      <c r="U522" s="15">
        <f>IF(YEAR(C522)&lt;=2025,IFERROR(IF(I522="Hauswirtschaft",VLOOKUP($B522,[1]Kundenübersicht!$E$4:$BA$1003,MATCH("Hauswirtschaft [€/Stunde]",[1]Kundenübersicht!$E$3:$BA$3,FALSE),FALSE),VLOOKUP($B522,[1]Kundenübersicht!$E$4:$BA$1003,MATCH("Alltagsbegleitung [€/Stunde]",[1]Kundenübersicht!$E$3:$BA$3,FALSE),FALSE)),0),IFERROR(IF(I522="Hauswirtschaft",VLOOKUP($B522,[1]Kundenübersicht!$E$4:$BA$1003,MATCH("HW ab 2026 [€/Stunde]",[1]Kundenübersicht!$E$3:$BA$3,FALSE),FALSE),VLOOKUP($B522,[1]Kundenübersicht!$E$4:$BA$1003,MATCH("Alltagsbegleitung [€/Stunde]",[1]Kundenübersicht!$E$3:$BA$3,FALSE),FALSE)),0))</f>
        <v>38</v>
      </c>
      <c r="V522" s="16">
        <f t="shared" si="128"/>
        <v>18.999999999999982</v>
      </c>
      <c r="W522" s="16">
        <f t="shared" si="120"/>
        <v>2.5549999999999997</v>
      </c>
      <c r="X522" s="16" t="s">
        <v>89</v>
      </c>
      <c r="Z522" s="20" t="str">
        <f t="shared" si="125"/>
        <v>Ja</v>
      </c>
      <c r="AA522" s="19">
        <v>46077</v>
      </c>
      <c r="AC522" s="19"/>
      <c r="AE522" s="9">
        <f t="shared" si="136"/>
        <v>2026</v>
      </c>
      <c r="AF522" s="17" t="str">
        <f t="shared" si="137"/>
        <v>01.2026</v>
      </c>
      <c r="AG522" s="17" t="str">
        <f t="shared" si="138"/>
        <v>Ursula Ullmann</v>
      </c>
      <c r="AH522" s="17" t="str">
        <f>IFERROR(VLOOKUP(B522,[1]Kundenübersicht!$E$4:$F$85,2,FALSE),"")</f>
        <v>Wolfgang Seidel</v>
      </c>
      <c r="AI522" s="17" t="str">
        <f t="shared" si="132"/>
        <v>Hauswirtschaft</v>
      </c>
      <c r="AJ522" s="17" t="str">
        <f t="shared" si="132"/>
        <v>Entlastungsleistung</v>
      </c>
      <c r="AL522" s="18">
        <f t="shared" si="133"/>
        <v>38</v>
      </c>
      <c r="AM522" s="18">
        <f t="shared" si="134"/>
        <v>18.999999999999982</v>
      </c>
      <c r="AN522" s="18">
        <f t="shared" si="135"/>
        <v>2.5549999999999997</v>
      </c>
    </row>
    <row r="523" spans="2:40" x14ac:dyDescent="0.25">
      <c r="B523" s="30" t="s">
        <v>71</v>
      </c>
      <c r="C523" s="31">
        <v>46035</v>
      </c>
      <c r="D523" s="32">
        <v>0.4375</v>
      </c>
      <c r="E523" s="32">
        <v>0.47916666666666669</v>
      </c>
      <c r="F523" s="12">
        <f t="shared" si="127"/>
        <v>1.0000000000000004</v>
      </c>
      <c r="G523" s="12"/>
      <c r="H523" s="30" t="s">
        <v>64</v>
      </c>
      <c r="I523" s="30" t="s">
        <v>41</v>
      </c>
      <c r="J523" s="30" t="s">
        <v>28</v>
      </c>
      <c r="K523" s="9" t="str">
        <f>IFERROR(VLOOKUP($B523,[1]Kundenübersicht!$E$4:$AC$1003,MATCH(K$3,[1]Kundenübersicht!$E$3:$BA$3,FALSE),FALSE),"")</f>
        <v>Techniker Krankenkasse</v>
      </c>
      <c r="L523" s="13">
        <f>IFERROR(VLOOKUP(B523,[1]Kundenübersicht!$E$4:$AC$1003,MATCH(L$3,[1]Kundenübersicht!$E$3:$BA$3,FALSE),FALSE),"")</f>
        <v>101575519</v>
      </c>
      <c r="M523" s="13" t="str">
        <f>IFERROR(VLOOKUP(B523,[1]Kundenübersicht!$E$4:$AC$1003,MATCH(M$3,[1]Kundenübersicht!$E$3:$BA$3,FALSE),FALSE),"")</f>
        <v>V281460760</v>
      </c>
      <c r="N523" s="13" t="str">
        <f>IFERROR(VLOOKUP(B523,[1]Kundenübersicht!$E$4:$AC$1003,MATCH(N$3,[1]Kundenübersicht!$E$3:$BA$3,FALSE),FALSE),"")</f>
        <v>PG 2</v>
      </c>
      <c r="P523" s="9" t="s">
        <v>29</v>
      </c>
      <c r="R523" s="9" t="str">
        <f t="shared" si="126"/>
        <v>Unterschrieben</v>
      </c>
      <c r="S523" s="14" t="s">
        <v>31</v>
      </c>
      <c r="U523" s="15">
        <f>IF(YEAR(C523)&lt;=2025,IFERROR(IF(I523="Hauswirtschaft",VLOOKUP($B523,[1]Kundenübersicht!$E$4:$BA$1003,MATCH("Hauswirtschaft [€/Stunde]",[1]Kundenübersicht!$E$3:$BA$3,FALSE),FALSE),VLOOKUP($B523,[1]Kundenübersicht!$E$4:$BA$1003,MATCH("Alltagsbegleitung [€/Stunde]",[1]Kundenübersicht!$E$3:$BA$3,FALSE),FALSE)),0),IFERROR(IF(I523="Hauswirtschaft",VLOOKUP($B523,[1]Kundenübersicht!$E$4:$BA$1003,MATCH("HW ab 2026 [€/Stunde]",[1]Kundenübersicht!$E$3:$BA$3,FALSE),FALSE),VLOOKUP($B523,[1]Kundenübersicht!$E$4:$BA$1003,MATCH("Alltagsbegleitung [€/Stunde]",[1]Kundenübersicht!$E$3:$BA$3,FALSE),FALSE)),0))</f>
        <v>42</v>
      </c>
      <c r="V523" s="16">
        <f t="shared" si="128"/>
        <v>42.000000000000021</v>
      </c>
      <c r="W523" s="16">
        <f t="shared" si="120"/>
        <v>0</v>
      </c>
      <c r="X523" s="16" t="s">
        <v>89</v>
      </c>
      <c r="Z523" s="20" t="str">
        <f t="shared" si="125"/>
        <v>Ja</v>
      </c>
      <c r="AA523" s="19">
        <v>46077</v>
      </c>
      <c r="AC523" s="19"/>
      <c r="AE523" s="9">
        <f t="shared" si="136"/>
        <v>2026</v>
      </c>
      <c r="AF523" s="17" t="str">
        <f t="shared" si="137"/>
        <v>01.2026</v>
      </c>
      <c r="AG523" s="17" t="str">
        <f t="shared" si="138"/>
        <v>Ursula Ullmann</v>
      </c>
      <c r="AH523" s="17" t="str">
        <f>IFERROR(VLOOKUP(B523,[1]Kundenübersicht!$E$4:$F$85,2,FALSE),"")</f>
        <v>Wolfgang Seidel</v>
      </c>
      <c r="AI523" s="17" t="str">
        <f t="shared" si="132"/>
        <v>Alltagsbegleitung</v>
      </c>
      <c r="AJ523" s="17" t="str">
        <f t="shared" si="132"/>
        <v>Entlastungsleistung</v>
      </c>
      <c r="AL523" s="18">
        <f t="shared" si="133"/>
        <v>42</v>
      </c>
      <c r="AM523" s="18">
        <f t="shared" si="134"/>
        <v>42.000000000000021</v>
      </c>
      <c r="AN523" s="18">
        <f t="shared" si="135"/>
        <v>0</v>
      </c>
    </row>
    <row r="524" spans="2:40" x14ac:dyDescent="0.25">
      <c r="B524" s="30" t="s">
        <v>71</v>
      </c>
      <c r="C524" s="31">
        <v>46037</v>
      </c>
      <c r="D524" s="32">
        <v>0.5</v>
      </c>
      <c r="E524" s="32">
        <v>0.54166666666666663</v>
      </c>
      <c r="F524" s="12">
        <f t="shared" si="127"/>
        <v>0.99999999999999911</v>
      </c>
      <c r="G524" s="12">
        <v>5.5</v>
      </c>
      <c r="H524" s="30" t="s">
        <v>64</v>
      </c>
      <c r="I524" s="30" t="s">
        <v>41</v>
      </c>
      <c r="J524" s="30" t="s">
        <v>28</v>
      </c>
      <c r="K524" s="9" t="str">
        <f>IFERROR(VLOOKUP($B524,[1]Kundenübersicht!$E$4:$AC$1003,MATCH(K$3,[1]Kundenübersicht!$E$3:$BA$3,FALSE),FALSE),"")</f>
        <v>Techniker Krankenkasse</v>
      </c>
      <c r="L524" s="13">
        <f>IFERROR(VLOOKUP(B524,[1]Kundenübersicht!$E$4:$AC$1003,MATCH(L$3,[1]Kundenübersicht!$E$3:$BA$3,FALSE),FALSE),"")</f>
        <v>101575519</v>
      </c>
      <c r="M524" s="13" t="str">
        <f>IFERROR(VLOOKUP(B524,[1]Kundenübersicht!$E$4:$AC$1003,MATCH(M$3,[1]Kundenübersicht!$E$3:$BA$3,FALSE),FALSE),"")</f>
        <v>V281460760</v>
      </c>
      <c r="N524" s="13" t="str">
        <f>IFERROR(VLOOKUP(B524,[1]Kundenübersicht!$E$4:$AC$1003,MATCH(N$3,[1]Kundenübersicht!$E$3:$BA$3,FALSE),FALSE),"")</f>
        <v>PG 2</v>
      </c>
      <c r="P524" s="9" t="s">
        <v>29</v>
      </c>
      <c r="R524" s="9" t="str">
        <f t="shared" si="126"/>
        <v>Unterschrieben</v>
      </c>
      <c r="S524" s="14" t="s">
        <v>31</v>
      </c>
      <c r="U524" s="15">
        <f>IF(YEAR(C524)&lt;=2025,IFERROR(IF(I524="Hauswirtschaft",VLOOKUP($B524,[1]Kundenübersicht!$E$4:$BA$1003,MATCH("Hauswirtschaft [€/Stunde]",[1]Kundenübersicht!$E$3:$BA$3,FALSE),FALSE),VLOOKUP($B524,[1]Kundenübersicht!$E$4:$BA$1003,MATCH("Alltagsbegleitung [€/Stunde]",[1]Kundenübersicht!$E$3:$BA$3,FALSE),FALSE)),0),IFERROR(IF(I524="Hauswirtschaft",VLOOKUP($B524,[1]Kundenübersicht!$E$4:$BA$1003,MATCH("HW ab 2026 [€/Stunde]",[1]Kundenübersicht!$E$3:$BA$3,FALSE),FALSE),VLOOKUP($B524,[1]Kundenübersicht!$E$4:$BA$1003,MATCH("Alltagsbegleitung [€/Stunde]",[1]Kundenübersicht!$E$3:$BA$3,FALSE),FALSE)),0))</f>
        <v>42</v>
      </c>
      <c r="V524" s="16">
        <f t="shared" si="128"/>
        <v>41.999999999999964</v>
      </c>
      <c r="W524" s="16">
        <f t="shared" si="120"/>
        <v>1.9249999999999998</v>
      </c>
      <c r="X524" s="16" t="s">
        <v>89</v>
      </c>
      <c r="Z524" s="20" t="str">
        <f t="shared" si="125"/>
        <v>Ja</v>
      </c>
      <c r="AA524" s="19">
        <v>46077</v>
      </c>
      <c r="AC524" s="19"/>
      <c r="AE524" s="9">
        <f t="shared" si="136"/>
        <v>2026</v>
      </c>
      <c r="AF524" s="17" t="str">
        <f t="shared" si="137"/>
        <v>01.2026</v>
      </c>
      <c r="AG524" s="17" t="str">
        <f t="shared" si="138"/>
        <v>Ursula Ullmann</v>
      </c>
      <c r="AH524" s="17" t="str">
        <f>IFERROR(VLOOKUP(B524,[1]Kundenübersicht!$E$4:$F$85,2,FALSE),"")</f>
        <v>Wolfgang Seidel</v>
      </c>
      <c r="AI524" s="17" t="str">
        <f t="shared" si="132"/>
        <v>Alltagsbegleitung</v>
      </c>
      <c r="AJ524" s="17" t="str">
        <f t="shared" si="132"/>
        <v>Entlastungsleistung</v>
      </c>
      <c r="AL524" s="18">
        <f t="shared" si="133"/>
        <v>42</v>
      </c>
      <c r="AM524" s="18">
        <f t="shared" si="134"/>
        <v>41.999999999999964</v>
      </c>
      <c r="AN524" s="18">
        <f t="shared" si="135"/>
        <v>1.9249999999999998</v>
      </c>
    </row>
    <row r="525" spans="2:40" x14ac:dyDescent="0.25">
      <c r="B525" s="30" t="s">
        <v>71</v>
      </c>
      <c r="C525" s="31">
        <v>46044</v>
      </c>
      <c r="D525" s="32">
        <v>0.41666666666666669</v>
      </c>
      <c r="E525" s="32">
        <v>0.45833333333333331</v>
      </c>
      <c r="F525" s="12">
        <f t="shared" si="127"/>
        <v>0.99999999999999911</v>
      </c>
      <c r="G525" s="12">
        <v>7.3</v>
      </c>
      <c r="H525" s="30" t="s">
        <v>64</v>
      </c>
      <c r="I525" s="30" t="s">
        <v>27</v>
      </c>
      <c r="J525" s="30" t="s">
        <v>28</v>
      </c>
      <c r="K525" s="9" t="str">
        <f>IFERROR(VLOOKUP($B525,[1]Kundenübersicht!$E$4:$AC$1003,MATCH(K$3,[1]Kundenübersicht!$E$3:$BA$3,FALSE),FALSE),"")</f>
        <v>Techniker Krankenkasse</v>
      </c>
      <c r="L525" s="13">
        <f>IFERROR(VLOOKUP(B525,[1]Kundenübersicht!$E$4:$AC$1003,MATCH(L$3,[1]Kundenübersicht!$E$3:$BA$3,FALSE),FALSE),"")</f>
        <v>101575519</v>
      </c>
      <c r="M525" s="13" t="str">
        <f>IFERROR(VLOOKUP(B525,[1]Kundenübersicht!$E$4:$AC$1003,MATCH(M$3,[1]Kundenübersicht!$E$3:$BA$3,FALSE),FALSE),"")</f>
        <v>V281460760</v>
      </c>
      <c r="N525" s="13" t="str">
        <f>IFERROR(VLOOKUP(B525,[1]Kundenübersicht!$E$4:$AC$1003,MATCH(N$3,[1]Kundenübersicht!$E$3:$BA$3,FALSE),FALSE),"")</f>
        <v>PG 2</v>
      </c>
      <c r="P525" s="9" t="s">
        <v>29</v>
      </c>
      <c r="R525" s="9" t="str">
        <f t="shared" si="126"/>
        <v>Unterschrieben</v>
      </c>
      <c r="S525" s="14" t="s">
        <v>31</v>
      </c>
      <c r="U525" s="15">
        <f>IF(YEAR(C525)&lt;=2025,IFERROR(IF(I525="Hauswirtschaft",VLOOKUP($B525,[1]Kundenübersicht!$E$4:$BA$1003,MATCH("Hauswirtschaft [€/Stunde]",[1]Kundenübersicht!$E$3:$BA$3,FALSE),FALSE),VLOOKUP($B525,[1]Kundenübersicht!$E$4:$BA$1003,MATCH("Alltagsbegleitung [€/Stunde]",[1]Kundenübersicht!$E$3:$BA$3,FALSE),FALSE)),0),IFERROR(IF(I525="Hauswirtschaft",VLOOKUP($B525,[1]Kundenübersicht!$E$4:$BA$1003,MATCH("HW ab 2026 [€/Stunde]",[1]Kundenübersicht!$E$3:$BA$3,FALSE),FALSE),VLOOKUP($B525,[1]Kundenübersicht!$E$4:$BA$1003,MATCH("Alltagsbegleitung [€/Stunde]",[1]Kundenübersicht!$E$3:$BA$3,FALSE),FALSE)),0))</f>
        <v>38</v>
      </c>
      <c r="V525" s="16">
        <f t="shared" si="128"/>
        <v>37.999999999999964</v>
      </c>
      <c r="W525" s="16">
        <f t="shared" si="120"/>
        <v>2.5549999999999997</v>
      </c>
      <c r="X525" s="16" t="s">
        <v>89</v>
      </c>
      <c r="Z525" s="20" t="str">
        <f t="shared" si="125"/>
        <v>Ja</v>
      </c>
      <c r="AA525" s="19">
        <v>46077</v>
      </c>
      <c r="AC525" s="19"/>
      <c r="AE525" s="9">
        <f t="shared" si="136"/>
        <v>2026</v>
      </c>
      <c r="AF525" s="17" t="str">
        <f t="shared" si="137"/>
        <v>01.2026</v>
      </c>
      <c r="AG525" s="17" t="str">
        <f t="shared" si="138"/>
        <v>Ursula Ullmann</v>
      </c>
      <c r="AH525" s="17" t="str">
        <f>IFERROR(VLOOKUP(B525,[1]Kundenübersicht!$E$4:$F$85,2,FALSE),"")</f>
        <v>Wolfgang Seidel</v>
      </c>
      <c r="AI525" s="17" t="str">
        <f t="shared" si="132"/>
        <v>Hauswirtschaft</v>
      </c>
      <c r="AJ525" s="17" t="str">
        <f t="shared" si="132"/>
        <v>Entlastungsleistung</v>
      </c>
      <c r="AL525" s="18">
        <f t="shared" si="133"/>
        <v>38</v>
      </c>
      <c r="AM525" s="18">
        <f t="shared" si="134"/>
        <v>37.999999999999964</v>
      </c>
      <c r="AN525" s="18">
        <f t="shared" si="135"/>
        <v>2.5549999999999997</v>
      </c>
    </row>
    <row r="526" spans="2:40" x14ac:dyDescent="0.25">
      <c r="B526" s="30" t="s">
        <v>71</v>
      </c>
      <c r="C526" s="31">
        <v>46044</v>
      </c>
      <c r="D526" s="32">
        <v>0.45833333333333331</v>
      </c>
      <c r="E526" s="32">
        <v>0.54166666666666663</v>
      </c>
      <c r="F526" s="12">
        <f t="shared" si="127"/>
        <v>1.9999999999999996</v>
      </c>
      <c r="G526" s="12"/>
      <c r="H526" s="30" t="s">
        <v>64</v>
      </c>
      <c r="I526" s="30" t="s">
        <v>41</v>
      </c>
      <c r="J526" s="30" t="s">
        <v>28</v>
      </c>
      <c r="K526" s="9" t="str">
        <f>IFERROR(VLOOKUP($B526,[1]Kundenübersicht!$E$4:$AC$1003,MATCH(K$3,[1]Kundenübersicht!$E$3:$BA$3,FALSE),FALSE),"")</f>
        <v>Techniker Krankenkasse</v>
      </c>
      <c r="L526" s="13">
        <f>IFERROR(VLOOKUP(B526,[1]Kundenübersicht!$E$4:$AC$1003,MATCH(L$3,[1]Kundenübersicht!$E$3:$BA$3,FALSE),FALSE),"")</f>
        <v>101575519</v>
      </c>
      <c r="M526" s="13" t="str">
        <f>IFERROR(VLOOKUP(B526,[1]Kundenübersicht!$E$4:$AC$1003,MATCH(M$3,[1]Kundenübersicht!$E$3:$BA$3,FALSE),FALSE),"")</f>
        <v>V281460760</v>
      </c>
      <c r="N526" s="13" t="str">
        <f>IFERROR(VLOOKUP(B526,[1]Kundenübersicht!$E$4:$AC$1003,MATCH(N$3,[1]Kundenübersicht!$E$3:$BA$3,FALSE),FALSE),"")</f>
        <v>PG 2</v>
      </c>
      <c r="P526" s="9" t="s">
        <v>29</v>
      </c>
      <c r="R526" s="9" t="str">
        <f t="shared" si="126"/>
        <v>Unterschrieben</v>
      </c>
      <c r="S526" s="14" t="s">
        <v>31</v>
      </c>
      <c r="U526" s="15">
        <f>IF(YEAR(C526)&lt;=2025,IFERROR(IF(I526="Hauswirtschaft",VLOOKUP($B526,[1]Kundenübersicht!$E$4:$BA$1003,MATCH("Hauswirtschaft [€/Stunde]",[1]Kundenübersicht!$E$3:$BA$3,FALSE),FALSE),VLOOKUP($B526,[1]Kundenübersicht!$E$4:$BA$1003,MATCH("Alltagsbegleitung [€/Stunde]",[1]Kundenübersicht!$E$3:$BA$3,FALSE),FALSE)),0),IFERROR(IF(I526="Hauswirtschaft",VLOOKUP($B526,[1]Kundenübersicht!$E$4:$BA$1003,MATCH("HW ab 2026 [€/Stunde]",[1]Kundenübersicht!$E$3:$BA$3,FALSE),FALSE),VLOOKUP($B526,[1]Kundenübersicht!$E$4:$BA$1003,MATCH("Alltagsbegleitung [€/Stunde]",[1]Kundenübersicht!$E$3:$BA$3,FALSE),FALSE)),0))</f>
        <v>42</v>
      </c>
      <c r="V526" s="16">
        <f t="shared" si="128"/>
        <v>83.999999999999986</v>
      </c>
      <c r="W526" s="16">
        <f t="shared" si="120"/>
        <v>0</v>
      </c>
      <c r="X526" s="16" t="s">
        <v>89</v>
      </c>
      <c r="Z526" s="20" t="str">
        <f t="shared" si="125"/>
        <v>Ja</v>
      </c>
      <c r="AA526" s="19">
        <v>46077</v>
      </c>
      <c r="AC526" s="19"/>
      <c r="AE526" s="9">
        <f t="shared" si="136"/>
        <v>2026</v>
      </c>
      <c r="AF526" s="17" t="str">
        <f t="shared" si="137"/>
        <v>01.2026</v>
      </c>
      <c r="AG526" s="17" t="str">
        <f t="shared" si="138"/>
        <v>Ursula Ullmann</v>
      </c>
      <c r="AH526" s="17" t="str">
        <f>IFERROR(VLOOKUP(B526,[1]Kundenübersicht!$E$4:$F$85,2,FALSE),"")</f>
        <v>Wolfgang Seidel</v>
      </c>
      <c r="AI526" s="17" t="str">
        <f t="shared" si="132"/>
        <v>Alltagsbegleitung</v>
      </c>
      <c r="AJ526" s="17" t="str">
        <f t="shared" si="132"/>
        <v>Entlastungsleistung</v>
      </c>
      <c r="AL526" s="18">
        <f t="shared" si="133"/>
        <v>42</v>
      </c>
      <c r="AM526" s="18">
        <f t="shared" si="134"/>
        <v>83.999999999999986</v>
      </c>
      <c r="AN526" s="18">
        <f t="shared" si="135"/>
        <v>0</v>
      </c>
    </row>
    <row r="527" spans="2:40" x14ac:dyDescent="0.25">
      <c r="B527" s="30" t="s">
        <v>71</v>
      </c>
      <c r="C527" s="31">
        <v>46051</v>
      </c>
      <c r="D527" s="32">
        <v>0.60416666666666663</v>
      </c>
      <c r="E527" s="32">
        <v>0.64583333333333337</v>
      </c>
      <c r="F527" s="12">
        <f t="shared" si="127"/>
        <v>1.0000000000000018</v>
      </c>
      <c r="G527" s="12">
        <v>4.5</v>
      </c>
      <c r="H527" s="30" t="s">
        <v>64</v>
      </c>
      <c r="I527" s="30" t="s">
        <v>27</v>
      </c>
      <c r="J527" s="30" t="s">
        <v>28</v>
      </c>
      <c r="K527" s="9" t="str">
        <f>IFERROR(VLOOKUP($B527,[1]Kundenübersicht!$E$4:$AC$1003,MATCH(K$3,[1]Kundenübersicht!$E$3:$BA$3,FALSE),FALSE),"")</f>
        <v>Techniker Krankenkasse</v>
      </c>
      <c r="L527" s="13">
        <f>IFERROR(VLOOKUP(B527,[1]Kundenübersicht!$E$4:$AC$1003,MATCH(L$3,[1]Kundenübersicht!$E$3:$BA$3,FALSE),FALSE),"")</f>
        <v>101575519</v>
      </c>
      <c r="M527" s="13" t="str">
        <f>IFERROR(VLOOKUP(B527,[1]Kundenübersicht!$E$4:$AC$1003,MATCH(M$3,[1]Kundenübersicht!$E$3:$BA$3,FALSE),FALSE),"")</f>
        <v>V281460760</v>
      </c>
      <c r="N527" s="13" t="str">
        <f>IFERROR(VLOOKUP(B527,[1]Kundenübersicht!$E$4:$AC$1003,MATCH(N$3,[1]Kundenübersicht!$E$3:$BA$3,FALSE),FALSE),"")</f>
        <v>PG 2</v>
      </c>
      <c r="P527" s="9" t="s">
        <v>29</v>
      </c>
      <c r="R527" s="9" t="str">
        <f t="shared" si="126"/>
        <v>Unterschrieben</v>
      </c>
      <c r="S527" s="14" t="s">
        <v>31</v>
      </c>
      <c r="U527" s="15">
        <f>IF(YEAR(C527)&lt;=2025,IFERROR(IF(I527="Hauswirtschaft",VLOOKUP($B527,[1]Kundenübersicht!$E$4:$BA$1003,MATCH("Hauswirtschaft [€/Stunde]",[1]Kundenübersicht!$E$3:$BA$3,FALSE),FALSE),VLOOKUP($B527,[1]Kundenübersicht!$E$4:$BA$1003,MATCH("Alltagsbegleitung [€/Stunde]",[1]Kundenübersicht!$E$3:$BA$3,FALSE),FALSE)),0),IFERROR(IF(I527="Hauswirtschaft",VLOOKUP($B527,[1]Kundenübersicht!$E$4:$BA$1003,MATCH("HW ab 2026 [€/Stunde]",[1]Kundenübersicht!$E$3:$BA$3,FALSE),FALSE),VLOOKUP($B527,[1]Kundenübersicht!$E$4:$BA$1003,MATCH("Alltagsbegleitung [€/Stunde]",[1]Kundenübersicht!$E$3:$BA$3,FALSE),FALSE)),0))</f>
        <v>38</v>
      </c>
      <c r="V527" s="16">
        <f t="shared" si="128"/>
        <v>38.000000000000071</v>
      </c>
      <c r="W527" s="16">
        <f t="shared" si="120"/>
        <v>1.575</v>
      </c>
      <c r="X527" s="16" t="s">
        <v>89</v>
      </c>
      <c r="Z527" s="20" t="str">
        <f t="shared" si="125"/>
        <v>Ja</v>
      </c>
      <c r="AA527" s="19">
        <v>46077</v>
      </c>
      <c r="AC527" s="19"/>
      <c r="AE527" s="9">
        <f t="shared" si="136"/>
        <v>2026</v>
      </c>
      <c r="AF527" s="17" t="str">
        <f t="shared" si="137"/>
        <v>01.2026</v>
      </c>
      <c r="AG527" s="17" t="str">
        <f t="shared" si="138"/>
        <v>Ursula Ullmann</v>
      </c>
      <c r="AH527" s="17" t="str">
        <f>IFERROR(VLOOKUP(B527,[1]Kundenübersicht!$E$4:$F$85,2,FALSE),"")</f>
        <v>Wolfgang Seidel</v>
      </c>
      <c r="AI527" s="17" t="str">
        <f t="shared" si="132"/>
        <v>Hauswirtschaft</v>
      </c>
      <c r="AJ527" s="17" t="str">
        <f t="shared" si="132"/>
        <v>Entlastungsleistung</v>
      </c>
      <c r="AL527" s="18">
        <f t="shared" si="133"/>
        <v>38</v>
      </c>
      <c r="AM527" s="18">
        <f t="shared" si="134"/>
        <v>38.000000000000071</v>
      </c>
      <c r="AN527" s="18">
        <f t="shared" si="135"/>
        <v>1.575</v>
      </c>
    </row>
    <row r="528" spans="2:40" x14ac:dyDescent="0.25">
      <c r="B528" s="30" t="s">
        <v>71</v>
      </c>
      <c r="C528" s="31">
        <v>46051</v>
      </c>
      <c r="D528" s="32">
        <v>0.64583333333333337</v>
      </c>
      <c r="E528" s="32">
        <v>0.6875</v>
      </c>
      <c r="F528" s="12">
        <f t="shared" si="127"/>
        <v>0.99999999999999911</v>
      </c>
      <c r="G528" s="12"/>
      <c r="H528" s="30" t="s">
        <v>64</v>
      </c>
      <c r="I528" s="30" t="s">
        <v>41</v>
      </c>
      <c r="J528" s="30" t="s">
        <v>28</v>
      </c>
      <c r="K528" s="9" t="str">
        <f>IFERROR(VLOOKUP($B528,[1]Kundenübersicht!$E$4:$AC$1003,MATCH(K$3,[1]Kundenübersicht!$E$3:$BA$3,FALSE),FALSE),"")</f>
        <v>Techniker Krankenkasse</v>
      </c>
      <c r="L528" s="13">
        <f>IFERROR(VLOOKUP(B528,[1]Kundenübersicht!$E$4:$AC$1003,MATCH(L$3,[1]Kundenübersicht!$E$3:$BA$3,FALSE),FALSE),"")</f>
        <v>101575519</v>
      </c>
      <c r="M528" s="13" t="str">
        <f>IFERROR(VLOOKUP(B528,[1]Kundenübersicht!$E$4:$AC$1003,MATCH(M$3,[1]Kundenübersicht!$E$3:$BA$3,FALSE),FALSE),"")</f>
        <v>V281460760</v>
      </c>
      <c r="N528" s="13" t="str">
        <f>IFERROR(VLOOKUP(B528,[1]Kundenübersicht!$E$4:$AC$1003,MATCH(N$3,[1]Kundenübersicht!$E$3:$BA$3,FALSE),FALSE),"")</f>
        <v>PG 2</v>
      </c>
      <c r="P528" s="9" t="s">
        <v>29</v>
      </c>
      <c r="R528" s="9" t="str">
        <f t="shared" si="126"/>
        <v>Unterschrieben</v>
      </c>
      <c r="S528" s="14" t="s">
        <v>31</v>
      </c>
      <c r="U528" s="15">
        <f>IF(YEAR(C528)&lt;=2025,IFERROR(IF(I528="Hauswirtschaft",VLOOKUP($B528,[1]Kundenübersicht!$E$4:$BA$1003,MATCH("Hauswirtschaft [€/Stunde]",[1]Kundenübersicht!$E$3:$BA$3,FALSE),FALSE),VLOOKUP($B528,[1]Kundenübersicht!$E$4:$BA$1003,MATCH("Alltagsbegleitung [€/Stunde]",[1]Kundenübersicht!$E$3:$BA$3,FALSE),FALSE)),0),IFERROR(IF(I528="Hauswirtschaft",VLOOKUP($B528,[1]Kundenübersicht!$E$4:$BA$1003,MATCH("HW ab 2026 [€/Stunde]",[1]Kundenübersicht!$E$3:$BA$3,FALSE),FALSE),VLOOKUP($B528,[1]Kundenübersicht!$E$4:$BA$1003,MATCH("Alltagsbegleitung [€/Stunde]",[1]Kundenübersicht!$E$3:$BA$3,FALSE),FALSE)),0))</f>
        <v>42</v>
      </c>
      <c r="V528" s="16">
        <f t="shared" si="128"/>
        <v>41.999999999999964</v>
      </c>
      <c r="W528" s="16">
        <f t="shared" si="120"/>
        <v>0</v>
      </c>
      <c r="X528" s="16" t="s">
        <v>89</v>
      </c>
      <c r="Z528" s="20" t="str">
        <f t="shared" si="125"/>
        <v>Ja</v>
      </c>
      <c r="AA528" s="19">
        <v>46077</v>
      </c>
      <c r="AC528" s="19"/>
      <c r="AE528" s="9">
        <f t="shared" si="136"/>
        <v>2026</v>
      </c>
      <c r="AF528" s="17" t="str">
        <f t="shared" si="137"/>
        <v>01.2026</v>
      </c>
      <c r="AG528" s="17" t="str">
        <f t="shared" si="138"/>
        <v>Ursula Ullmann</v>
      </c>
      <c r="AH528" s="17" t="str">
        <f>IFERROR(VLOOKUP(B528,[1]Kundenübersicht!$E$4:$F$85,2,FALSE),"")</f>
        <v>Wolfgang Seidel</v>
      </c>
      <c r="AI528" s="17" t="str">
        <f t="shared" si="132"/>
        <v>Alltagsbegleitung</v>
      </c>
      <c r="AJ528" s="17" t="str">
        <f t="shared" si="132"/>
        <v>Entlastungsleistung</v>
      </c>
      <c r="AL528" s="18">
        <f t="shared" si="133"/>
        <v>42</v>
      </c>
      <c r="AM528" s="18">
        <f t="shared" si="134"/>
        <v>41.999999999999964</v>
      </c>
      <c r="AN528" s="18">
        <f t="shared" si="135"/>
        <v>0</v>
      </c>
    </row>
    <row r="529" spans="1:40" x14ac:dyDescent="0.25">
      <c r="B529" s="30" t="s">
        <v>71</v>
      </c>
      <c r="C529" s="31">
        <v>45993</v>
      </c>
      <c r="D529" s="32">
        <v>0.41666666666666669</v>
      </c>
      <c r="E529" s="32">
        <v>0.5</v>
      </c>
      <c r="F529" s="12">
        <f t="shared" si="127"/>
        <v>1.9999999999999996</v>
      </c>
      <c r="G529" s="12">
        <v>20</v>
      </c>
      <c r="H529" s="30" t="s">
        <v>64</v>
      </c>
      <c r="I529" s="30" t="s">
        <v>41</v>
      </c>
      <c r="J529" s="30" t="s">
        <v>72</v>
      </c>
      <c r="K529" s="9" t="str">
        <f>VLOOKUP($B529,[1]Kundenübersicht!$E$4:$AC$1003,MATCH(K$3,[1]Kundenübersicht!$E$3:$BA$3,FALSE),FALSE)</f>
        <v>Techniker Krankenkasse</v>
      </c>
      <c r="L529" s="13">
        <f>VLOOKUP(B529,[1]Kundenübersicht!$E$4:$AC$1003,MATCH(L$3,[1]Kundenübersicht!$E$3:$BA$3,FALSE),FALSE)</f>
        <v>101575519</v>
      </c>
      <c r="M529" s="13" t="str">
        <f>VLOOKUP(B529,[1]Kundenübersicht!$E$4:$AC$1003,MATCH(M$3,[1]Kundenübersicht!$E$3:$BA$3,FALSE),FALSE)</f>
        <v>V281460760</v>
      </c>
      <c r="N529" s="13" t="str">
        <f>VLOOKUP(B529,[1]Kundenübersicht!$E$4:$AC$1003,MATCH(N$3,[1]Kundenübersicht!$E$3:$BA$3,FALSE),FALSE)</f>
        <v>PG 2</v>
      </c>
      <c r="P529" s="9" t="s">
        <v>29</v>
      </c>
      <c r="R529" s="9" t="str">
        <f t="shared" si="126"/>
        <v>Fehlt</v>
      </c>
      <c r="S529" s="14"/>
      <c r="U529" s="15">
        <f>IF(YEAR(C529)&lt;=2025,IFERROR(IF(I529="Hauswirtschaft",VLOOKUP($B529,[1]Kundenübersicht!$E$4:$BA$1003,MATCH("Hauswirtschaft [€/Stunde]",[1]Kundenübersicht!$E$3:$BA$3,FALSE),FALSE),VLOOKUP($B529,[1]Kundenübersicht!$E$4:$BA$1003,MATCH("Alltagsbegleitung [€/Stunde]",[1]Kundenübersicht!$E$3:$BA$3,FALSE),FALSE)),0),IFERROR(IF(I529="Hauswirtschaft",VLOOKUP($B529,[1]Kundenübersicht!$E$4:$BA$1003,MATCH("HW ab 2026 [€/Stunde]",[1]Kundenübersicht!$E$3:$BA$3,FALSE),FALSE),VLOOKUP($B529,[1]Kundenübersicht!$E$4:$BA$1003,MATCH("Alltagsbegleitung [€/Stunde]",[1]Kundenübersicht!$E$3:$BA$3,FALSE),FALSE)),0))</f>
        <v>42</v>
      </c>
      <c r="V529" s="16">
        <f t="shared" si="128"/>
        <v>83.999999999999986</v>
      </c>
      <c r="W529" s="16">
        <f t="shared" si="120"/>
        <v>7</v>
      </c>
      <c r="X529" s="16" t="str">
        <f>VLOOKUP(B529,[1]Kundenübersicht!E:AG,MATCH($X$3,[1]Kundenübersicht!$E$3:$AY$3,0),FALSE)</f>
        <v>Neu</v>
      </c>
      <c r="Z529" s="20" t="str">
        <f t="shared" si="125"/>
        <v>Nein</v>
      </c>
      <c r="AA529" s="19"/>
      <c r="AC529" s="19"/>
      <c r="AE529" s="9">
        <f t="shared" si="136"/>
        <v>2025</v>
      </c>
      <c r="AF529" s="17" t="str">
        <f t="shared" si="137"/>
        <v>12.2025</v>
      </c>
      <c r="AG529" s="17" t="str">
        <f t="shared" si="138"/>
        <v>Ursula Ullmann</v>
      </c>
      <c r="AH529" s="17" t="str">
        <f>IFERROR(VLOOKUP(B529,[1]Kundenübersicht!$E$4:$F$85,2,FALSE),"")</f>
        <v>Wolfgang Seidel</v>
      </c>
      <c r="AI529" s="17" t="str">
        <f t="shared" si="132"/>
        <v>Alltagsbegleitung</v>
      </c>
      <c r="AJ529" s="17" t="str">
        <f t="shared" si="132"/>
        <v>Verhinderungs-/Kurzzeitpflege</v>
      </c>
      <c r="AL529" s="18">
        <f t="shared" si="133"/>
        <v>42</v>
      </c>
      <c r="AM529" s="18">
        <f t="shared" si="134"/>
        <v>83.999999999999986</v>
      </c>
      <c r="AN529" s="18">
        <f t="shared" si="135"/>
        <v>7</v>
      </c>
    </row>
    <row r="530" spans="1:40" x14ac:dyDescent="0.25">
      <c r="B530" s="30" t="s">
        <v>71</v>
      </c>
      <c r="C530" s="31">
        <v>46000</v>
      </c>
      <c r="D530" s="32">
        <v>0.41666666666666669</v>
      </c>
      <c r="E530" s="32">
        <v>0.45833333333333331</v>
      </c>
      <c r="F530" s="12">
        <f t="shared" si="127"/>
        <v>0.99999999999999911</v>
      </c>
      <c r="G530" s="12">
        <v>20</v>
      </c>
      <c r="H530" s="30" t="s">
        <v>64</v>
      </c>
      <c r="I530" s="30" t="s">
        <v>41</v>
      </c>
      <c r="J530" s="30" t="s">
        <v>72</v>
      </c>
      <c r="K530" s="9" t="str">
        <f>IFERROR(VLOOKUP($B530,[1]Kundenübersicht!$E$4:$AC$1003,MATCH(K$3,[1]Kundenübersicht!$E$3:$BA$3,FALSE),FALSE),"")</f>
        <v>Techniker Krankenkasse</v>
      </c>
      <c r="L530" s="13">
        <f>IFERROR(VLOOKUP(B530,[1]Kundenübersicht!$E$4:$AC$1003,MATCH(L$3,[1]Kundenübersicht!$E$3:$BA$3,FALSE),FALSE),"")</f>
        <v>101575519</v>
      </c>
      <c r="M530" s="13" t="str">
        <f>IFERROR(VLOOKUP(B530,[1]Kundenübersicht!$E$4:$AC$1003,MATCH(M$3,[1]Kundenübersicht!$E$3:$BA$3,FALSE),FALSE),"")</f>
        <v>V281460760</v>
      </c>
      <c r="N530" s="13" t="str">
        <f>IFERROR(VLOOKUP(B530,[1]Kundenübersicht!$E$4:$AC$1003,MATCH(N$3,[1]Kundenübersicht!$E$3:$BA$3,FALSE),FALSE),"")</f>
        <v>PG 2</v>
      </c>
      <c r="P530" s="9" t="s">
        <v>29</v>
      </c>
      <c r="R530" s="9" t="str">
        <f t="shared" si="126"/>
        <v>Fehlt</v>
      </c>
      <c r="S530" s="14"/>
      <c r="U530" s="15">
        <f>IF(YEAR(C530)&lt;=2025,IFERROR(IF(I530="Hauswirtschaft",VLOOKUP($B530,[1]Kundenübersicht!$E$4:$BA$1003,MATCH("Hauswirtschaft [€/Stunde]",[1]Kundenübersicht!$E$3:$BA$3,FALSE),FALSE),VLOOKUP($B530,[1]Kundenübersicht!$E$4:$BA$1003,MATCH("Alltagsbegleitung [€/Stunde]",[1]Kundenübersicht!$E$3:$BA$3,FALSE),FALSE)),0),IFERROR(IF(I530="Hauswirtschaft",VLOOKUP($B530,[1]Kundenübersicht!$E$4:$BA$1003,MATCH("HW ab 2026 [€/Stunde]",[1]Kundenübersicht!$E$3:$BA$3,FALSE),FALSE),VLOOKUP($B530,[1]Kundenübersicht!$E$4:$BA$1003,MATCH("Alltagsbegleitung [€/Stunde]",[1]Kundenübersicht!$E$3:$BA$3,FALSE),FALSE)),0))</f>
        <v>42</v>
      </c>
      <c r="V530" s="16">
        <f t="shared" si="128"/>
        <v>41.999999999999964</v>
      </c>
      <c r="W530" s="16">
        <f t="shared" si="120"/>
        <v>7</v>
      </c>
      <c r="X530" s="16" t="s">
        <v>89</v>
      </c>
      <c r="Z530" s="20" t="str">
        <f t="shared" si="125"/>
        <v>Nein</v>
      </c>
      <c r="AA530" s="19"/>
      <c r="AC530" s="19"/>
      <c r="AE530" s="9">
        <f t="shared" si="136"/>
        <v>2025</v>
      </c>
      <c r="AF530" s="17" t="str">
        <f t="shared" si="137"/>
        <v>12.2025</v>
      </c>
      <c r="AG530" s="17" t="str">
        <f t="shared" si="138"/>
        <v>Ursula Ullmann</v>
      </c>
      <c r="AH530" s="17" t="str">
        <f>IFERROR(VLOOKUP(B530,[1]Kundenübersicht!$E$4:$F$85,2,FALSE),"")</f>
        <v>Wolfgang Seidel</v>
      </c>
      <c r="AI530" s="17" t="str">
        <f t="shared" si="132"/>
        <v>Alltagsbegleitung</v>
      </c>
      <c r="AJ530" s="17" t="str">
        <f t="shared" si="132"/>
        <v>Verhinderungs-/Kurzzeitpflege</v>
      </c>
      <c r="AL530" s="18">
        <f t="shared" si="133"/>
        <v>42</v>
      </c>
      <c r="AM530" s="18">
        <f t="shared" si="134"/>
        <v>41.999999999999964</v>
      </c>
      <c r="AN530" s="18">
        <f t="shared" si="135"/>
        <v>7</v>
      </c>
    </row>
    <row r="531" spans="1:40" x14ac:dyDescent="0.25">
      <c r="B531" s="30" t="s">
        <v>71</v>
      </c>
      <c r="C531" s="31">
        <v>46008</v>
      </c>
      <c r="D531" s="32">
        <v>0.58333333333333337</v>
      </c>
      <c r="E531" s="32">
        <v>0.66666666666666663</v>
      </c>
      <c r="F531" s="12">
        <f t="shared" si="127"/>
        <v>1.9999999999999982</v>
      </c>
      <c r="G531" s="12">
        <v>20</v>
      </c>
      <c r="H531" s="30" t="s">
        <v>64</v>
      </c>
      <c r="I531" s="30" t="s">
        <v>41</v>
      </c>
      <c r="J531" s="30" t="s">
        <v>72</v>
      </c>
      <c r="K531" s="9" t="str">
        <f>IFERROR(VLOOKUP($B531,[1]Kundenübersicht!$E$4:$AC$1003,MATCH(K$3,[1]Kundenübersicht!$E$3:$BA$3,FALSE),FALSE),"")</f>
        <v>Techniker Krankenkasse</v>
      </c>
      <c r="L531" s="13">
        <f>IFERROR(VLOOKUP(B531,[1]Kundenübersicht!$E$4:$AC$1003,MATCH(L$3,[1]Kundenübersicht!$E$3:$BA$3,FALSE),FALSE),"")</f>
        <v>101575519</v>
      </c>
      <c r="M531" s="13" t="str">
        <f>IFERROR(VLOOKUP(B531,[1]Kundenübersicht!$E$4:$AC$1003,MATCH(M$3,[1]Kundenübersicht!$E$3:$BA$3,FALSE),FALSE),"")</f>
        <v>V281460760</v>
      </c>
      <c r="N531" s="13" t="str">
        <f>IFERROR(VLOOKUP(B531,[1]Kundenübersicht!$E$4:$AC$1003,MATCH(N$3,[1]Kundenübersicht!$E$3:$BA$3,FALSE),FALSE),"")</f>
        <v>PG 2</v>
      </c>
      <c r="P531" s="9" t="s">
        <v>29</v>
      </c>
      <c r="R531" s="9" t="str">
        <f t="shared" si="126"/>
        <v>Fehlt</v>
      </c>
      <c r="S531" s="14"/>
      <c r="U531" s="15">
        <f>IF(YEAR(C531)&lt;=2025,IFERROR(IF(I531="Hauswirtschaft",VLOOKUP($B531,[1]Kundenübersicht!$E$4:$BA$1003,MATCH("Hauswirtschaft [€/Stunde]",[1]Kundenübersicht!$E$3:$BA$3,FALSE),FALSE),VLOOKUP($B531,[1]Kundenübersicht!$E$4:$BA$1003,MATCH("Alltagsbegleitung [€/Stunde]",[1]Kundenübersicht!$E$3:$BA$3,FALSE),FALSE)),0),IFERROR(IF(I531="Hauswirtschaft",VLOOKUP($B531,[1]Kundenübersicht!$E$4:$BA$1003,MATCH("HW ab 2026 [€/Stunde]",[1]Kundenübersicht!$E$3:$BA$3,FALSE),FALSE),VLOOKUP($B531,[1]Kundenübersicht!$E$4:$BA$1003,MATCH("Alltagsbegleitung [€/Stunde]",[1]Kundenübersicht!$E$3:$BA$3,FALSE),FALSE)),0))</f>
        <v>42</v>
      </c>
      <c r="V531" s="16">
        <f t="shared" si="128"/>
        <v>83.999999999999929</v>
      </c>
      <c r="W531" s="16">
        <f t="shared" si="120"/>
        <v>7</v>
      </c>
      <c r="X531" s="16" t="s">
        <v>89</v>
      </c>
      <c r="Z531" s="20" t="str">
        <f t="shared" si="125"/>
        <v>Nein</v>
      </c>
      <c r="AA531" s="19"/>
      <c r="AC531" s="19"/>
      <c r="AE531" s="9">
        <f t="shared" si="136"/>
        <v>2025</v>
      </c>
      <c r="AF531" s="17" t="str">
        <f t="shared" si="137"/>
        <v>12.2025</v>
      </c>
      <c r="AG531" s="17" t="str">
        <f t="shared" si="138"/>
        <v>Ursula Ullmann</v>
      </c>
      <c r="AH531" s="17" t="str">
        <f>IFERROR(VLOOKUP(B531,[1]Kundenübersicht!$E$4:$F$85,2,FALSE),"")</f>
        <v>Wolfgang Seidel</v>
      </c>
      <c r="AI531" s="17" t="str">
        <f t="shared" si="132"/>
        <v>Alltagsbegleitung</v>
      </c>
      <c r="AJ531" s="17" t="str">
        <f t="shared" si="132"/>
        <v>Verhinderungs-/Kurzzeitpflege</v>
      </c>
      <c r="AL531" s="18">
        <f t="shared" si="133"/>
        <v>42</v>
      </c>
      <c r="AM531" s="18">
        <f t="shared" si="134"/>
        <v>83.999999999999929</v>
      </c>
      <c r="AN531" s="18">
        <f t="shared" si="135"/>
        <v>7</v>
      </c>
    </row>
    <row r="532" spans="1:40" x14ac:dyDescent="0.25">
      <c r="B532" s="30" t="s">
        <v>71</v>
      </c>
      <c r="C532" s="31">
        <v>46021</v>
      </c>
      <c r="D532" s="32">
        <v>0.625</v>
      </c>
      <c r="E532" s="32">
        <v>0.70833333333333337</v>
      </c>
      <c r="F532" s="12">
        <f t="shared" si="127"/>
        <v>2.0000000000000009</v>
      </c>
      <c r="G532" s="12">
        <v>20</v>
      </c>
      <c r="H532" s="30" t="s">
        <v>64</v>
      </c>
      <c r="I532" s="30" t="s">
        <v>41</v>
      </c>
      <c r="J532" s="30" t="s">
        <v>72</v>
      </c>
      <c r="K532" s="9" t="str">
        <f>IFERROR(VLOOKUP($B532,[1]Kundenübersicht!$E$4:$AC$1003,MATCH(K$3,[1]Kundenübersicht!$E$3:$BA$3,FALSE),FALSE),"")</f>
        <v>Techniker Krankenkasse</v>
      </c>
      <c r="L532" s="13">
        <f>IFERROR(VLOOKUP(B532,[1]Kundenübersicht!$E$4:$AC$1003,MATCH(L$3,[1]Kundenübersicht!$E$3:$BA$3,FALSE),FALSE),"")</f>
        <v>101575519</v>
      </c>
      <c r="M532" s="13" t="str">
        <f>IFERROR(VLOOKUP(B532,[1]Kundenübersicht!$E$4:$AC$1003,MATCH(M$3,[1]Kundenübersicht!$E$3:$BA$3,FALSE),FALSE),"")</f>
        <v>V281460760</v>
      </c>
      <c r="N532" s="13" t="str">
        <f>IFERROR(VLOOKUP(B532,[1]Kundenübersicht!$E$4:$AC$1003,MATCH(N$3,[1]Kundenübersicht!$E$3:$BA$3,FALSE),FALSE),"")</f>
        <v>PG 2</v>
      </c>
      <c r="P532" s="9" t="s">
        <v>29</v>
      </c>
      <c r="R532" s="9" t="str">
        <f t="shared" si="126"/>
        <v>Fehlt</v>
      </c>
      <c r="S532" s="14"/>
      <c r="U532" s="15">
        <f>IF(YEAR(C532)&lt;=2025,IFERROR(IF(I532="Hauswirtschaft",VLOOKUP($B532,[1]Kundenübersicht!$E$4:$BA$1003,MATCH("Hauswirtschaft [€/Stunde]",[1]Kundenübersicht!$E$3:$BA$3,FALSE),FALSE),VLOOKUP($B532,[1]Kundenübersicht!$E$4:$BA$1003,MATCH("Alltagsbegleitung [€/Stunde]",[1]Kundenübersicht!$E$3:$BA$3,FALSE),FALSE)),0),IFERROR(IF(I532="Hauswirtschaft",VLOOKUP($B532,[1]Kundenübersicht!$E$4:$BA$1003,MATCH("HW ab 2026 [€/Stunde]",[1]Kundenübersicht!$E$3:$BA$3,FALSE),FALSE),VLOOKUP($B532,[1]Kundenübersicht!$E$4:$BA$1003,MATCH("Alltagsbegleitung [€/Stunde]",[1]Kundenübersicht!$E$3:$BA$3,FALSE),FALSE)),0))</f>
        <v>42</v>
      </c>
      <c r="V532" s="16">
        <f t="shared" si="128"/>
        <v>84.000000000000043</v>
      </c>
      <c r="W532" s="16">
        <f t="shared" si="120"/>
        <v>7</v>
      </c>
      <c r="X532" s="16" t="s">
        <v>89</v>
      </c>
      <c r="Z532" s="20" t="str">
        <f t="shared" si="125"/>
        <v>Nein</v>
      </c>
      <c r="AA532" s="19"/>
      <c r="AC532" s="19"/>
      <c r="AE532" s="9">
        <f t="shared" si="136"/>
        <v>2025</v>
      </c>
      <c r="AF532" s="17" t="str">
        <f t="shared" si="137"/>
        <v>12.2025</v>
      </c>
      <c r="AG532" s="17" t="str">
        <f t="shared" si="138"/>
        <v>Ursula Ullmann</v>
      </c>
      <c r="AH532" s="17" t="str">
        <f>IFERROR(VLOOKUP(B532,[1]Kundenübersicht!$E$4:$F$85,2,FALSE),"")</f>
        <v>Wolfgang Seidel</v>
      </c>
      <c r="AI532" s="17" t="str">
        <f t="shared" si="132"/>
        <v>Alltagsbegleitung</v>
      </c>
      <c r="AJ532" s="17" t="str">
        <f t="shared" si="132"/>
        <v>Verhinderungs-/Kurzzeitpflege</v>
      </c>
      <c r="AL532" s="18">
        <f t="shared" si="133"/>
        <v>42</v>
      </c>
      <c r="AM532" s="18">
        <f t="shared" si="134"/>
        <v>84.000000000000043</v>
      </c>
      <c r="AN532" s="18">
        <f t="shared" si="135"/>
        <v>7</v>
      </c>
    </row>
    <row r="533" spans="1:40" x14ac:dyDescent="0.25">
      <c r="A533" s="39"/>
      <c r="B533" s="30" t="s">
        <v>105</v>
      </c>
      <c r="C533" s="31">
        <v>46062</v>
      </c>
      <c r="D533" s="32">
        <v>0.41666666666666669</v>
      </c>
      <c r="E533" s="32">
        <v>0.45833333333333331</v>
      </c>
      <c r="F533" s="12">
        <f t="shared" si="127"/>
        <v>0.99999999999999911</v>
      </c>
      <c r="G533" s="12">
        <v>3.7</v>
      </c>
      <c r="H533" s="30" t="s">
        <v>77</v>
      </c>
      <c r="I533" s="30" t="s">
        <v>41</v>
      </c>
      <c r="J533" s="30" t="s">
        <v>28</v>
      </c>
      <c r="K533" s="9" t="str">
        <f>IFERROR(VLOOKUP($B533,[1]Kundenübersicht!$E$4:$AC$1003,MATCH(K$3,[1]Kundenübersicht!$E$3:$BA$3,FALSE),FALSE),"")</f>
        <v>IKK Classic</v>
      </c>
      <c r="L533" s="13">
        <f>IFERROR(VLOOKUP(B533,[1]Kundenübersicht!$E$4:$AC$1003,MATCH(L$3,[1]Kundenübersicht!$E$3:$BA$3,FALSE),FALSE),"")</f>
        <v>187202793</v>
      </c>
      <c r="M533" s="13" t="str">
        <f>IFERROR(VLOOKUP(B533,[1]Kundenübersicht!$E$4:$AC$1003,MATCH(M$3,[1]Kundenübersicht!$E$3:$BA$3,FALSE),FALSE),"")</f>
        <v>I956826553</v>
      </c>
      <c r="N533" s="13" t="str">
        <f>IFERROR(VLOOKUP(B533,[1]Kundenübersicht!$E$4:$AC$1003,MATCH(N$3,[1]Kundenübersicht!$E$3:$BA$3,FALSE),FALSE),"")</f>
        <v>PG 3</v>
      </c>
      <c r="P533" s="9" t="s">
        <v>29</v>
      </c>
      <c r="R533" s="9" t="str">
        <f t="shared" si="126"/>
        <v>Fehlt</v>
      </c>
      <c r="S533" s="14"/>
      <c r="U533" s="15">
        <f>IF(YEAR(C533)&lt;=2025,IFERROR(IF(I533="Hauswirtschaft",VLOOKUP($B533,[1]Kundenübersicht!$E$4:$BA$1003,MATCH("Hauswirtschaft [€/Stunde]",[1]Kundenübersicht!$E$3:$BA$3,FALSE),FALSE),VLOOKUP($B533,[1]Kundenübersicht!$E$4:$BA$1003,MATCH("Alltagsbegleitung [€/Stunde]",[1]Kundenübersicht!$E$3:$BA$3,FALSE),FALSE)),0),IFERROR(IF(I533="Hauswirtschaft",VLOOKUP($B533,[1]Kundenübersicht!$E$4:$BA$1003,MATCH("HW ab 2026 [€/Stunde]",[1]Kundenübersicht!$E$3:$BA$3,FALSE),FALSE),VLOOKUP($B533,[1]Kundenübersicht!$E$4:$BA$1003,MATCH("Alltagsbegleitung [€/Stunde]",[1]Kundenübersicht!$E$3:$BA$3,FALSE),FALSE)),0))</f>
        <v>42</v>
      </c>
      <c r="V533" s="16">
        <f t="shared" si="128"/>
        <v>41.999999999999964</v>
      </c>
      <c r="W533" s="16">
        <f t="shared" si="120"/>
        <v>1.2949999999999999</v>
      </c>
      <c r="X533" s="16" t="s">
        <v>89</v>
      </c>
      <c r="Z533" s="20" t="str">
        <f t="shared" si="125"/>
        <v>Nein</v>
      </c>
      <c r="AA533" s="19"/>
      <c r="AC533" s="19"/>
      <c r="AE533" s="9">
        <f t="shared" si="136"/>
        <v>2026</v>
      </c>
      <c r="AF533" s="17" t="str">
        <f t="shared" si="137"/>
        <v>02.2026</v>
      </c>
      <c r="AG533" s="17" t="str">
        <f t="shared" si="138"/>
        <v>Janet Klitzsch</v>
      </c>
      <c r="AH533" s="17" t="str">
        <f>IFERROR(VLOOKUP(B533,[1]Kundenübersicht!$E$4:$F$85,2,FALSE),"")</f>
        <v>Rita Stammler</v>
      </c>
      <c r="AI533" s="17" t="str">
        <f t="shared" si="132"/>
        <v>Alltagsbegleitung</v>
      </c>
      <c r="AJ533" s="17" t="str">
        <f t="shared" si="132"/>
        <v>Entlastungsleistung</v>
      </c>
      <c r="AL533" s="18">
        <f t="shared" si="133"/>
        <v>42</v>
      </c>
      <c r="AM533" s="18">
        <f t="shared" si="134"/>
        <v>41.999999999999964</v>
      </c>
      <c r="AN533" s="18">
        <f t="shared" si="135"/>
        <v>1.2949999999999999</v>
      </c>
    </row>
    <row r="534" spans="1:40" x14ac:dyDescent="0.25">
      <c r="A534" s="39"/>
      <c r="B534" s="30" t="s">
        <v>105</v>
      </c>
      <c r="C534" s="31">
        <v>46080</v>
      </c>
      <c r="D534" s="32">
        <v>0.70833333333333337</v>
      </c>
      <c r="E534" s="32">
        <v>0.75</v>
      </c>
      <c r="F534" s="12">
        <f t="shared" si="127"/>
        <v>0.99999999999999911</v>
      </c>
      <c r="G534" s="12">
        <v>3.7</v>
      </c>
      <c r="H534" s="30" t="s">
        <v>77</v>
      </c>
      <c r="I534" s="30" t="s">
        <v>41</v>
      </c>
      <c r="J534" s="30" t="s">
        <v>28</v>
      </c>
      <c r="K534" s="9" t="str">
        <f>IFERROR(VLOOKUP($B534,[1]Kundenübersicht!$E$4:$AC$1003,MATCH(K$3,[1]Kundenübersicht!$E$3:$BA$3,FALSE),FALSE),"")</f>
        <v>IKK Classic</v>
      </c>
      <c r="L534" s="13">
        <f>IFERROR(VLOOKUP(B534,[1]Kundenübersicht!$E$4:$AC$1003,MATCH(L$3,[1]Kundenübersicht!$E$3:$BA$3,FALSE),FALSE),"")</f>
        <v>187202793</v>
      </c>
      <c r="M534" s="13" t="str">
        <f>IFERROR(VLOOKUP(B534,[1]Kundenübersicht!$E$4:$AC$1003,MATCH(M$3,[1]Kundenübersicht!$E$3:$BA$3,FALSE),FALSE),"")</f>
        <v>I956826553</v>
      </c>
      <c r="N534" s="13" t="str">
        <f>IFERROR(VLOOKUP(B534,[1]Kundenübersicht!$E$4:$AC$1003,MATCH(N$3,[1]Kundenübersicht!$E$3:$BA$3,FALSE),FALSE),"")</f>
        <v>PG 3</v>
      </c>
      <c r="P534" s="9" t="s">
        <v>29</v>
      </c>
      <c r="R534" s="9" t="str">
        <f t="shared" si="126"/>
        <v>Fehlt</v>
      </c>
      <c r="S534" s="14"/>
      <c r="U534" s="15">
        <f>IF(YEAR(C534)&lt;=2025,IFERROR(IF(I534="Hauswirtschaft",VLOOKUP($B534,[1]Kundenübersicht!$E$4:$BA$1003,MATCH("Hauswirtschaft [€/Stunde]",[1]Kundenübersicht!$E$3:$BA$3,FALSE),FALSE),VLOOKUP($B534,[1]Kundenübersicht!$E$4:$BA$1003,MATCH("Alltagsbegleitung [€/Stunde]",[1]Kundenübersicht!$E$3:$BA$3,FALSE),FALSE)),0),IFERROR(IF(I534="Hauswirtschaft",VLOOKUP($B534,[1]Kundenübersicht!$E$4:$BA$1003,MATCH("HW ab 2026 [€/Stunde]",[1]Kundenübersicht!$E$3:$BA$3,FALSE),FALSE),VLOOKUP($B534,[1]Kundenübersicht!$E$4:$BA$1003,MATCH("Alltagsbegleitung [€/Stunde]",[1]Kundenübersicht!$E$3:$BA$3,FALSE),FALSE)),0))</f>
        <v>42</v>
      </c>
      <c r="V534" s="16">
        <f t="shared" si="128"/>
        <v>41.999999999999964</v>
      </c>
      <c r="W534" s="16">
        <f t="shared" si="120"/>
        <v>1.2949999999999999</v>
      </c>
      <c r="X534" s="16" t="s">
        <v>89</v>
      </c>
      <c r="Z534" s="20" t="str">
        <f t="shared" si="125"/>
        <v>Nein</v>
      </c>
      <c r="AA534" s="19"/>
      <c r="AC534" s="19"/>
      <c r="AE534" s="9">
        <f t="shared" si="136"/>
        <v>2026</v>
      </c>
      <c r="AF534" s="17" t="str">
        <f t="shared" si="137"/>
        <v>02.2026</v>
      </c>
      <c r="AG534" s="17" t="str">
        <f t="shared" si="138"/>
        <v>Janet Klitzsch</v>
      </c>
      <c r="AH534" s="17" t="str">
        <f>IFERROR(VLOOKUP(B534,[1]Kundenübersicht!$E$4:$F$85,2,FALSE),"")</f>
        <v>Rita Stammler</v>
      </c>
      <c r="AI534" s="17" t="str">
        <f t="shared" si="132"/>
        <v>Alltagsbegleitung</v>
      </c>
      <c r="AJ534" s="17" t="str">
        <f t="shared" si="132"/>
        <v>Entlastungsleistung</v>
      </c>
      <c r="AL534" s="18">
        <f t="shared" si="133"/>
        <v>42</v>
      </c>
      <c r="AM534" s="18">
        <f t="shared" si="134"/>
        <v>41.999999999999964</v>
      </c>
      <c r="AN534" s="18">
        <f t="shared" si="135"/>
        <v>1.2949999999999999</v>
      </c>
    </row>
    <row r="535" spans="1:40" x14ac:dyDescent="0.25">
      <c r="A535" s="39"/>
      <c r="B535" s="30" t="s">
        <v>78</v>
      </c>
      <c r="C535" s="31">
        <v>46059</v>
      </c>
      <c r="D535" s="32">
        <v>0.58333333333333337</v>
      </c>
      <c r="E535" s="32">
        <v>0.64583333333333337</v>
      </c>
      <c r="F535" s="12">
        <f t="shared" si="127"/>
        <v>1.5</v>
      </c>
      <c r="G535" s="12">
        <v>6.4</v>
      </c>
      <c r="H535" s="30" t="s">
        <v>77</v>
      </c>
      <c r="I535" s="30" t="s">
        <v>27</v>
      </c>
      <c r="J535" s="30" t="s">
        <v>28</v>
      </c>
      <c r="K535" s="9" t="str">
        <f>IFERROR(VLOOKUP($B535,[1]Kundenübersicht!$E$4:$AC$1003,MATCH(K$3,[1]Kundenübersicht!$E$3:$BA$3,FALSE),FALSE),"")</f>
        <v>AOK PLUS</v>
      </c>
      <c r="L535" s="13">
        <f>IFERROR(VLOOKUP(B535,[1]Kundenübersicht!$E$4:$AC$1003,MATCH(L$3,[1]Kundenübersicht!$E$3:$BA$3,FALSE),FALSE),"")</f>
        <v>107299005</v>
      </c>
      <c r="M535" s="13" t="str">
        <f>IFERROR(VLOOKUP(B535,[1]Kundenübersicht!$E$4:$AC$1003,MATCH(M$3,[1]Kundenübersicht!$E$3:$BA$3,FALSE),FALSE),"")</f>
        <v>H973915536</v>
      </c>
      <c r="N535" s="13" t="str">
        <f>IFERROR(VLOOKUP(B535,[1]Kundenübersicht!$E$4:$AC$1003,MATCH(N$3,[1]Kundenübersicht!$E$3:$BA$3,FALSE),FALSE),"")</f>
        <v>PG 2</v>
      </c>
      <c r="P535" s="9" t="s">
        <v>29</v>
      </c>
      <c r="R535" s="9" t="str">
        <f t="shared" si="126"/>
        <v>Unterschrieben</v>
      </c>
      <c r="S535" s="14" t="s">
        <v>31</v>
      </c>
      <c r="U535" s="15">
        <f>IF(YEAR(C535)&lt;=2025,IFERROR(IF(I535="Hauswirtschaft",VLOOKUP($B535,[1]Kundenübersicht!$E$4:$BA$1003,MATCH("Hauswirtschaft [€/Stunde]",[1]Kundenübersicht!$E$3:$BA$3,FALSE),FALSE),VLOOKUP($B535,[1]Kundenübersicht!$E$4:$BA$1003,MATCH("Alltagsbegleitung [€/Stunde]",[1]Kundenübersicht!$E$3:$BA$3,FALSE),FALSE)),0),IFERROR(IF(I535="Hauswirtschaft",VLOOKUP($B535,[1]Kundenübersicht!$E$4:$BA$1003,MATCH("HW ab 2026 [€/Stunde]",[1]Kundenübersicht!$E$3:$BA$3,FALSE),FALSE),VLOOKUP($B535,[1]Kundenübersicht!$E$4:$BA$1003,MATCH("Alltagsbegleitung [€/Stunde]",[1]Kundenübersicht!$E$3:$BA$3,FALSE),FALSE)),0))</f>
        <v>38</v>
      </c>
      <c r="V535" s="16">
        <f t="shared" si="128"/>
        <v>57</v>
      </c>
      <c r="W535" s="16">
        <f t="shared" si="120"/>
        <v>2.2399999999999998</v>
      </c>
      <c r="X535" s="16" t="s">
        <v>89</v>
      </c>
      <c r="Z535" s="20" t="str">
        <f t="shared" si="125"/>
        <v>Nein</v>
      </c>
      <c r="AA535" s="19"/>
      <c r="AC535" s="19"/>
      <c r="AE535" s="9">
        <f t="shared" si="136"/>
        <v>2026</v>
      </c>
      <c r="AF535" s="17" t="str">
        <f t="shared" si="137"/>
        <v>02.2026</v>
      </c>
      <c r="AG535" s="17" t="str">
        <f t="shared" si="138"/>
        <v>Janet Klitzsch</v>
      </c>
      <c r="AH535" s="17" t="str">
        <f>IFERROR(VLOOKUP(B535,[1]Kundenübersicht!$E$4:$F$85,2,FALSE),"")</f>
        <v>Gunnar Schenke</v>
      </c>
      <c r="AI535" s="17" t="str">
        <f t="shared" si="132"/>
        <v>Hauswirtschaft</v>
      </c>
      <c r="AJ535" s="17" t="str">
        <f t="shared" si="132"/>
        <v>Entlastungsleistung</v>
      </c>
      <c r="AL535" s="18">
        <f t="shared" si="133"/>
        <v>38</v>
      </c>
      <c r="AM535" s="18">
        <f t="shared" si="134"/>
        <v>57</v>
      </c>
      <c r="AN535" s="18">
        <f t="shared" si="135"/>
        <v>2.2399999999999998</v>
      </c>
    </row>
    <row r="536" spans="1:40" x14ac:dyDescent="0.25">
      <c r="A536" s="39"/>
      <c r="B536" s="30" t="s">
        <v>78</v>
      </c>
      <c r="C536" s="31">
        <v>46066</v>
      </c>
      <c r="D536" s="32">
        <v>0.58333333333333337</v>
      </c>
      <c r="E536" s="32">
        <v>0.64583333333333337</v>
      </c>
      <c r="F536" s="12">
        <f t="shared" si="127"/>
        <v>1.5</v>
      </c>
      <c r="G536" s="12">
        <v>6.4</v>
      </c>
      <c r="H536" s="30" t="s">
        <v>77</v>
      </c>
      <c r="I536" s="30" t="s">
        <v>27</v>
      </c>
      <c r="J536" s="30" t="s">
        <v>28</v>
      </c>
      <c r="K536" s="9" t="str">
        <f>IFERROR(VLOOKUP($B536,[1]Kundenübersicht!$E$4:$AC$1003,MATCH(K$3,[1]Kundenübersicht!$E$3:$BA$3,FALSE),FALSE),"")</f>
        <v>AOK PLUS</v>
      </c>
      <c r="L536" s="13">
        <f>IFERROR(VLOOKUP(B536,[1]Kundenübersicht!$E$4:$AC$1003,MATCH(L$3,[1]Kundenübersicht!$E$3:$BA$3,FALSE),FALSE),"")</f>
        <v>107299005</v>
      </c>
      <c r="M536" s="13" t="str">
        <f>IFERROR(VLOOKUP(B536,[1]Kundenübersicht!$E$4:$AC$1003,MATCH(M$3,[1]Kundenübersicht!$E$3:$BA$3,FALSE),FALSE),"")</f>
        <v>H973915536</v>
      </c>
      <c r="N536" s="13" t="str">
        <f>IFERROR(VLOOKUP(B536,[1]Kundenübersicht!$E$4:$AC$1003,MATCH(N$3,[1]Kundenübersicht!$E$3:$BA$3,FALSE),FALSE),"")</f>
        <v>PG 2</v>
      </c>
      <c r="P536" s="9" t="s">
        <v>29</v>
      </c>
      <c r="R536" s="9" t="str">
        <f t="shared" si="126"/>
        <v>Unterschrieben</v>
      </c>
      <c r="S536" s="14" t="s">
        <v>31</v>
      </c>
      <c r="U536" s="15">
        <f>IF(YEAR(C536)&lt;=2025,IFERROR(IF(I536="Hauswirtschaft",VLOOKUP($B536,[1]Kundenübersicht!$E$4:$BA$1003,MATCH("Hauswirtschaft [€/Stunde]",[1]Kundenübersicht!$E$3:$BA$3,FALSE),FALSE),VLOOKUP($B536,[1]Kundenübersicht!$E$4:$BA$1003,MATCH("Alltagsbegleitung [€/Stunde]",[1]Kundenübersicht!$E$3:$BA$3,FALSE),FALSE)),0),IFERROR(IF(I536="Hauswirtschaft",VLOOKUP($B536,[1]Kundenübersicht!$E$4:$BA$1003,MATCH("HW ab 2026 [€/Stunde]",[1]Kundenübersicht!$E$3:$BA$3,FALSE),FALSE),VLOOKUP($B536,[1]Kundenübersicht!$E$4:$BA$1003,MATCH("Alltagsbegleitung [€/Stunde]",[1]Kundenübersicht!$E$3:$BA$3,FALSE),FALSE)),0))</f>
        <v>38</v>
      </c>
      <c r="V536" s="16">
        <f t="shared" si="128"/>
        <v>57</v>
      </c>
      <c r="W536" s="16">
        <f t="shared" ref="W536:W599" si="139">IF(AND(YEAR(C536)&lt;=2025,X536="Alt"),0,G536*0.35)</f>
        <v>2.2399999999999998</v>
      </c>
      <c r="X536" s="16" t="s">
        <v>89</v>
      </c>
      <c r="Z536" s="20" t="str">
        <f t="shared" si="125"/>
        <v>Nein</v>
      </c>
      <c r="AA536" s="19"/>
      <c r="AC536" s="19"/>
      <c r="AE536" s="9">
        <f t="shared" si="136"/>
        <v>2026</v>
      </c>
      <c r="AF536" s="17" t="str">
        <f t="shared" si="137"/>
        <v>02.2026</v>
      </c>
      <c r="AG536" s="17" t="str">
        <f t="shared" si="138"/>
        <v>Janet Klitzsch</v>
      </c>
      <c r="AH536" s="17" t="str">
        <f>IFERROR(VLOOKUP(B536,[1]Kundenübersicht!$E$4:$F$85,2,FALSE),"")</f>
        <v>Gunnar Schenke</v>
      </c>
      <c r="AI536" s="17" t="str">
        <f t="shared" si="132"/>
        <v>Hauswirtschaft</v>
      </c>
      <c r="AJ536" s="17" t="str">
        <f t="shared" si="132"/>
        <v>Entlastungsleistung</v>
      </c>
      <c r="AL536" s="18">
        <f t="shared" si="133"/>
        <v>38</v>
      </c>
      <c r="AM536" s="18">
        <f t="shared" si="134"/>
        <v>57</v>
      </c>
      <c r="AN536" s="18">
        <f t="shared" si="135"/>
        <v>2.2399999999999998</v>
      </c>
    </row>
    <row r="537" spans="1:40" x14ac:dyDescent="0.25">
      <c r="A537" s="39"/>
      <c r="B537" s="30" t="s">
        <v>78</v>
      </c>
      <c r="C537" s="31">
        <v>46080</v>
      </c>
      <c r="D537" s="32">
        <v>0.58333333333333337</v>
      </c>
      <c r="E537" s="32">
        <v>0.64583333333333337</v>
      </c>
      <c r="F537" s="12">
        <f t="shared" si="127"/>
        <v>1.5</v>
      </c>
      <c r="G537" s="12">
        <v>6.4</v>
      </c>
      <c r="H537" s="30" t="s">
        <v>77</v>
      </c>
      <c r="I537" s="30" t="s">
        <v>27</v>
      </c>
      <c r="J537" s="30" t="s">
        <v>28</v>
      </c>
      <c r="K537" s="9" t="str">
        <f>IFERROR(VLOOKUP($B537,[1]Kundenübersicht!$E$4:$AC$1003,MATCH(K$3,[1]Kundenübersicht!$E$3:$BA$3,FALSE),FALSE),"")</f>
        <v>AOK PLUS</v>
      </c>
      <c r="L537" s="13">
        <f>IFERROR(VLOOKUP(B537,[1]Kundenübersicht!$E$4:$AC$1003,MATCH(L$3,[1]Kundenübersicht!$E$3:$BA$3,FALSE),FALSE),"")</f>
        <v>107299005</v>
      </c>
      <c r="M537" s="13" t="str">
        <f>IFERROR(VLOOKUP(B537,[1]Kundenübersicht!$E$4:$AC$1003,MATCH(M$3,[1]Kundenübersicht!$E$3:$BA$3,FALSE),FALSE),"")</f>
        <v>H973915536</v>
      </c>
      <c r="N537" s="13" t="str">
        <f>IFERROR(VLOOKUP(B537,[1]Kundenübersicht!$E$4:$AC$1003,MATCH(N$3,[1]Kundenübersicht!$E$3:$BA$3,FALSE),FALSE),"")</f>
        <v>PG 2</v>
      </c>
      <c r="P537" s="9" t="s">
        <v>29</v>
      </c>
      <c r="R537" s="9" t="str">
        <f t="shared" si="126"/>
        <v>Unterschrieben</v>
      </c>
      <c r="S537" s="14" t="s">
        <v>31</v>
      </c>
      <c r="U537" s="15">
        <f>IF(YEAR(C537)&lt;=2025,IFERROR(IF(I537="Hauswirtschaft",VLOOKUP($B537,[1]Kundenübersicht!$E$4:$BA$1003,MATCH("Hauswirtschaft [€/Stunde]",[1]Kundenübersicht!$E$3:$BA$3,FALSE),FALSE),VLOOKUP($B537,[1]Kundenübersicht!$E$4:$BA$1003,MATCH("Alltagsbegleitung [€/Stunde]",[1]Kundenübersicht!$E$3:$BA$3,FALSE),FALSE)),0),IFERROR(IF(I537="Hauswirtschaft",VLOOKUP($B537,[1]Kundenübersicht!$E$4:$BA$1003,MATCH("HW ab 2026 [€/Stunde]",[1]Kundenübersicht!$E$3:$BA$3,FALSE),FALSE),VLOOKUP($B537,[1]Kundenübersicht!$E$4:$BA$1003,MATCH("Alltagsbegleitung [€/Stunde]",[1]Kundenübersicht!$E$3:$BA$3,FALSE),FALSE)),0))</f>
        <v>38</v>
      </c>
      <c r="V537" s="16">
        <f t="shared" si="128"/>
        <v>57</v>
      </c>
      <c r="W537" s="16">
        <f t="shared" si="139"/>
        <v>2.2399999999999998</v>
      </c>
      <c r="X537" s="16" t="s">
        <v>89</v>
      </c>
      <c r="Z537" s="20" t="str">
        <f t="shared" si="125"/>
        <v>Nein</v>
      </c>
      <c r="AA537" s="19"/>
      <c r="AC537" s="19"/>
      <c r="AE537" s="9">
        <f t="shared" si="136"/>
        <v>2026</v>
      </c>
      <c r="AF537" s="17" t="str">
        <f t="shared" si="137"/>
        <v>02.2026</v>
      </c>
      <c r="AG537" s="17" t="str">
        <f t="shared" si="138"/>
        <v>Janet Klitzsch</v>
      </c>
      <c r="AH537" s="17" t="str">
        <f>IFERROR(VLOOKUP(B537,[1]Kundenübersicht!$E$4:$F$85,2,FALSE),"")</f>
        <v>Gunnar Schenke</v>
      </c>
      <c r="AI537" s="17" t="str">
        <f t="shared" si="132"/>
        <v>Hauswirtschaft</v>
      </c>
      <c r="AJ537" s="17" t="str">
        <f t="shared" si="132"/>
        <v>Entlastungsleistung</v>
      </c>
      <c r="AL537" s="18">
        <f t="shared" si="133"/>
        <v>38</v>
      </c>
      <c r="AM537" s="18">
        <f t="shared" si="134"/>
        <v>57</v>
      </c>
      <c r="AN537" s="18">
        <f t="shared" si="135"/>
        <v>2.2399999999999998</v>
      </c>
    </row>
    <row r="538" spans="1:40" x14ac:dyDescent="0.25">
      <c r="A538" s="39"/>
      <c r="B538" s="30" t="s">
        <v>79</v>
      </c>
      <c r="C538" s="31">
        <v>46057</v>
      </c>
      <c r="D538" s="32">
        <v>0.58333333333333337</v>
      </c>
      <c r="E538" s="32">
        <v>0.66666666666666663</v>
      </c>
      <c r="F538" s="12">
        <f t="shared" si="127"/>
        <v>1.9999999999999982</v>
      </c>
      <c r="G538" s="12">
        <v>2.4</v>
      </c>
      <c r="H538" s="30" t="s">
        <v>77</v>
      </c>
      <c r="I538" s="30" t="s">
        <v>27</v>
      </c>
      <c r="J538" s="30" t="s">
        <v>28</v>
      </c>
      <c r="K538" s="9" t="str">
        <f>IFERROR(VLOOKUP($B538,[1]Kundenübersicht!$E$4:$AC$1003,MATCH(K$3,[1]Kundenübersicht!$E$3:$BA$3,FALSE),FALSE),"")</f>
        <v>AOK PLUS</v>
      </c>
      <c r="L538" s="13">
        <f>IFERROR(VLOOKUP(B538,[1]Kundenübersicht!$E$4:$AC$1003,MATCH(L$3,[1]Kundenübersicht!$E$3:$BA$3,FALSE),FALSE),"")</f>
        <v>107299005</v>
      </c>
      <c r="M538" s="13" t="str">
        <f>IFERROR(VLOOKUP(B538,[1]Kundenübersicht!$E$4:$AC$1003,MATCH(M$3,[1]Kundenübersicht!$E$3:$BA$3,FALSE),FALSE),"")</f>
        <v>Z531781988</v>
      </c>
      <c r="N538" s="13" t="str">
        <f>IFERROR(VLOOKUP(B538,[1]Kundenübersicht!$E$4:$AC$1003,MATCH(N$3,[1]Kundenübersicht!$E$3:$BA$3,FALSE),FALSE),"")</f>
        <v>PG 1</v>
      </c>
      <c r="P538" s="9" t="s">
        <v>29</v>
      </c>
      <c r="R538" s="9" t="str">
        <f t="shared" si="126"/>
        <v>Fehlt</v>
      </c>
      <c r="S538" s="14"/>
      <c r="U538" s="15">
        <f>IF(YEAR(C538)&lt;=2025,IFERROR(IF(I538="Hauswirtschaft",VLOOKUP($B538,[1]Kundenübersicht!$E$4:$BA$1003,MATCH("Hauswirtschaft [€/Stunde]",[1]Kundenübersicht!$E$3:$BA$3,FALSE),FALSE),VLOOKUP($B538,[1]Kundenübersicht!$E$4:$BA$1003,MATCH("Alltagsbegleitung [€/Stunde]",[1]Kundenübersicht!$E$3:$BA$3,FALSE),FALSE)),0),IFERROR(IF(I538="Hauswirtschaft",VLOOKUP($B538,[1]Kundenübersicht!$E$4:$BA$1003,MATCH("HW ab 2026 [€/Stunde]",[1]Kundenübersicht!$E$3:$BA$3,FALSE),FALSE),VLOOKUP($B538,[1]Kundenübersicht!$E$4:$BA$1003,MATCH("Alltagsbegleitung [€/Stunde]",[1]Kundenübersicht!$E$3:$BA$3,FALSE),FALSE)),0))</f>
        <v>38</v>
      </c>
      <c r="V538" s="16">
        <f t="shared" si="128"/>
        <v>75.999999999999929</v>
      </c>
      <c r="W538" s="16">
        <f t="shared" si="139"/>
        <v>0.84</v>
      </c>
      <c r="X538" s="16" t="s">
        <v>89</v>
      </c>
      <c r="Z538" s="20" t="str">
        <f t="shared" si="125"/>
        <v>Nein</v>
      </c>
      <c r="AA538" s="19"/>
      <c r="AC538" s="19"/>
      <c r="AE538" s="9">
        <f t="shared" si="136"/>
        <v>2026</v>
      </c>
      <c r="AF538" s="17" t="str">
        <f t="shared" si="137"/>
        <v>02.2026</v>
      </c>
      <c r="AG538" s="17" t="str">
        <f t="shared" si="138"/>
        <v>Janet Klitzsch</v>
      </c>
      <c r="AH538" s="17" t="str">
        <f>IFERROR(VLOOKUP(B538,[1]Kundenübersicht!$E$4:$F$85,2,FALSE),"")</f>
        <v>Lianne Kröher</v>
      </c>
      <c r="AI538" s="17" t="str">
        <f t="shared" si="132"/>
        <v>Hauswirtschaft</v>
      </c>
      <c r="AJ538" s="17" t="str">
        <f t="shared" si="132"/>
        <v>Entlastungsleistung</v>
      </c>
      <c r="AL538" s="18">
        <f t="shared" si="133"/>
        <v>38</v>
      </c>
      <c r="AM538" s="18">
        <f t="shared" si="134"/>
        <v>75.999999999999929</v>
      </c>
      <c r="AN538" s="18">
        <f t="shared" si="135"/>
        <v>0.84</v>
      </c>
    </row>
    <row r="539" spans="1:40" x14ac:dyDescent="0.25">
      <c r="A539" s="39"/>
      <c r="B539" s="30" t="s">
        <v>79</v>
      </c>
      <c r="C539" s="31">
        <v>46064</v>
      </c>
      <c r="D539" s="32">
        <v>0.58333333333333337</v>
      </c>
      <c r="E539" s="32">
        <v>0.66666666666666663</v>
      </c>
      <c r="F539" s="12">
        <f t="shared" si="127"/>
        <v>1.9999999999999982</v>
      </c>
      <c r="G539" s="12">
        <v>2.4</v>
      </c>
      <c r="H539" s="30" t="s">
        <v>77</v>
      </c>
      <c r="I539" s="30" t="s">
        <v>27</v>
      </c>
      <c r="J539" s="30" t="s">
        <v>28</v>
      </c>
      <c r="K539" s="9" t="str">
        <f>IFERROR(VLOOKUP($B539,[1]Kundenübersicht!$E$4:$AC$1003,MATCH(K$3,[1]Kundenübersicht!$E$3:$BA$3,FALSE),FALSE),"")</f>
        <v>AOK PLUS</v>
      </c>
      <c r="L539" s="13">
        <f>IFERROR(VLOOKUP(B539,[1]Kundenübersicht!$E$4:$AC$1003,MATCH(L$3,[1]Kundenübersicht!$E$3:$BA$3,FALSE),FALSE),"")</f>
        <v>107299005</v>
      </c>
      <c r="M539" s="13" t="str">
        <f>IFERROR(VLOOKUP(B539,[1]Kundenübersicht!$E$4:$AC$1003,MATCH(M$3,[1]Kundenübersicht!$E$3:$BA$3,FALSE),FALSE),"")</f>
        <v>Z531781988</v>
      </c>
      <c r="N539" s="13" t="str">
        <f>IFERROR(VLOOKUP(B539,[1]Kundenübersicht!$E$4:$AC$1003,MATCH(N$3,[1]Kundenübersicht!$E$3:$BA$3,FALSE),FALSE),"")</f>
        <v>PG 1</v>
      </c>
      <c r="P539" s="9" t="s">
        <v>29</v>
      </c>
      <c r="R539" s="9" t="str">
        <f t="shared" si="126"/>
        <v>Fehlt</v>
      </c>
      <c r="S539" s="14"/>
      <c r="U539" s="15">
        <f>IF(YEAR(C539)&lt;=2025,IFERROR(IF(I539="Hauswirtschaft",VLOOKUP($B539,[1]Kundenübersicht!$E$4:$BA$1003,MATCH("Hauswirtschaft [€/Stunde]",[1]Kundenübersicht!$E$3:$BA$3,FALSE),FALSE),VLOOKUP($B539,[1]Kundenübersicht!$E$4:$BA$1003,MATCH("Alltagsbegleitung [€/Stunde]",[1]Kundenübersicht!$E$3:$BA$3,FALSE),FALSE)),0),IFERROR(IF(I539="Hauswirtschaft",VLOOKUP($B539,[1]Kundenübersicht!$E$4:$BA$1003,MATCH("HW ab 2026 [€/Stunde]",[1]Kundenübersicht!$E$3:$BA$3,FALSE),FALSE),VLOOKUP($B539,[1]Kundenübersicht!$E$4:$BA$1003,MATCH("Alltagsbegleitung [€/Stunde]",[1]Kundenübersicht!$E$3:$BA$3,FALSE),FALSE)),0))</f>
        <v>38</v>
      </c>
      <c r="V539" s="16">
        <f t="shared" si="128"/>
        <v>75.999999999999929</v>
      </c>
      <c r="W539" s="16">
        <f t="shared" si="139"/>
        <v>0.84</v>
      </c>
      <c r="X539" s="16" t="s">
        <v>89</v>
      </c>
      <c r="Z539" s="20" t="str">
        <f t="shared" si="125"/>
        <v>Nein</v>
      </c>
      <c r="AA539" s="19"/>
      <c r="AC539" s="19"/>
      <c r="AE539" s="9">
        <f t="shared" si="136"/>
        <v>2026</v>
      </c>
      <c r="AF539" s="17" t="str">
        <f t="shared" si="137"/>
        <v>02.2026</v>
      </c>
      <c r="AG539" s="17" t="str">
        <f t="shared" si="138"/>
        <v>Janet Klitzsch</v>
      </c>
      <c r="AH539" s="17" t="str">
        <f>IFERROR(VLOOKUP(B539,[1]Kundenübersicht!$E$4:$F$85,2,FALSE),"")</f>
        <v>Lianne Kröher</v>
      </c>
      <c r="AI539" s="17" t="str">
        <f t="shared" si="132"/>
        <v>Hauswirtschaft</v>
      </c>
      <c r="AJ539" s="17" t="str">
        <f t="shared" si="132"/>
        <v>Entlastungsleistung</v>
      </c>
      <c r="AL539" s="18">
        <f t="shared" si="133"/>
        <v>38</v>
      </c>
      <c r="AM539" s="18">
        <f t="shared" si="134"/>
        <v>75.999999999999929</v>
      </c>
      <c r="AN539" s="18">
        <f t="shared" si="135"/>
        <v>0.84</v>
      </c>
    </row>
    <row r="540" spans="1:40" x14ac:dyDescent="0.25">
      <c r="A540" s="39"/>
      <c r="B540" s="30" t="s">
        <v>79</v>
      </c>
      <c r="C540" s="31">
        <v>46071</v>
      </c>
      <c r="D540" s="32">
        <v>0.58333333333333337</v>
      </c>
      <c r="E540" s="32">
        <v>0.66666666666666663</v>
      </c>
      <c r="F540" s="12">
        <f t="shared" si="127"/>
        <v>1.9999999999999982</v>
      </c>
      <c r="G540" s="12">
        <v>2.4</v>
      </c>
      <c r="H540" s="30" t="s">
        <v>77</v>
      </c>
      <c r="I540" s="30" t="s">
        <v>27</v>
      </c>
      <c r="J540" s="30" t="s">
        <v>28</v>
      </c>
      <c r="K540" s="9" t="str">
        <f>IFERROR(VLOOKUP($B540,[1]Kundenübersicht!$E$4:$AC$1003,MATCH(K$3,[1]Kundenübersicht!$E$3:$BA$3,FALSE),FALSE),"")</f>
        <v>AOK PLUS</v>
      </c>
      <c r="L540" s="13">
        <f>IFERROR(VLOOKUP(B540,[1]Kundenübersicht!$E$4:$AC$1003,MATCH(L$3,[1]Kundenübersicht!$E$3:$BA$3,FALSE),FALSE),"")</f>
        <v>107299005</v>
      </c>
      <c r="M540" s="13" t="str">
        <f>IFERROR(VLOOKUP(B540,[1]Kundenübersicht!$E$4:$AC$1003,MATCH(M$3,[1]Kundenübersicht!$E$3:$BA$3,FALSE),FALSE),"")</f>
        <v>Z531781988</v>
      </c>
      <c r="N540" s="13" t="str">
        <f>IFERROR(VLOOKUP(B540,[1]Kundenübersicht!$E$4:$AC$1003,MATCH(N$3,[1]Kundenübersicht!$E$3:$BA$3,FALSE),FALSE),"")</f>
        <v>PG 1</v>
      </c>
      <c r="P540" s="9" t="s">
        <v>29</v>
      </c>
      <c r="R540" s="9" t="str">
        <f t="shared" si="126"/>
        <v>Fehlt</v>
      </c>
      <c r="S540" s="14"/>
      <c r="U540" s="15">
        <f>IF(YEAR(C540)&lt;=2025,IFERROR(IF(I540="Hauswirtschaft",VLOOKUP($B540,[1]Kundenübersicht!$E$4:$BA$1003,MATCH("Hauswirtschaft [€/Stunde]",[1]Kundenübersicht!$E$3:$BA$3,FALSE),FALSE),VLOOKUP($B540,[1]Kundenübersicht!$E$4:$BA$1003,MATCH("Alltagsbegleitung [€/Stunde]",[1]Kundenübersicht!$E$3:$BA$3,FALSE),FALSE)),0),IFERROR(IF(I540="Hauswirtschaft",VLOOKUP($B540,[1]Kundenübersicht!$E$4:$BA$1003,MATCH("HW ab 2026 [€/Stunde]",[1]Kundenübersicht!$E$3:$BA$3,FALSE),FALSE),VLOOKUP($B540,[1]Kundenübersicht!$E$4:$BA$1003,MATCH("Alltagsbegleitung [€/Stunde]",[1]Kundenübersicht!$E$3:$BA$3,FALSE),FALSE)),0))</f>
        <v>38</v>
      </c>
      <c r="V540" s="16">
        <f t="shared" si="128"/>
        <v>75.999999999999929</v>
      </c>
      <c r="W540" s="16">
        <f t="shared" si="139"/>
        <v>0.84</v>
      </c>
      <c r="X540" s="16" t="s">
        <v>89</v>
      </c>
      <c r="Z540" s="20" t="str">
        <f t="shared" si="125"/>
        <v>Nein</v>
      </c>
      <c r="AA540" s="19"/>
      <c r="AC540" s="19"/>
      <c r="AE540" s="9">
        <f t="shared" si="136"/>
        <v>2026</v>
      </c>
      <c r="AF540" s="17" t="str">
        <f t="shared" si="137"/>
        <v>02.2026</v>
      </c>
      <c r="AG540" s="17" t="str">
        <f t="shared" si="138"/>
        <v>Janet Klitzsch</v>
      </c>
      <c r="AH540" s="17" t="str">
        <f>IFERROR(VLOOKUP(B540,[1]Kundenübersicht!$E$4:$F$85,2,FALSE),"")</f>
        <v>Lianne Kröher</v>
      </c>
      <c r="AI540" s="17" t="str">
        <f t="shared" si="132"/>
        <v>Hauswirtschaft</v>
      </c>
      <c r="AJ540" s="17" t="str">
        <f t="shared" si="132"/>
        <v>Entlastungsleistung</v>
      </c>
      <c r="AL540" s="18">
        <f t="shared" si="133"/>
        <v>38</v>
      </c>
      <c r="AM540" s="18">
        <f t="shared" si="134"/>
        <v>75.999999999999929</v>
      </c>
      <c r="AN540" s="18">
        <f t="shared" si="135"/>
        <v>0.84</v>
      </c>
    </row>
    <row r="541" spans="1:40" x14ac:dyDescent="0.25">
      <c r="A541" s="39"/>
      <c r="B541" s="30" t="s">
        <v>79</v>
      </c>
      <c r="C541" s="31">
        <v>46078</v>
      </c>
      <c r="D541" s="32">
        <v>0.58333333333333337</v>
      </c>
      <c r="E541" s="32">
        <v>0.66666666666666663</v>
      </c>
      <c r="F541" s="12">
        <f t="shared" si="127"/>
        <v>1.9999999999999982</v>
      </c>
      <c r="G541" s="12">
        <v>2.4</v>
      </c>
      <c r="H541" s="30" t="s">
        <v>77</v>
      </c>
      <c r="I541" s="30" t="s">
        <v>27</v>
      </c>
      <c r="J541" s="30" t="s">
        <v>28</v>
      </c>
      <c r="K541" s="9" t="str">
        <f>IFERROR(VLOOKUP($B541,[1]Kundenübersicht!$E$4:$AC$1003,MATCH(K$3,[1]Kundenübersicht!$E$3:$BA$3,FALSE),FALSE),"")</f>
        <v>AOK PLUS</v>
      </c>
      <c r="L541" s="13">
        <f>IFERROR(VLOOKUP(B541,[1]Kundenübersicht!$E$4:$AC$1003,MATCH(L$3,[1]Kundenübersicht!$E$3:$BA$3,FALSE),FALSE),"")</f>
        <v>107299005</v>
      </c>
      <c r="M541" s="13" t="str">
        <f>IFERROR(VLOOKUP(B541,[1]Kundenübersicht!$E$4:$AC$1003,MATCH(M$3,[1]Kundenübersicht!$E$3:$BA$3,FALSE),FALSE),"")</f>
        <v>Z531781988</v>
      </c>
      <c r="N541" s="13" t="str">
        <f>IFERROR(VLOOKUP(B541,[1]Kundenübersicht!$E$4:$AC$1003,MATCH(N$3,[1]Kundenübersicht!$E$3:$BA$3,FALSE),FALSE),"")</f>
        <v>PG 1</v>
      </c>
      <c r="P541" s="9" t="s">
        <v>29</v>
      </c>
      <c r="R541" s="9" t="str">
        <f t="shared" si="126"/>
        <v>Fehlt</v>
      </c>
      <c r="S541" s="14"/>
      <c r="U541" s="15">
        <f>IF(YEAR(C541)&lt;=2025,IFERROR(IF(I541="Hauswirtschaft",VLOOKUP($B541,[1]Kundenübersicht!$E$4:$BA$1003,MATCH("Hauswirtschaft [€/Stunde]",[1]Kundenübersicht!$E$3:$BA$3,FALSE),FALSE),VLOOKUP($B541,[1]Kundenübersicht!$E$4:$BA$1003,MATCH("Alltagsbegleitung [€/Stunde]",[1]Kundenübersicht!$E$3:$BA$3,FALSE),FALSE)),0),IFERROR(IF(I541="Hauswirtschaft",VLOOKUP($B541,[1]Kundenübersicht!$E$4:$BA$1003,MATCH("HW ab 2026 [€/Stunde]",[1]Kundenübersicht!$E$3:$BA$3,FALSE),FALSE),VLOOKUP($B541,[1]Kundenübersicht!$E$4:$BA$1003,MATCH("Alltagsbegleitung [€/Stunde]",[1]Kundenübersicht!$E$3:$BA$3,FALSE),FALSE)),0))</f>
        <v>38</v>
      </c>
      <c r="V541" s="16">
        <f t="shared" si="128"/>
        <v>75.999999999999929</v>
      </c>
      <c r="W541" s="16">
        <f t="shared" si="139"/>
        <v>0.84</v>
      </c>
      <c r="X541" s="16" t="s">
        <v>89</v>
      </c>
      <c r="Z541" s="20" t="str">
        <f t="shared" si="125"/>
        <v>Nein</v>
      </c>
      <c r="AA541" s="19"/>
      <c r="AC541" s="19"/>
      <c r="AE541" s="9">
        <f t="shared" si="136"/>
        <v>2026</v>
      </c>
      <c r="AF541" s="17" t="str">
        <f t="shared" si="137"/>
        <v>02.2026</v>
      </c>
      <c r="AG541" s="17" t="str">
        <f t="shared" si="138"/>
        <v>Janet Klitzsch</v>
      </c>
      <c r="AH541" s="17" t="str">
        <f>IFERROR(VLOOKUP(B541,[1]Kundenübersicht!$E$4:$F$85,2,FALSE),"")</f>
        <v>Lianne Kröher</v>
      </c>
      <c r="AI541" s="17" t="str">
        <f t="shared" si="132"/>
        <v>Hauswirtschaft</v>
      </c>
      <c r="AJ541" s="17" t="str">
        <f t="shared" si="132"/>
        <v>Entlastungsleistung</v>
      </c>
      <c r="AL541" s="18">
        <f t="shared" si="133"/>
        <v>38</v>
      </c>
      <c r="AM541" s="18">
        <f t="shared" si="134"/>
        <v>75.999999999999929</v>
      </c>
      <c r="AN541" s="18">
        <f t="shared" si="135"/>
        <v>0.84</v>
      </c>
    </row>
    <row r="542" spans="1:40" x14ac:dyDescent="0.25">
      <c r="A542" s="39"/>
      <c r="B542" s="30" t="s">
        <v>25</v>
      </c>
      <c r="C542" s="31">
        <v>46057</v>
      </c>
      <c r="D542" s="32">
        <v>0.375</v>
      </c>
      <c r="E542" s="32">
        <v>0.4375</v>
      </c>
      <c r="F542" s="12">
        <f t="shared" si="127"/>
        <v>1.5</v>
      </c>
      <c r="G542" s="12">
        <v>1.8</v>
      </c>
      <c r="H542" s="30" t="s">
        <v>77</v>
      </c>
      <c r="I542" s="30" t="s">
        <v>27</v>
      </c>
      <c r="J542" s="30" t="s">
        <v>28</v>
      </c>
      <c r="K542" s="9" t="str">
        <f>IFERROR(VLOOKUP($B542,[1]Kundenübersicht!$E$4:$AC$1003,MATCH(K$3,[1]Kundenübersicht!$E$3:$BA$3,FALSE),FALSE),"")</f>
        <v>Barmer Pflegekasse</v>
      </c>
      <c r="L542" s="13">
        <f>IFERROR(VLOOKUP(B542,[1]Kundenübersicht!$E$4:$AC$1003,MATCH(L$3,[1]Kundenübersicht!$E$3:$BA$3,FALSE),FALSE),"")</f>
        <v>184940005</v>
      </c>
      <c r="M542" s="13" t="str">
        <f>IFERROR(VLOOKUP(B542,[1]Kundenübersicht!$E$4:$AC$1003,MATCH(M$3,[1]Kundenübersicht!$E$3:$BA$3,FALSE),FALSE),"")</f>
        <v>Z817157321</v>
      </c>
      <c r="N542" s="13" t="str">
        <f>IFERROR(VLOOKUP(B542,[1]Kundenübersicht!$E$4:$AC$1003,MATCH(N$3,[1]Kundenübersicht!$E$3:$BA$3,FALSE),FALSE),"")</f>
        <v>PG 1</v>
      </c>
      <c r="P542" s="9" t="s">
        <v>29</v>
      </c>
      <c r="R542" s="9" t="str">
        <f t="shared" si="126"/>
        <v>Fehlt</v>
      </c>
      <c r="S542" s="14"/>
      <c r="U542" s="15">
        <f>IF(YEAR(C542)&lt;=2025,IFERROR(IF(I542="Hauswirtschaft",VLOOKUP($B542,[1]Kundenübersicht!$E$4:$BA$1003,MATCH("Hauswirtschaft [€/Stunde]",[1]Kundenübersicht!$E$3:$BA$3,FALSE),FALSE),VLOOKUP($B542,[1]Kundenübersicht!$E$4:$BA$1003,MATCH("Alltagsbegleitung [€/Stunde]",[1]Kundenübersicht!$E$3:$BA$3,FALSE),FALSE)),0),IFERROR(IF(I542="Hauswirtschaft",VLOOKUP($B542,[1]Kundenübersicht!$E$4:$BA$1003,MATCH("HW ab 2026 [€/Stunde]",[1]Kundenübersicht!$E$3:$BA$3,FALSE),FALSE),VLOOKUP($B542,[1]Kundenübersicht!$E$4:$BA$1003,MATCH("Alltagsbegleitung [€/Stunde]",[1]Kundenübersicht!$E$3:$BA$3,FALSE),FALSE)),0))</f>
        <v>38</v>
      </c>
      <c r="V542" s="16">
        <f t="shared" si="128"/>
        <v>57</v>
      </c>
      <c r="W542" s="16">
        <f t="shared" si="139"/>
        <v>0.63</v>
      </c>
      <c r="X542" s="16" t="s">
        <v>89</v>
      </c>
      <c r="Z542" s="20" t="str">
        <f t="shared" si="125"/>
        <v>Nein</v>
      </c>
      <c r="AA542" s="19"/>
      <c r="AC542" s="19"/>
      <c r="AE542" s="9">
        <f t="shared" si="136"/>
        <v>2026</v>
      </c>
      <c r="AF542" s="17" t="str">
        <f t="shared" si="137"/>
        <v>02.2026</v>
      </c>
      <c r="AG542" s="17" t="str">
        <f t="shared" si="138"/>
        <v>Janet Klitzsch</v>
      </c>
      <c r="AH542" s="17" t="str">
        <f>IFERROR(VLOOKUP(B542,[1]Kundenübersicht!$E$4:$F$85,2,FALSE),"")</f>
        <v>Rosemarie Schröder</v>
      </c>
      <c r="AI542" s="17" t="str">
        <f t="shared" ref="AI542:AJ563" si="140">IF(I542="","",I542)</f>
        <v>Hauswirtschaft</v>
      </c>
      <c r="AJ542" s="17" t="str">
        <f t="shared" si="140"/>
        <v>Entlastungsleistung</v>
      </c>
      <c r="AL542" s="18">
        <f t="shared" si="133"/>
        <v>38</v>
      </c>
      <c r="AM542" s="18">
        <f t="shared" si="134"/>
        <v>57</v>
      </c>
      <c r="AN542" s="18">
        <f t="shared" si="135"/>
        <v>0.63</v>
      </c>
    </row>
    <row r="543" spans="1:40" x14ac:dyDescent="0.25">
      <c r="A543" s="39"/>
      <c r="B543" s="30" t="s">
        <v>25</v>
      </c>
      <c r="C543" s="31">
        <v>46078</v>
      </c>
      <c r="D543" s="32">
        <v>0.375</v>
      </c>
      <c r="E543" s="32">
        <v>0.4375</v>
      </c>
      <c r="F543" s="12">
        <f t="shared" si="127"/>
        <v>1.5</v>
      </c>
      <c r="G543" s="12">
        <v>1.8</v>
      </c>
      <c r="H543" s="30" t="s">
        <v>77</v>
      </c>
      <c r="I543" s="30" t="s">
        <v>27</v>
      </c>
      <c r="J543" s="30" t="s">
        <v>28</v>
      </c>
      <c r="K543" s="9" t="str">
        <f>IFERROR(VLOOKUP($B543,[1]Kundenübersicht!$E$4:$AC$1003,MATCH(K$3,[1]Kundenübersicht!$E$3:$BA$3,FALSE),FALSE),"")</f>
        <v>Barmer Pflegekasse</v>
      </c>
      <c r="L543" s="13">
        <f>IFERROR(VLOOKUP(B543,[1]Kundenübersicht!$E$4:$AC$1003,MATCH(L$3,[1]Kundenübersicht!$E$3:$BA$3,FALSE),FALSE),"")</f>
        <v>184940005</v>
      </c>
      <c r="M543" s="13" t="str">
        <f>IFERROR(VLOOKUP(B543,[1]Kundenübersicht!$E$4:$AC$1003,MATCH(M$3,[1]Kundenübersicht!$E$3:$BA$3,FALSE),FALSE),"")</f>
        <v>Z817157321</v>
      </c>
      <c r="N543" s="13" t="str">
        <f>IFERROR(VLOOKUP(B543,[1]Kundenübersicht!$E$4:$AC$1003,MATCH(N$3,[1]Kundenübersicht!$E$3:$BA$3,FALSE),FALSE),"")</f>
        <v>PG 1</v>
      </c>
      <c r="P543" s="9" t="s">
        <v>29</v>
      </c>
      <c r="R543" s="9" t="str">
        <f t="shared" si="126"/>
        <v>Fehlt</v>
      </c>
      <c r="S543" s="14"/>
      <c r="U543" s="15">
        <f>IF(YEAR(C543)&lt;=2025,IFERROR(IF(I543="Hauswirtschaft",VLOOKUP($B543,[1]Kundenübersicht!$E$4:$BA$1003,MATCH("Hauswirtschaft [€/Stunde]",[1]Kundenübersicht!$E$3:$BA$3,FALSE),FALSE),VLOOKUP($B543,[1]Kundenübersicht!$E$4:$BA$1003,MATCH("Alltagsbegleitung [€/Stunde]",[1]Kundenübersicht!$E$3:$BA$3,FALSE),FALSE)),0),IFERROR(IF(I543="Hauswirtschaft",VLOOKUP($B543,[1]Kundenübersicht!$E$4:$BA$1003,MATCH("HW ab 2026 [€/Stunde]",[1]Kundenübersicht!$E$3:$BA$3,FALSE),FALSE),VLOOKUP($B543,[1]Kundenübersicht!$E$4:$BA$1003,MATCH("Alltagsbegleitung [€/Stunde]",[1]Kundenübersicht!$E$3:$BA$3,FALSE),FALSE)),0))</f>
        <v>38</v>
      </c>
      <c r="V543" s="16">
        <f t="shared" si="128"/>
        <v>57</v>
      </c>
      <c r="W543" s="16">
        <f t="shared" si="139"/>
        <v>0.63</v>
      </c>
      <c r="X543" s="16" t="s">
        <v>89</v>
      </c>
      <c r="Z543" s="20" t="str">
        <f t="shared" si="125"/>
        <v>Nein</v>
      </c>
      <c r="AA543" s="19"/>
      <c r="AC543" s="19"/>
      <c r="AE543" s="9">
        <f t="shared" si="136"/>
        <v>2026</v>
      </c>
      <c r="AF543" s="17" t="str">
        <f t="shared" si="137"/>
        <v>02.2026</v>
      </c>
      <c r="AG543" s="17" t="str">
        <f t="shared" si="138"/>
        <v>Janet Klitzsch</v>
      </c>
      <c r="AH543" s="17" t="str">
        <f>IFERROR(VLOOKUP(B543,[1]Kundenübersicht!$E$4:$F$85,2,FALSE),"")</f>
        <v>Rosemarie Schröder</v>
      </c>
      <c r="AI543" s="17" t="str">
        <f t="shared" si="140"/>
        <v>Hauswirtschaft</v>
      </c>
      <c r="AJ543" s="17" t="str">
        <f t="shared" si="140"/>
        <v>Entlastungsleistung</v>
      </c>
      <c r="AL543" s="18">
        <f t="shared" si="133"/>
        <v>38</v>
      </c>
      <c r="AM543" s="18">
        <f t="shared" si="134"/>
        <v>57</v>
      </c>
      <c r="AN543" s="18">
        <f t="shared" si="135"/>
        <v>0.63</v>
      </c>
    </row>
    <row r="544" spans="1:40" x14ac:dyDescent="0.25">
      <c r="A544" s="39"/>
      <c r="B544" s="30" t="s">
        <v>88</v>
      </c>
      <c r="C544" s="31">
        <v>46070</v>
      </c>
      <c r="D544" s="32">
        <v>0.52083333333333337</v>
      </c>
      <c r="E544" s="32">
        <v>0.58333333333333337</v>
      </c>
      <c r="F544" s="12">
        <f t="shared" si="127"/>
        <v>1.5</v>
      </c>
      <c r="G544" s="12">
        <v>5.5</v>
      </c>
      <c r="H544" s="30" t="s">
        <v>77</v>
      </c>
      <c r="I544" s="30" t="s">
        <v>27</v>
      </c>
      <c r="J544" s="30" t="s">
        <v>28</v>
      </c>
      <c r="K544" s="9" t="str">
        <f>IFERROR(VLOOKUP($B544,[1]Kundenübersicht!$E$4:$AC$1003,MATCH(K$3,[1]Kundenübersicht!$E$3:$BA$3,FALSE),FALSE),"")</f>
        <v>AOK Baden-Württemberg</v>
      </c>
      <c r="L544" s="13">
        <f>IFERROR(VLOOKUP(B544,[1]Kundenübersicht!$E$4:$AC$1003,MATCH(L$3,[1]Kundenübersicht!$E$3:$BA$3,FALSE),FALSE),"")</f>
        <v>108018007</v>
      </c>
      <c r="M544" s="13" t="str">
        <f>IFERROR(VLOOKUP(B544,[1]Kundenübersicht!$E$4:$AC$1003,MATCH(M$3,[1]Kundenübersicht!$E$3:$BA$3,FALSE),FALSE),"")</f>
        <v>B715434538</v>
      </c>
      <c r="N544" s="13" t="str">
        <f>IFERROR(VLOOKUP(B544,[1]Kundenübersicht!$E$4:$AC$1003,MATCH(N$3,[1]Kundenübersicht!$E$3:$BA$3,FALSE),FALSE),"")</f>
        <v>PG 2</v>
      </c>
      <c r="P544" s="9" t="s">
        <v>29</v>
      </c>
      <c r="R544" s="9" t="str">
        <f t="shared" si="126"/>
        <v>Unterschrieben</v>
      </c>
      <c r="S544" s="14" t="s">
        <v>31</v>
      </c>
      <c r="U544" s="15">
        <f>IF(YEAR(C544)&lt;=2025,IFERROR(IF(I544="Hauswirtschaft",VLOOKUP($B544,[1]Kundenübersicht!$E$4:$BA$1003,MATCH("Hauswirtschaft [€/Stunde]",[1]Kundenübersicht!$E$3:$BA$3,FALSE),FALSE),VLOOKUP($B544,[1]Kundenübersicht!$E$4:$BA$1003,MATCH("Alltagsbegleitung [€/Stunde]",[1]Kundenübersicht!$E$3:$BA$3,FALSE),FALSE)),0),IFERROR(IF(I544="Hauswirtschaft",VLOOKUP($B544,[1]Kundenübersicht!$E$4:$BA$1003,MATCH("HW ab 2026 [€/Stunde]",[1]Kundenübersicht!$E$3:$BA$3,FALSE),FALSE),VLOOKUP($B544,[1]Kundenübersicht!$E$4:$BA$1003,MATCH("Alltagsbegleitung [€/Stunde]",[1]Kundenübersicht!$E$3:$BA$3,FALSE),FALSE)),0))</f>
        <v>38</v>
      </c>
      <c r="V544" s="16">
        <f t="shared" si="128"/>
        <v>57</v>
      </c>
      <c r="W544" s="16">
        <f t="shared" si="139"/>
        <v>1.9249999999999998</v>
      </c>
      <c r="X544" s="16" t="s">
        <v>89</v>
      </c>
      <c r="Z544" s="20" t="str">
        <f t="shared" si="125"/>
        <v>Nein</v>
      </c>
      <c r="AA544" s="19"/>
      <c r="AC544" s="19"/>
      <c r="AE544" s="9">
        <f t="shared" si="136"/>
        <v>2026</v>
      </c>
      <c r="AF544" s="17" t="str">
        <f t="shared" si="137"/>
        <v>02.2026</v>
      </c>
      <c r="AG544" s="17" t="str">
        <f t="shared" si="138"/>
        <v>Janet Klitzsch</v>
      </c>
      <c r="AH544" s="17" t="str">
        <f>IFERROR(VLOOKUP(B544,[1]Kundenübersicht!$E$4:$F$85,2,FALSE),"")</f>
        <v>Franziska Roderfeld</v>
      </c>
      <c r="AI544" s="17" t="str">
        <f t="shared" si="140"/>
        <v>Hauswirtschaft</v>
      </c>
      <c r="AJ544" s="17" t="str">
        <f t="shared" si="140"/>
        <v>Entlastungsleistung</v>
      </c>
      <c r="AL544" s="18">
        <f t="shared" si="133"/>
        <v>38</v>
      </c>
      <c r="AM544" s="18">
        <f t="shared" si="134"/>
        <v>57</v>
      </c>
      <c r="AN544" s="18">
        <f t="shared" si="135"/>
        <v>1.9249999999999998</v>
      </c>
    </row>
    <row r="545" spans="1:40" x14ac:dyDescent="0.25">
      <c r="A545" s="39"/>
      <c r="B545" s="30" t="s">
        <v>45</v>
      </c>
      <c r="C545" s="31">
        <v>46055</v>
      </c>
      <c r="D545" s="32">
        <v>0.64583333333333337</v>
      </c>
      <c r="E545" s="32">
        <v>0.70833333333333337</v>
      </c>
      <c r="F545" s="12">
        <f t="shared" si="127"/>
        <v>1.5</v>
      </c>
      <c r="G545" s="12">
        <v>3.6</v>
      </c>
      <c r="H545" s="30" t="s">
        <v>77</v>
      </c>
      <c r="I545" s="30" t="s">
        <v>27</v>
      </c>
      <c r="J545" s="30" t="s">
        <v>28</v>
      </c>
      <c r="K545" s="9" t="str">
        <f>IFERROR(VLOOKUP($B545,[1]Kundenübersicht!$E$4:$AC$1003,MATCH(K$3,[1]Kundenübersicht!$E$3:$BA$3,FALSE),FALSE),"")</f>
        <v>AOK PLUS</v>
      </c>
      <c r="L545" s="13">
        <f>IFERROR(VLOOKUP(B545,[1]Kundenübersicht!$E$4:$AC$1003,MATCH(L$3,[1]Kundenübersicht!$E$3:$BA$3,FALSE),FALSE),"")</f>
        <v>107299005</v>
      </c>
      <c r="M545" s="13" t="str">
        <f>IFERROR(VLOOKUP(B545,[1]Kundenübersicht!$E$4:$AC$1003,MATCH(M$3,[1]Kundenübersicht!$E$3:$BA$3,FALSE),FALSE),"")</f>
        <v>F862750970</v>
      </c>
      <c r="N545" s="13" t="str">
        <f>IFERROR(VLOOKUP(B545,[1]Kundenübersicht!$E$4:$AC$1003,MATCH(N$3,[1]Kundenübersicht!$E$3:$BA$3,FALSE),FALSE),"")</f>
        <v>PG 1</v>
      </c>
      <c r="P545" s="9" t="s">
        <v>29</v>
      </c>
      <c r="R545" s="9" t="str">
        <f t="shared" si="126"/>
        <v>Unterschrieben</v>
      </c>
      <c r="S545" s="14" t="s">
        <v>31</v>
      </c>
      <c r="U545" s="15">
        <f>IF(YEAR(C545)&lt;=2025,IFERROR(IF(I545="Hauswirtschaft",VLOOKUP($B545,[1]Kundenübersicht!$E$4:$BA$1003,MATCH("Hauswirtschaft [€/Stunde]",[1]Kundenübersicht!$E$3:$BA$3,FALSE),FALSE),VLOOKUP($B545,[1]Kundenübersicht!$E$4:$BA$1003,MATCH("Alltagsbegleitung [€/Stunde]",[1]Kundenübersicht!$E$3:$BA$3,FALSE),FALSE)),0),IFERROR(IF(I545="Hauswirtschaft",VLOOKUP($B545,[1]Kundenübersicht!$E$4:$BA$1003,MATCH("HW ab 2026 [€/Stunde]",[1]Kundenübersicht!$E$3:$BA$3,FALSE),FALSE),VLOOKUP($B545,[1]Kundenübersicht!$E$4:$BA$1003,MATCH("Alltagsbegleitung [€/Stunde]",[1]Kundenübersicht!$E$3:$BA$3,FALSE),FALSE)),0))</f>
        <v>38</v>
      </c>
      <c r="V545" s="16">
        <f t="shared" si="128"/>
        <v>57</v>
      </c>
      <c r="W545" s="16">
        <f t="shared" si="139"/>
        <v>1.26</v>
      </c>
      <c r="X545" s="16" t="s">
        <v>89</v>
      </c>
      <c r="Z545" s="20" t="str">
        <f t="shared" si="125"/>
        <v>Nein</v>
      </c>
      <c r="AA545" s="19"/>
      <c r="AC545" s="19"/>
      <c r="AE545" s="9">
        <f t="shared" si="136"/>
        <v>2026</v>
      </c>
      <c r="AF545" s="17" t="str">
        <f t="shared" si="137"/>
        <v>02.2026</v>
      </c>
      <c r="AG545" s="17" t="str">
        <f t="shared" si="138"/>
        <v>Janet Klitzsch</v>
      </c>
      <c r="AH545" s="17" t="str">
        <f>IFERROR(VLOOKUP(B545,[1]Kundenübersicht!$E$4:$F$85,2,FALSE),"")</f>
        <v>Hella Reißig</v>
      </c>
      <c r="AI545" s="17" t="str">
        <f t="shared" si="140"/>
        <v>Hauswirtschaft</v>
      </c>
      <c r="AJ545" s="17" t="str">
        <f t="shared" si="140"/>
        <v>Entlastungsleistung</v>
      </c>
      <c r="AL545" s="18">
        <f t="shared" si="133"/>
        <v>38</v>
      </c>
      <c r="AM545" s="18">
        <f t="shared" si="134"/>
        <v>57</v>
      </c>
      <c r="AN545" s="18">
        <f t="shared" si="135"/>
        <v>1.26</v>
      </c>
    </row>
    <row r="546" spans="1:40" x14ac:dyDescent="0.25">
      <c r="A546" s="39"/>
      <c r="B546" s="30" t="s">
        <v>45</v>
      </c>
      <c r="C546" s="31">
        <v>46062</v>
      </c>
      <c r="D546" s="32">
        <v>0.66666666666666663</v>
      </c>
      <c r="E546" s="32">
        <v>0.72916666666666663</v>
      </c>
      <c r="F546" s="12">
        <f t="shared" si="127"/>
        <v>1.5</v>
      </c>
      <c r="G546" s="12">
        <v>3.6</v>
      </c>
      <c r="H546" s="30" t="s">
        <v>77</v>
      </c>
      <c r="I546" s="30" t="s">
        <v>27</v>
      </c>
      <c r="J546" s="30" t="s">
        <v>28</v>
      </c>
      <c r="K546" s="9" t="str">
        <f>IFERROR(VLOOKUP($B546,[1]Kundenübersicht!$E$4:$AC$1003,MATCH(K$3,[1]Kundenübersicht!$E$3:$BA$3,FALSE),FALSE),"")</f>
        <v>AOK PLUS</v>
      </c>
      <c r="L546" s="13">
        <f>IFERROR(VLOOKUP(B546,[1]Kundenübersicht!$E$4:$AC$1003,MATCH(L$3,[1]Kundenübersicht!$E$3:$BA$3,FALSE),FALSE),"")</f>
        <v>107299005</v>
      </c>
      <c r="M546" s="13" t="str">
        <f>IFERROR(VLOOKUP(B546,[1]Kundenübersicht!$E$4:$AC$1003,MATCH(M$3,[1]Kundenübersicht!$E$3:$BA$3,FALSE),FALSE),"")</f>
        <v>F862750970</v>
      </c>
      <c r="N546" s="13" t="str">
        <f>IFERROR(VLOOKUP(B546,[1]Kundenübersicht!$E$4:$AC$1003,MATCH(N$3,[1]Kundenübersicht!$E$3:$BA$3,FALSE),FALSE),"")</f>
        <v>PG 1</v>
      </c>
      <c r="P546" s="9" t="s">
        <v>29</v>
      </c>
      <c r="R546" s="9" t="str">
        <f t="shared" si="126"/>
        <v>Unterschrieben</v>
      </c>
      <c r="S546" s="14" t="s">
        <v>31</v>
      </c>
      <c r="U546" s="15">
        <f>IF(YEAR(C546)&lt;=2025,IFERROR(IF(I546="Hauswirtschaft",VLOOKUP($B546,[1]Kundenübersicht!$E$4:$BA$1003,MATCH("Hauswirtschaft [€/Stunde]",[1]Kundenübersicht!$E$3:$BA$3,FALSE),FALSE),VLOOKUP($B546,[1]Kundenübersicht!$E$4:$BA$1003,MATCH("Alltagsbegleitung [€/Stunde]",[1]Kundenübersicht!$E$3:$BA$3,FALSE),FALSE)),0),IFERROR(IF(I546="Hauswirtschaft",VLOOKUP($B546,[1]Kundenübersicht!$E$4:$BA$1003,MATCH("HW ab 2026 [€/Stunde]",[1]Kundenübersicht!$E$3:$BA$3,FALSE),FALSE),VLOOKUP($B546,[1]Kundenübersicht!$E$4:$BA$1003,MATCH("Alltagsbegleitung [€/Stunde]",[1]Kundenübersicht!$E$3:$BA$3,FALSE),FALSE)),0))</f>
        <v>38</v>
      </c>
      <c r="V546" s="16">
        <f t="shared" si="128"/>
        <v>57</v>
      </c>
      <c r="W546" s="16">
        <f t="shared" si="139"/>
        <v>1.26</v>
      </c>
      <c r="X546" s="16" t="s">
        <v>89</v>
      </c>
      <c r="Z546" s="20" t="str">
        <f t="shared" si="125"/>
        <v>Nein</v>
      </c>
      <c r="AA546" s="19"/>
      <c r="AC546" s="19"/>
      <c r="AE546" s="9">
        <f t="shared" si="136"/>
        <v>2026</v>
      </c>
      <c r="AF546" s="17" t="str">
        <f t="shared" si="137"/>
        <v>02.2026</v>
      </c>
      <c r="AG546" s="17" t="str">
        <f t="shared" si="138"/>
        <v>Janet Klitzsch</v>
      </c>
      <c r="AH546" s="17" t="str">
        <f>IFERROR(VLOOKUP(B546,[1]Kundenübersicht!$E$4:$F$85,2,FALSE),"")</f>
        <v>Hella Reißig</v>
      </c>
      <c r="AI546" s="17" t="str">
        <f t="shared" si="140"/>
        <v>Hauswirtschaft</v>
      </c>
      <c r="AJ546" s="17" t="str">
        <f t="shared" si="140"/>
        <v>Entlastungsleistung</v>
      </c>
      <c r="AL546" s="18">
        <f t="shared" si="133"/>
        <v>38</v>
      </c>
      <c r="AM546" s="18">
        <f t="shared" si="134"/>
        <v>57</v>
      </c>
      <c r="AN546" s="18">
        <f t="shared" si="135"/>
        <v>1.26</v>
      </c>
    </row>
    <row r="547" spans="1:40" x14ac:dyDescent="0.25">
      <c r="A547" s="39"/>
      <c r="B547" s="30" t="s">
        <v>45</v>
      </c>
      <c r="C547" s="31">
        <v>46069</v>
      </c>
      <c r="D547" s="32">
        <v>0.66666666666666663</v>
      </c>
      <c r="E547" s="32">
        <v>0.72916666666666663</v>
      </c>
      <c r="F547" s="12">
        <f t="shared" si="127"/>
        <v>1.5</v>
      </c>
      <c r="G547" s="12">
        <v>3.6</v>
      </c>
      <c r="H547" s="30" t="s">
        <v>77</v>
      </c>
      <c r="I547" s="30" t="s">
        <v>27</v>
      </c>
      <c r="J547" s="30" t="s">
        <v>28</v>
      </c>
      <c r="K547" s="9" t="str">
        <f>IFERROR(VLOOKUP($B547,[1]Kundenübersicht!$E$4:$AC$1003,MATCH(K$3,[1]Kundenübersicht!$E$3:$BA$3,FALSE),FALSE),"")</f>
        <v>AOK PLUS</v>
      </c>
      <c r="L547" s="13">
        <f>IFERROR(VLOOKUP(B547,[1]Kundenübersicht!$E$4:$AC$1003,MATCH(L$3,[1]Kundenübersicht!$E$3:$BA$3,FALSE),FALSE),"")</f>
        <v>107299005</v>
      </c>
      <c r="M547" s="13" t="str">
        <f>IFERROR(VLOOKUP(B547,[1]Kundenübersicht!$E$4:$AC$1003,MATCH(M$3,[1]Kundenübersicht!$E$3:$BA$3,FALSE),FALSE),"")</f>
        <v>F862750970</v>
      </c>
      <c r="N547" s="13" t="str">
        <f>IFERROR(VLOOKUP(B547,[1]Kundenübersicht!$E$4:$AC$1003,MATCH(N$3,[1]Kundenübersicht!$E$3:$BA$3,FALSE),FALSE),"")</f>
        <v>PG 1</v>
      </c>
      <c r="P547" s="9" t="s">
        <v>29</v>
      </c>
      <c r="R547" s="9" t="str">
        <f t="shared" si="126"/>
        <v>Unterschrieben</v>
      </c>
      <c r="S547" s="14" t="s">
        <v>31</v>
      </c>
      <c r="U547" s="15">
        <f>IF(YEAR(C547)&lt;=2025,IFERROR(IF(I547="Hauswirtschaft",VLOOKUP($B547,[1]Kundenübersicht!$E$4:$BA$1003,MATCH("Hauswirtschaft [€/Stunde]",[1]Kundenübersicht!$E$3:$BA$3,FALSE),FALSE),VLOOKUP($B547,[1]Kundenübersicht!$E$4:$BA$1003,MATCH("Alltagsbegleitung [€/Stunde]",[1]Kundenübersicht!$E$3:$BA$3,FALSE),FALSE)),0),IFERROR(IF(I547="Hauswirtschaft",VLOOKUP($B547,[1]Kundenübersicht!$E$4:$BA$1003,MATCH("HW ab 2026 [€/Stunde]",[1]Kundenübersicht!$E$3:$BA$3,FALSE),FALSE),VLOOKUP($B547,[1]Kundenübersicht!$E$4:$BA$1003,MATCH("Alltagsbegleitung [€/Stunde]",[1]Kundenübersicht!$E$3:$BA$3,FALSE),FALSE)),0))</f>
        <v>38</v>
      </c>
      <c r="V547" s="16">
        <f t="shared" si="128"/>
        <v>57</v>
      </c>
      <c r="W547" s="16">
        <f t="shared" si="139"/>
        <v>1.26</v>
      </c>
      <c r="X547" s="16" t="s">
        <v>89</v>
      </c>
      <c r="Z547" s="20" t="str">
        <f t="shared" si="125"/>
        <v>Nein</v>
      </c>
      <c r="AA547" s="19"/>
      <c r="AC547" s="19"/>
      <c r="AE547" s="9">
        <f t="shared" si="136"/>
        <v>2026</v>
      </c>
      <c r="AF547" s="17" t="str">
        <f t="shared" si="137"/>
        <v>02.2026</v>
      </c>
      <c r="AG547" s="17" t="str">
        <f t="shared" si="138"/>
        <v>Janet Klitzsch</v>
      </c>
      <c r="AH547" s="17" t="str">
        <f>IFERROR(VLOOKUP(B547,[1]Kundenübersicht!$E$4:$F$85,2,FALSE),"")</f>
        <v>Hella Reißig</v>
      </c>
      <c r="AI547" s="17" t="str">
        <f t="shared" si="140"/>
        <v>Hauswirtschaft</v>
      </c>
      <c r="AJ547" s="17" t="str">
        <f t="shared" si="140"/>
        <v>Entlastungsleistung</v>
      </c>
      <c r="AL547" s="18">
        <f t="shared" si="133"/>
        <v>38</v>
      </c>
      <c r="AM547" s="18">
        <f t="shared" si="134"/>
        <v>57</v>
      </c>
      <c r="AN547" s="18">
        <f t="shared" si="135"/>
        <v>1.26</v>
      </c>
    </row>
    <row r="548" spans="1:40" x14ac:dyDescent="0.25">
      <c r="A548" s="39"/>
      <c r="B548" s="30" t="s">
        <v>45</v>
      </c>
      <c r="C548" s="31">
        <v>46076</v>
      </c>
      <c r="D548" s="32">
        <v>0.64583333333333337</v>
      </c>
      <c r="E548" s="32">
        <v>0.70833333333333337</v>
      </c>
      <c r="F548" s="12">
        <f t="shared" si="127"/>
        <v>1.5</v>
      </c>
      <c r="G548" s="12">
        <v>3.6</v>
      </c>
      <c r="H548" s="30" t="s">
        <v>77</v>
      </c>
      <c r="I548" s="30" t="s">
        <v>27</v>
      </c>
      <c r="J548" s="30" t="s">
        <v>28</v>
      </c>
      <c r="K548" s="9" t="str">
        <f>IFERROR(VLOOKUP($B548,[1]Kundenübersicht!$E$4:$AC$1003,MATCH(K$3,[1]Kundenübersicht!$E$3:$BA$3,FALSE),FALSE),"")</f>
        <v>AOK PLUS</v>
      </c>
      <c r="L548" s="13">
        <f>IFERROR(VLOOKUP(B548,[1]Kundenübersicht!$E$4:$AC$1003,MATCH(L$3,[1]Kundenübersicht!$E$3:$BA$3,FALSE),FALSE),"")</f>
        <v>107299005</v>
      </c>
      <c r="M548" s="13" t="str">
        <f>IFERROR(VLOOKUP(B548,[1]Kundenübersicht!$E$4:$AC$1003,MATCH(M$3,[1]Kundenübersicht!$E$3:$BA$3,FALSE),FALSE),"")</f>
        <v>F862750970</v>
      </c>
      <c r="N548" s="13" t="str">
        <f>IFERROR(VLOOKUP(B548,[1]Kundenübersicht!$E$4:$AC$1003,MATCH(N$3,[1]Kundenübersicht!$E$3:$BA$3,FALSE),FALSE),"")</f>
        <v>PG 1</v>
      </c>
      <c r="P548" s="9" t="s">
        <v>29</v>
      </c>
      <c r="R548" s="9" t="str">
        <f t="shared" si="126"/>
        <v>Unterschrieben</v>
      </c>
      <c r="S548" s="14" t="s">
        <v>31</v>
      </c>
      <c r="U548" s="15">
        <f>IF(YEAR(C548)&lt;=2025,IFERROR(IF(I548="Hauswirtschaft",VLOOKUP($B548,[1]Kundenübersicht!$E$4:$BA$1003,MATCH("Hauswirtschaft [€/Stunde]",[1]Kundenübersicht!$E$3:$BA$3,FALSE),FALSE),VLOOKUP($B548,[1]Kundenübersicht!$E$4:$BA$1003,MATCH("Alltagsbegleitung [€/Stunde]",[1]Kundenübersicht!$E$3:$BA$3,FALSE),FALSE)),0),IFERROR(IF(I548="Hauswirtschaft",VLOOKUP($B548,[1]Kundenübersicht!$E$4:$BA$1003,MATCH("HW ab 2026 [€/Stunde]",[1]Kundenübersicht!$E$3:$BA$3,FALSE),FALSE),VLOOKUP($B548,[1]Kundenübersicht!$E$4:$BA$1003,MATCH("Alltagsbegleitung [€/Stunde]",[1]Kundenübersicht!$E$3:$BA$3,FALSE),FALSE)),0))</f>
        <v>38</v>
      </c>
      <c r="V548" s="16">
        <f t="shared" si="128"/>
        <v>57</v>
      </c>
      <c r="W548" s="16">
        <f t="shared" si="139"/>
        <v>1.26</v>
      </c>
      <c r="X548" s="16" t="s">
        <v>89</v>
      </c>
      <c r="Z548" s="20" t="str">
        <f t="shared" si="125"/>
        <v>Nein</v>
      </c>
      <c r="AA548" s="19"/>
      <c r="AC548" s="19"/>
      <c r="AE548" s="9">
        <f t="shared" si="136"/>
        <v>2026</v>
      </c>
      <c r="AF548" s="17" t="str">
        <f t="shared" si="137"/>
        <v>02.2026</v>
      </c>
      <c r="AG548" s="17" t="str">
        <f t="shared" si="138"/>
        <v>Janet Klitzsch</v>
      </c>
      <c r="AH548" s="17" t="str">
        <f>IFERROR(VLOOKUP(B548,[1]Kundenübersicht!$E$4:$F$85,2,FALSE),"")</f>
        <v>Hella Reißig</v>
      </c>
      <c r="AI548" s="17" t="str">
        <f t="shared" si="140"/>
        <v>Hauswirtschaft</v>
      </c>
      <c r="AJ548" s="17" t="str">
        <f t="shared" si="140"/>
        <v>Entlastungsleistung</v>
      </c>
      <c r="AL548" s="18">
        <f t="shared" si="133"/>
        <v>38</v>
      </c>
      <c r="AM548" s="18">
        <f t="shared" si="134"/>
        <v>57</v>
      </c>
      <c r="AN548" s="18">
        <f t="shared" si="135"/>
        <v>1.26</v>
      </c>
    </row>
    <row r="549" spans="1:40" x14ac:dyDescent="0.25">
      <c r="A549" s="39"/>
      <c r="B549" s="30" t="s">
        <v>49</v>
      </c>
      <c r="C549" s="31">
        <v>46058</v>
      </c>
      <c r="D549" s="32">
        <v>0.60416666666666663</v>
      </c>
      <c r="E549" s="32">
        <v>0.64583333333333337</v>
      </c>
      <c r="F549" s="12">
        <f t="shared" si="127"/>
        <v>1.0000000000000018</v>
      </c>
      <c r="G549" s="12">
        <v>3.6</v>
      </c>
      <c r="H549" s="30" t="s">
        <v>46</v>
      </c>
      <c r="I549" s="30" t="s">
        <v>27</v>
      </c>
      <c r="J549" s="30" t="s">
        <v>28</v>
      </c>
      <c r="K549" s="9" t="str">
        <f>IFERROR(VLOOKUP($B549,[1]Kundenübersicht!$E$4:$AC$1003,MATCH(K$3,[1]Kundenübersicht!$E$3:$BA$3,FALSE),FALSE),"")</f>
        <v>AOK PLUS</v>
      </c>
      <c r="L549" s="13">
        <f>IFERROR(VLOOKUP(B549,[1]Kundenübersicht!$E$4:$AC$1003,MATCH(L$3,[1]Kundenübersicht!$E$3:$BA$3,FALSE),FALSE),"")</f>
        <v>107299005</v>
      </c>
      <c r="M549" s="13" t="str">
        <f>IFERROR(VLOOKUP(B549,[1]Kundenübersicht!$E$4:$AC$1003,MATCH(M$3,[1]Kundenübersicht!$E$3:$BA$3,FALSE),FALSE),"")</f>
        <v>T309560658</v>
      </c>
      <c r="N549" s="13" t="str">
        <f>IFERROR(VLOOKUP(B549,[1]Kundenübersicht!$E$4:$AC$1003,MATCH(N$3,[1]Kundenübersicht!$E$3:$BA$3,FALSE),FALSE),"")</f>
        <v>PG 2</v>
      </c>
      <c r="P549" s="9" t="s">
        <v>29</v>
      </c>
      <c r="R549" s="9" t="str">
        <f t="shared" si="126"/>
        <v>Unterschrieben</v>
      </c>
      <c r="S549" s="14" t="s">
        <v>31</v>
      </c>
      <c r="U549" s="15">
        <f>IF(YEAR(C549)&lt;=2025,IFERROR(IF(I549="Hauswirtschaft",VLOOKUP($B549,[1]Kundenübersicht!$E$4:$BA$1003,MATCH("Hauswirtschaft [€/Stunde]",[1]Kundenübersicht!$E$3:$BA$3,FALSE),FALSE),VLOOKUP($B549,[1]Kundenübersicht!$E$4:$BA$1003,MATCH("Alltagsbegleitung [€/Stunde]",[1]Kundenübersicht!$E$3:$BA$3,FALSE),FALSE)),0),IFERROR(IF(I549="Hauswirtschaft",VLOOKUP($B549,[1]Kundenübersicht!$E$4:$BA$1003,MATCH("HW ab 2026 [€/Stunde]",[1]Kundenübersicht!$E$3:$BA$3,FALSE),FALSE),VLOOKUP($B549,[1]Kundenübersicht!$E$4:$BA$1003,MATCH("Alltagsbegleitung [€/Stunde]",[1]Kundenübersicht!$E$3:$BA$3,FALSE),FALSE)),0))</f>
        <v>38</v>
      </c>
      <c r="V549" s="16">
        <f t="shared" si="128"/>
        <v>38.000000000000071</v>
      </c>
      <c r="W549" s="16">
        <f t="shared" si="139"/>
        <v>1.26</v>
      </c>
      <c r="X549" s="16" t="s">
        <v>89</v>
      </c>
      <c r="Z549" s="20" t="str">
        <f t="shared" si="125"/>
        <v>Nein</v>
      </c>
      <c r="AA549" s="19"/>
      <c r="AC549" s="19"/>
      <c r="AE549" s="9">
        <f t="shared" si="136"/>
        <v>2026</v>
      </c>
      <c r="AF549" s="17" t="str">
        <f t="shared" si="137"/>
        <v>02.2026</v>
      </c>
      <c r="AG549" s="17" t="str">
        <f t="shared" si="138"/>
        <v>Manuela Richter</v>
      </c>
      <c r="AH549" s="17" t="str">
        <f>IFERROR(VLOOKUP(B549,[1]Kundenübersicht!$E$4:$F$85,2,FALSE),"")</f>
        <v>Rita Neubert</v>
      </c>
      <c r="AI549" s="17" t="str">
        <f t="shared" si="140"/>
        <v>Hauswirtschaft</v>
      </c>
      <c r="AJ549" s="17" t="str">
        <f t="shared" si="140"/>
        <v>Entlastungsleistung</v>
      </c>
      <c r="AL549" s="18">
        <f t="shared" si="133"/>
        <v>38</v>
      </c>
      <c r="AM549" s="18">
        <f t="shared" si="134"/>
        <v>38.000000000000071</v>
      </c>
      <c r="AN549" s="18">
        <f t="shared" si="135"/>
        <v>1.26</v>
      </c>
    </row>
    <row r="550" spans="1:40" x14ac:dyDescent="0.25">
      <c r="A550" s="39"/>
      <c r="B550" s="30" t="s">
        <v>49</v>
      </c>
      <c r="C550" s="31">
        <v>46072</v>
      </c>
      <c r="D550" s="32">
        <v>0.60416666666666663</v>
      </c>
      <c r="E550" s="32">
        <v>0.64583333333333337</v>
      </c>
      <c r="F550" s="12">
        <f t="shared" si="127"/>
        <v>1.0000000000000018</v>
      </c>
      <c r="G550" s="12">
        <v>3.6</v>
      </c>
      <c r="H550" s="30" t="s">
        <v>46</v>
      </c>
      <c r="I550" s="30" t="s">
        <v>27</v>
      </c>
      <c r="J550" s="30" t="s">
        <v>28</v>
      </c>
      <c r="K550" s="9" t="str">
        <f>IFERROR(VLOOKUP($B550,[1]Kundenübersicht!$E$4:$AC$1003,MATCH(K$3,[1]Kundenübersicht!$E$3:$BA$3,FALSE),FALSE),"")</f>
        <v>AOK PLUS</v>
      </c>
      <c r="L550" s="13">
        <f>IFERROR(VLOOKUP(B550,[1]Kundenübersicht!$E$4:$AC$1003,MATCH(L$3,[1]Kundenübersicht!$E$3:$BA$3,FALSE),FALSE),"")</f>
        <v>107299005</v>
      </c>
      <c r="M550" s="13" t="str">
        <f>IFERROR(VLOOKUP(B550,[1]Kundenübersicht!$E$4:$AC$1003,MATCH(M$3,[1]Kundenübersicht!$E$3:$BA$3,FALSE),FALSE),"")</f>
        <v>T309560658</v>
      </c>
      <c r="N550" s="13" t="str">
        <f>IFERROR(VLOOKUP(B550,[1]Kundenübersicht!$E$4:$AC$1003,MATCH(N$3,[1]Kundenübersicht!$E$3:$BA$3,FALSE),FALSE),"")</f>
        <v>PG 2</v>
      </c>
      <c r="P550" s="9" t="s">
        <v>29</v>
      </c>
      <c r="R550" s="9" t="str">
        <f t="shared" si="126"/>
        <v>Unterschrieben</v>
      </c>
      <c r="S550" s="14" t="s">
        <v>31</v>
      </c>
      <c r="U550" s="15">
        <f>IF(YEAR(C550)&lt;=2025,IFERROR(IF(I550="Hauswirtschaft",VLOOKUP($B550,[1]Kundenübersicht!$E$4:$BA$1003,MATCH("Hauswirtschaft [€/Stunde]",[1]Kundenübersicht!$E$3:$BA$3,FALSE),FALSE),VLOOKUP($B550,[1]Kundenübersicht!$E$4:$BA$1003,MATCH("Alltagsbegleitung [€/Stunde]",[1]Kundenübersicht!$E$3:$BA$3,FALSE),FALSE)),0),IFERROR(IF(I550="Hauswirtschaft",VLOOKUP($B550,[1]Kundenübersicht!$E$4:$BA$1003,MATCH("HW ab 2026 [€/Stunde]",[1]Kundenübersicht!$E$3:$BA$3,FALSE),FALSE),VLOOKUP($B550,[1]Kundenübersicht!$E$4:$BA$1003,MATCH("Alltagsbegleitung [€/Stunde]",[1]Kundenübersicht!$E$3:$BA$3,FALSE),FALSE)),0))</f>
        <v>38</v>
      </c>
      <c r="V550" s="16">
        <f t="shared" si="128"/>
        <v>38.000000000000071</v>
      </c>
      <c r="W550" s="16">
        <f t="shared" si="139"/>
        <v>1.26</v>
      </c>
      <c r="X550" s="16" t="s">
        <v>89</v>
      </c>
      <c r="Z550" s="20" t="str">
        <f t="shared" si="125"/>
        <v>Nein</v>
      </c>
      <c r="AA550" s="19"/>
      <c r="AC550" s="19"/>
      <c r="AE550" s="9">
        <f t="shared" si="136"/>
        <v>2026</v>
      </c>
      <c r="AF550" s="17" t="str">
        <f t="shared" si="137"/>
        <v>02.2026</v>
      </c>
      <c r="AG550" s="17" t="str">
        <f t="shared" si="138"/>
        <v>Manuela Richter</v>
      </c>
      <c r="AH550" s="17" t="str">
        <f>IFERROR(VLOOKUP(B550,[1]Kundenübersicht!$E$4:$F$85,2,FALSE),"")</f>
        <v>Rita Neubert</v>
      </c>
      <c r="AI550" s="17" t="str">
        <f t="shared" si="140"/>
        <v>Hauswirtschaft</v>
      </c>
      <c r="AJ550" s="17" t="str">
        <f t="shared" si="140"/>
        <v>Entlastungsleistung</v>
      </c>
      <c r="AL550" s="18">
        <f t="shared" si="133"/>
        <v>38</v>
      </c>
      <c r="AM550" s="18">
        <f t="shared" si="134"/>
        <v>38.000000000000071</v>
      </c>
      <c r="AN550" s="18">
        <f t="shared" si="135"/>
        <v>1.26</v>
      </c>
    </row>
    <row r="551" spans="1:40" x14ac:dyDescent="0.25">
      <c r="A551" s="39"/>
      <c r="B551" s="30" t="s">
        <v>106</v>
      </c>
      <c r="C551" s="31">
        <v>46065</v>
      </c>
      <c r="D551" s="32">
        <v>0.625</v>
      </c>
      <c r="E551" s="32">
        <v>0.6875</v>
      </c>
      <c r="F551" s="12">
        <f t="shared" si="127"/>
        <v>1.5</v>
      </c>
      <c r="G551" s="12">
        <v>2.8</v>
      </c>
      <c r="H551" s="30" t="s">
        <v>46</v>
      </c>
      <c r="I551" s="30" t="s">
        <v>27</v>
      </c>
      <c r="J551" s="30" t="s">
        <v>28</v>
      </c>
      <c r="K551" s="9" t="str">
        <f>IFERROR(VLOOKUP($B551,[1]Kundenübersicht!$E$4:$AC$1003,MATCH(K$3,[1]Kundenübersicht!$E$3:$BA$3,FALSE),FALSE),"")</f>
        <v>hkk Krankenkasse</v>
      </c>
      <c r="L551" s="13">
        <f>IFERROR(VLOOKUP(B551,[1]Kundenübersicht!$E$4:$AC$1003,MATCH(L$3,[1]Kundenübersicht!$E$3:$BA$3,FALSE),FALSE),"")</f>
        <v>103170002</v>
      </c>
      <c r="M551" s="13" t="str">
        <f>IFERROR(VLOOKUP(B551,[1]Kundenübersicht!$E$4:$AC$1003,MATCH(M$3,[1]Kundenübersicht!$E$3:$BA$3,FALSE),FALSE),"")</f>
        <v>U583968898</v>
      </c>
      <c r="N551" s="13" t="str">
        <f>IFERROR(VLOOKUP(B551,[1]Kundenübersicht!$E$4:$AC$1003,MATCH(N$3,[1]Kundenübersicht!$E$3:$BA$3,FALSE),FALSE),"")</f>
        <v>PG 1</v>
      </c>
      <c r="P551" s="9" t="s">
        <v>29</v>
      </c>
      <c r="R551" s="9" t="str">
        <f t="shared" si="126"/>
        <v>Unterschrieben</v>
      </c>
      <c r="S551" s="14" t="s">
        <v>31</v>
      </c>
      <c r="U551" s="15">
        <f>IF(YEAR(C551)&lt;=2025,IFERROR(IF(I551="Hauswirtschaft",VLOOKUP($B551,[1]Kundenübersicht!$E$4:$BA$1003,MATCH("Hauswirtschaft [€/Stunde]",[1]Kundenübersicht!$E$3:$BA$3,FALSE),FALSE),VLOOKUP($B551,[1]Kundenübersicht!$E$4:$BA$1003,MATCH("Alltagsbegleitung [€/Stunde]",[1]Kundenübersicht!$E$3:$BA$3,FALSE),FALSE)),0),IFERROR(IF(I551="Hauswirtschaft",VLOOKUP($B551,[1]Kundenübersicht!$E$4:$BA$1003,MATCH("HW ab 2026 [€/Stunde]",[1]Kundenübersicht!$E$3:$BA$3,FALSE),FALSE),VLOOKUP($B551,[1]Kundenübersicht!$E$4:$BA$1003,MATCH("Alltagsbegleitung [€/Stunde]",[1]Kundenübersicht!$E$3:$BA$3,FALSE),FALSE)),0))</f>
        <v>38</v>
      </c>
      <c r="V551" s="16">
        <f t="shared" si="128"/>
        <v>57</v>
      </c>
      <c r="W551" s="16">
        <f t="shared" si="139"/>
        <v>0.97999999999999987</v>
      </c>
      <c r="X551" s="16" t="s">
        <v>89</v>
      </c>
      <c r="Z551" s="20" t="str">
        <f t="shared" si="125"/>
        <v>Nein</v>
      </c>
      <c r="AA551" s="19"/>
      <c r="AC551" s="19"/>
      <c r="AE551" s="9">
        <f t="shared" si="136"/>
        <v>2026</v>
      </c>
      <c r="AF551" s="17" t="str">
        <f t="shared" si="137"/>
        <v>02.2026</v>
      </c>
      <c r="AG551" s="17" t="str">
        <f t="shared" si="138"/>
        <v>Manuela Richter</v>
      </c>
      <c r="AH551" s="17" t="str">
        <f>IFERROR(VLOOKUP(B551,[1]Kundenübersicht!$E$4:$F$85,2,FALSE),"")</f>
        <v>Detlef Schubert</v>
      </c>
      <c r="AI551" s="17" t="str">
        <f t="shared" si="140"/>
        <v>Hauswirtschaft</v>
      </c>
      <c r="AJ551" s="17" t="str">
        <f t="shared" si="140"/>
        <v>Entlastungsleistung</v>
      </c>
      <c r="AL551" s="18">
        <f t="shared" si="133"/>
        <v>38</v>
      </c>
      <c r="AM551" s="18">
        <f t="shared" si="134"/>
        <v>57</v>
      </c>
      <c r="AN551" s="18">
        <f t="shared" si="135"/>
        <v>0.97999999999999987</v>
      </c>
    </row>
    <row r="552" spans="1:40" x14ac:dyDescent="0.25">
      <c r="A552" s="39"/>
      <c r="B552" s="30" t="s">
        <v>50</v>
      </c>
      <c r="C552" s="31">
        <v>46066</v>
      </c>
      <c r="D552" s="32">
        <v>0.58333333333333337</v>
      </c>
      <c r="E552" s="32">
        <v>0.66666666666666663</v>
      </c>
      <c r="F552" s="12">
        <f t="shared" si="127"/>
        <v>1.9999999999999982</v>
      </c>
      <c r="G552" s="12">
        <v>2.6</v>
      </c>
      <c r="H552" s="30" t="s">
        <v>46</v>
      </c>
      <c r="I552" s="30" t="s">
        <v>27</v>
      </c>
      <c r="J552" s="30" t="s">
        <v>28</v>
      </c>
      <c r="K552" s="9" t="str">
        <f>IFERROR(VLOOKUP($B552,[1]Kundenübersicht!$E$4:$AC$1003,MATCH(K$3,[1]Kundenübersicht!$E$3:$BA$3,FALSE),FALSE),"")</f>
        <v>AOK PLUS</v>
      </c>
      <c r="L552" s="13">
        <f>IFERROR(VLOOKUP(B552,[1]Kundenübersicht!$E$4:$AC$1003,MATCH(L$3,[1]Kundenübersicht!$E$3:$BA$3,FALSE),FALSE),"")</f>
        <v>107299005</v>
      </c>
      <c r="M552" s="13" t="str">
        <f>IFERROR(VLOOKUP(B552,[1]Kundenübersicht!$E$4:$AC$1003,MATCH(M$3,[1]Kundenübersicht!$E$3:$BA$3,FALSE),FALSE),"")</f>
        <v>L212281967</v>
      </c>
      <c r="N552" s="13" t="str">
        <f>IFERROR(VLOOKUP(B552,[1]Kundenübersicht!$E$4:$AC$1003,MATCH(N$3,[1]Kundenübersicht!$E$3:$BA$3,FALSE),FALSE),"")</f>
        <v>PG 1</v>
      </c>
      <c r="P552" s="9" t="s">
        <v>29</v>
      </c>
      <c r="R552" s="9" t="str">
        <f t="shared" si="126"/>
        <v>Unterschrieben</v>
      </c>
      <c r="S552" s="14" t="s">
        <v>31</v>
      </c>
      <c r="U552" s="15">
        <f>IF(YEAR(C552)&lt;=2025,IFERROR(IF(I552="Hauswirtschaft",VLOOKUP($B552,[1]Kundenübersicht!$E$4:$BA$1003,MATCH("Hauswirtschaft [€/Stunde]",[1]Kundenübersicht!$E$3:$BA$3,FALSE),FALSE),VLOOKUP($B552,[1]Kundenübersicht!$E$4:$BA$1003,MATCH("Alltagsbegleitung [€/Stunde]",[1]Kundenübersicht!$E$3:$BA$3,FALSE),FALSE)),0),IFERROR(IF(I552="Hauswirtschaft",VLOOKUP($B552,[1]Kundenübersicht!$E$4:$BA$1003,MATCH("HW ab 2026 [€/Stunde]",[1]Kundenübersicht!$E$3:$BA$3,FALSE),FALSE),VLOOKUP($B552,[1]Kundenübersicht!$E$4:$BA$1003,MATCH("Alltagsbegleitung [€/Stunde]",[1]Kundenübersicht!$E$3:$BA$3,FALSE),FALSE)),0))</f>
        <v>38</v>
      </c>
      <c r="V552" s="16">
        <f t="shared" si="128"/>
        <v>75.999999999999929</v>
      </c>
      <c r="W552" s="16">
        <f t="shared" si="139"/>
        <v>0.90999999999999992</v>
      </c>
      <c r="X552" s="16" t="s">
        <v>89</v>
      </c>
      <c r="Z552" s="20" t="str">
        <f t="shared" si="125"/>
        <v>Nein</v>
      </c>
      <c r="AA552" s="19"/>
      <c r="AC552" s="19"/>
      <c r="AE552" s="9">
        <f t="shared" si="136"/>
        <v>2026</v>
      </c>
      <c r="AF552" s="17" t="str">
        <f t="shared" si="137"/>
        <v>02.2026</v>
      </c>
      <c r="AG552" s="17" t="str">
        <f t="shared" si="138"/>
        <v>Manuela Richter</v>
      </c>
      <c r="AH552" s="17" t="str">
        <f>IFERROR(VLOOKUP(B552,[1]Kundenübersicht!$E$4:$F$85,2,FALSE),"")</f>
        <v>Lothar Krawalski</v>
      </c>
      <c r="AI552" s="17" t="str">
        <f t="shared" si="140"/>
        <v>Hauswirtschaft</v>
      </c>
      <c r="AJ552" s="17" t="str">
        <f t="shared" si="140"/>
        <v>Entlastungsleistung</v>
      </c>
      <c r="AL552" s="18">
        <f t="shared" si="133"/>
        <v>38</v>
      </c>
      <c r="AM552" s="18">
        <f t="shared" si="134"/>
        <v>75.999999999999929</v>
      </c>
      <c r="AN552" s="18">
        <f t="shared" si="135"/>
        <v>0.90999999999999992</v>
      </c>
    </row>
    <row r="553" spans="1:40" x14ac:dyDescent="0.25">
      <c r="A553" s="39"/>
      <c r="B553" s="30" t="s">
        <v>50</v>
      </c>
      <c r="C553" s="31">
        <v>46073</v>
      </c>
      <c r="D553" s="32">
        <v>0.58333333333333337</v>
      </c>
      <c r="E553" s="32">
        <v>0.66666666666666663</v>
      </c>
      <c r="F553" s="12">
        <f t="shared" si="127"/>
        <v>1.9999999999999982</v>
      </c>
      <c r="G553" s="12">
        <v>2.6</v>
      </c>
      <c r="H553" s="30" t="s">
        <v>46</v>
      </c>
      <c r="I553" s="30" t="s">
        <v>27</v>
      </c>
      <c r="J553" s="30" t="s">
        <v>28</v>
      </c>
      <c r="K553" s="9" t="str">
        <f>IFERROR(VLOOKUP($B553,[1]Kundenübersicht!$E$4:$AC$1003,MATCH(K$3,[1]Kundenübersicht!$E$3:$BA$3,FALSE),FALSE),"")</f>
        <v>AOK PLUS</v>
      </c>
      <c r="L553" s="13">
        <f>IFERROR(VLOOKUP(B553,[1]Kundenübersicht!$E$4:$AC$1003,MATCH(L$3,[1]Kundenübersicht!$E$3:$BA$3,FALSE),FALSE),"")</f>
        <v>107299005</v>
      </c>
      <c r="M553" s="13" t="str">
        <f>IFERROR(VLOOKUP(B553,[1]Kundenübersicht!$E$4:$AC$1003,MATCH(M$3,[1]Kundenübersicht!$E$3:$BA$3,FALSE),FALSE),"")</f>
        <v>L212281967</v>
      </c>
      <c r="N553" s="13" t="str">
        <f>IFERROR(VLOOKUP(B553,[1]Kundenübersicht!$E$4:$AC$1003,MATCH(N$3,[1]Kundenübersicht!$E$3:$BA$3,FALSE),FALSE),"")</f>
        <v>PG 1</v>
      </c>
      <c r="P553" s="9" t="s">
        <v>29</v>
      </c>
      <c r="R553" s="9" t="str">
        <f t="shared" si="126"/>
        <v>Unterschrieben</v>
      </c>
      <c r="S553" s="14" t="s">
        <v>31</v>
      </c>
      <c r="U553" s="15">
        <f>IF(YEAR(C553)&lt;=2025,IFERROR(IF(I553="Hauswirtschaft",VLOOKUP($B553,[1]Kundenübersicht!$E$4:$BA$1003,MATCH("Hauswirtschaft [€/Stunde]",[1]Kundenübersicht!$E$3:$BA$3,FALSE),FALSE),VLOOKUP($B553,[1]Kundenübersicht!$E$4:$BA$1003,MATCH("Alltagsbegleitung [€/Stunde]",[1]Kundenübersicht!$E$3:$BA$3,FALSE),FALSE)),0),IFERROR(IF(I553="Hauswirtschaft",VLOOKUP($B553,[1]Kundenübersicht!$E$4:$BA$1003,MATCH("HW ab 2026 [€/Stunde]",[1]Kundenübersicht!$E$3:$BA$3,FALSE),FALSE),VLOOKUP($B553,[1]Kundenübersicht!$E$4:$BA$1003,MATCH("Alltagsbegleitung [€/Stunde]",[1]Kundenübersicht!$E$3:$BA$3,FALSE),FALSE)),0))</f>
        <v>38</v>
      </c>
      <c r="V553" s="16">
        <f t="shared" si="128"/>
        <v>75.999999999999929</v>
      </c>
      <c r="W553" s="16">
        <f t="shared" si="139"/>
        <v>0.90999999999999992</v>
      </c>
      <c r="X553" s="16" t="s">
        <v>89</v>
      </c>
      <c r="Z553" s="20" t="str">
        <f t="shared" si="125"/>
        <v>Nein</v>
      </c>
      <c r="AA553" s="19"/>
      <c r="AC553" s="19"/>
      <c r="AE553" s="9">
        <f t="shared" si="136"/>
        <v>2026</v>
      </c>
      <c r="AF553" s="17" t="str">
        <f t="shared" si="137"/>
        <v>02.2026</v>
      </c>
      <c r="AG553" s="17" t="str">
        <f t="shared" si="138"/>
        <v>Manuela Richter</v>
      </c>
      <c r="AH553" s="17" t="str">
        <f>IFERROR(VLOOKUP(B553,[1]Kundenübersicht!$E$4:$F$85,2,FALSE),"")</f>
        <v>Lothar Krawalski</v>
      </c>
      <c r="AI553" s="17" t="str">
        <f t="shared" si="140"/>
        <v>Hauswirtschaft</v>
      </c>
      <c r="AJ553" s="17" t="str">
        <f t="shared" si="140"/>
        <v>Entlastungsleistung</v>
      </c>
      <c r="AL553" s="18">
        <f t="shared" si="133"/>
        <v>38</v>
      </c>
      <c r="AM553" s="18">
        <f t="shared" si="134"/>
        <v>75.999999999999929</v>
      </c>
      <c r="AN553" s="18">
        <f t="shared" si="135"/>
        <v>0.90999999999999992</v>
      </c>
    </row>
    <row r="554" spans="1:40" x14ac:dyDescent="0.25">
      <c r="A554" s="39"/>
      <c r="B554" s="30" t="s">
        <v>107</v>
      </c>
      <c r="C554" s="31">
        <v>46064</v>
      </c>
      <c r="D554" s="32">
        <v>0.375</v>
      </c>
      <c r="E554" s="32">
        <v>0.4375</v>
      </c>
      <c r="F554" s="12">
        <f t="shared" si="127"/>
        <v>1.5</v>
      </c>
      <c r="G554" s="12">
        <v>8</v>
      </c>
      <c r="H554" s="30" t="s">
        <v>108</v>
      </c>
      <c r="I554" s="30" t="s">
        <v>27</v>
      </c>
      <c r="J554" s="30" t="s">
        <v>28</v>
      </c>
      <c r="K554" s="9" t="str">
        <f>IFERROR(VLOOKUP($B554,[1]Kundenübersicht!$E$4:$AC$1003,MATCH(K$3,[1]Kundenübersicht!$E$3:$BA$3,FALSE),FALSE),"")</f>
        <v>Viactiv Krankenkasse</v>
      </c>
      <c r="L554" s="13">
        <f>IFERROR(VLOOKUP(B554,[1]Kundenübersicht!$E$4:$AC$1003,MATCH(L$3,[1]Kundenübersicht!$E$3:$BA$3,FALSE),FALSE),"")</f>
        <v>184526376</v>
      </c>
      <c r="M554" s="13" t="str">
        <f>IFERROR(VLOOKUP(B554,[1]Kundenübersicht!$E$4:$AC$1003,MATCH(M$3,[1]Kundenübersicht!$E$3:$BA$3,FALSE),FALSE),"")</f>
        <v>X335719617</v>
      </c>
      <c r="N554" s="13" t="str">
        <f>IFERROR(VLOOKUP(B554,[1]Kundenübersicht!$E$4:$AC$1003,MATCH(N$3,[1]Kundenübersicht!$E$3:$BA$3,FALSE),FALSE),"")</f>
        <v>PG 3</v>
      </c>
      <c r="P554" s="9" t="s">
        <v>29</v>
      </c>
      <c r="R554" s="9" t="str">
        <f t="shared" si="126"/>
        <v>Fehlt</v>
      </c>
      <c r="S554" s="14"/>
      <c r="U554" s="15">
        <f>IF(YEAR(C554)&lt;=2025,IFERROR(IF(I554="Hauswirtschaft",VLOOKUP($B554,[1]Kundenübersicht!$E$4:$BA$1003,MATCH("Hauswirtschaft [€/Stunde]",[1]Kundenübersicht!$E$3:$BA$3,FALSE),FALSE),VLOOKUP($B554,[1]Kundenübersicht!$E$4:$BA$1003,MATCH("Alltagsbegleitung [€/Stunde]",[1]Kundenübersicht!$E$3:$BA$3,FALSE),FALSE)),0),IFERROR(IF(I554="Hauswirtschaft",VLOOKUP($B554,[1]Kundenübersicht!$E$4:$BA$1003,MATCH("HW ab 2026 [€/Stunde]",[1]Kundenübersicht!$E$3:$BA$3,FALSE),FALSE),VLOOKUP($B554,[1]Kundenübersicht!$E$4:$BA$1003,MATCH("Alltagsbegleitung [€/Stunde]",[1]Kundenübersicht!$E$3:$BA$3,FALSE),FALSE)),0))</f>
        <v>38</v>
      </c>
      <c r="V554" s="16">
        <f t="shared" si="128"/>
        <v>57</v>
      </c>
      <c r="W554" s="16">
        <f t="shared" si="139"/>
        <v>2.8</v>
      </c>
      <c r="X554" s="16" t="s">
        <v>89</v>
      </c>
      <c r="Z554" s="20" t="str">
        <f t="shared" si="125"/>
        <v>Nein</v>
      </c>
      <c r="AA554" s="19"/>
      <c r="AC554" s="19"/>
      <c r="AE554" s="9">
        <f t="shared" si="136"/>
        <v>2026</v>
      </c>
      <c r="AF554" s="17" t="str">
        <f t="shared" si="137"/>
        <v>02.2026</v>
      </c>
      <c r="AG554" s="17" t="str">
        <f t="shared" si="138"/>
        <v>Yvonne Heidel</v>
      </c>
      <c r="AH554" s="17" t="str">
        <f>IFERROR(VLOOKUP(B554,[1]Kundenübersicht!$E$4:$F$85,2,FALSE),"")</f>
        <v>Maxim Nicolai Käthe</v>
      </c>
      <c r="AI554" s="17" t="str">
        <f t="shared" si="140"/>
        <v>Hauswirtschaft</v>
      </c>
      <c r="AJ554" s="17" t="str">
        <f t="shared" si="140"/>
        <v>Entlastungsleistung</v>
      </c>
      <c r="AL554" s="18">
        <f t="shared" si="133"/>
        <v>38</v>
      </c>
      <c r="AM554" s="18">
        <f t="shared" si="134"/>
        <v>57</v>
      </c>
      <c r="AN554" s="18">
        <f t="shared" si="135"/>
        <v>2.8</v>
      </c>
    </row>
    <row r="555" spans="1:40" x14ac:dyDescent="0.25">
      <c r="A555" s="39"/>
      <c r="B555" s="30" t="s">
        <v>107</v>
      </c>
      <c r="C555" s="31">
        <v>46072</v>
      </c>
      <c r="D555" s="32">
        <v>0.375</v>
      </c>
      <c r="E555" s="32">
        <v>0.45833333333333331</v>
      </c>
      <c r="F555" s="12">
        <f t="shared" si="127"/>
        <v>1.9999999999999996</v>
      </c>
      <c r="G555" s="12">
        <v>8</v>
      </c>
      <c r="H555" s="30" t="s">
        <v>108</v>
      </c>
      <c r="I555" s="30" t="s">
        <v>27</v>
      </c>
      <c r="J555" s="30" t="s">
        <v>28</v>
      </c>
      <c r="K555" s="9" t="str">
        <f>IFERROR(VLOOKUP($B555,[1]Kundenübersicht!$E$4:$AC$1003,MATCH(K$3,[1]Kundenübersicht!$E$3:$BA$3,FALSE),FALSE),"")</f>
        <v>Viactiv Krankenkasse</v>
      </c>
      <c r="L555" s="13">
        <f>IFERROR(VLOOKUP(B555,[1]Kundenübersicht!$E$4:$AC$1003,MATCH(L$3,[1]Kundenübersicht!$E$3:$BA$3,FALSE),FALSE),"")</f>
        <v>184526376</v>
      </c>
      <c r="M555" s="13" t="str">
        <f>IFERROR(VLOOKUP(B555,[1]Kundenübersicht!$E$4:$AC$1003,MATCH(M$3,[1]Kundenübersicht!$E$3:$BA$3,FALSE),FALSE),"")</f>
        <v>X335719617</v>
      </c>
      <c r="N555" s="13" t="str">
        <f>IFERROR(VLOOKUP(B555,[1]Kundenübersicht!$E$4:$AC$1003,MATCH(N$3,[1]Kundenübersicht!$E$3:$BA$3,FALSE),FALSE),"")</f>
        <v>PG 3</v>
      </c>
      <c r="P555" s="9" t="s">
        <v>29</v>
      </c>
      <c r="R555" s="9" t="str">
        <f t="shared" si="126"/>
        <v>Fehlt</v>
      </c>
      <c r="S555" s="14"/>
      <c r="U555" s="15">
        <f>IF(YEAR(C555)&lt;=2025,IFERROR(IF(I555="Hauswirtschaft",VLOOKUP($B555,[1]Kundenübersicht!$E$4:$BA$1003,MATCH("Hauswirtschaft [€/Stunde]",[1]Kundenübersicht!$E$3:$BA$3,FALSE),FALSE),VLOOKUP($B555,[1]Kundenübersicht!$E$4:$BA$1003,MATCH("Alltagsbegleitung [€/Stunde]",[1]Kundenübersicht!$E$3:$BA$3,FALSE),FALSE)),0),IFERROR(IF(I555="Hauswirtschaft",VLOOKUP($B555,[1]Kundenübersicht!$E$4:$BA$1003,MATCH("HW ab 2026 [€/Stunde]",[1]Kundenübersicht!$E$3:$BA$3,FALSE),FALSE),VLOOKUP($B555,[1]Kundenübersicht!$E$4:$BA$1003,MATCH("Alltagsbegleitung [€/Stunde]",[1]Kundenübersicht!$E$3:$BA$3,FALSE),FALSE)),0))</f>
        <v>38</v>
      </c>
      <c r="V555" s="16">
        <f t="shared" si="128"/>
        <v>75.999999999999986</v>
      </c>
      <c r="W555" s="16">
        <f t="shared" si="139"/>
        <v>2.8</v>
      </c>
      <c r="X555" s="16" t="s">
        <v>89</v>
      </c>
      <c r="Z555" s="20" t="str">
        <f t="shared" si="125"/>
        <v>Nein</v>
      </c>
      <c r="AA555" s="19"/>
      <c r="AC555" s="19"/>
      <c r="AE555" s="9">
        <f t="shared" si="136"/>
        <v>2026</v>
      </c>
      <c r="AF555" s="17" t="str">
        <f t="shared" si="137"/>
        <v>02.2026</v>
      </c>
      <c r="AG555" s="17" t="str">
        <f t="shared" si="138"/>
        <v>Yvonne Heidel</v>
      </c>
      <c r="AH555" s="17" t="str">
        <f>IFERROR(VLOOKUP(B555,[1]Kundenübersicht!$E$4:$F$85,2,FALSE),"")</f>
        <v>Maxim Nicolai Käthe</v>
      </c>
      <c r="AI555" s="17" t="str">
        <f t="shared" si="140"/>
        <v>Hauswirtschaft</v>
      </c>
      <c r="AJ555" s="17" t="str">
        <f t="shared" si="140"/>
        <v>Entlastungsleistung</v>
      </c>
      <c r="AL555" s="18">
        <f t="shared" si="133"/>
        <v>38</v>
      </c>
      <c r="AM555" s="18">
        <f t="shared" si="134"/>
        <v>75.999999999999986</v>
      </c>
      <c r="AN555" s="18">
        <f t="shared" si="135"/>
        <v>2.8</v>
      </c>
    </row>
    <row r="556" spans="1:40" x14ac:dyDescent="0.25">
      <c r="A556" s="39"/>
      <c r="B556" s="30" t="s">
        <v>90</v>
      </c>
      <c r="C556" s="31">
        <v>46077</v>
      </c>
      <c r="D556" s="32">
        <v>0.52083333333333337</v>
      </c>
      <c r="E556" s="32">
        <v>0.58333333333333337</v>
      </c>
      <c r="F556" s="12">
        <f t="shared" si="127"/>
        <v>1.5</v>
      </c>
      <c r="G556" s="12">
        <v>5.5</v>
      </c>
      <c r="H556" s="30" t="s">
        <v>77</v>
      </c>
      <c r="I556" s="30" t="s">
        <v>27</v>
      </c>
      <c r="J556" s="30" t="s">
        <v>28</v>
      </c>
      <c r="K556" s="9" t="str">
        <f>IFERROR(VLOOKUP($B556,[1]Kundenübersicht!$E$4:$AC$1003,MATCH(K$3,[1]Kundenübersicht!$E$3:$BA$3,FALSE),FALSE),"")</f>
        <v>AOK Baden-Württemberg</v>
      </c>
      <c r="L556" s="13">
        <f>IFERROR(VLOOKUP(B556,[1]Kundenübersicht!$E$4:$AC$1003,MATCH(L$3,[1]Kundenübersicht!$E$3:$BA$3,FALSE),FALSE),"")</f>
        <v>108018007</v>
      </c>
      <c r="M556" s="13" t="str">
        <f>IFERROR(VLOOKUP(B556,[1]Kundenübersicht!$E$4:$AC$1003,MATCH(M$3,[1]Kundenübersicht!$E$3:$BA$3,FALSE),FALSE),"")</f>
        <v>H314976082</v>
      </c>
      <c r="N556" s="13" t="str">
        <f>IFERROR(VLOOKUP(B556,[1]Kundenübersicht!$E$4:$AC$1003,MATCH(N$3,[1]Kundenübersicht!$E$3:$BA$3,FALSE),FALSE),"")</f>
        <v>PG 3</v>
      </c>
      <c r="P556" s="9" t="s">
        <v>29</v>
      </c>
      <c r="R556" s="9" t="str">
        <f t="shared" si="126"/>
        <v>Unterschrieben</v>
      </c>
      <c r="S556" s="14" t="s">
        <v>31</v>
      </c>
      <c r="U556" s="15">
        <f>IF(YEAR(C556)&lt;=2025,IFERROR(IF(I556="Hauswirtschaft",VLOOKUP($B556,[1]Kundenübersicht!$E$4:$BA$1003,MATCH("Hauswirtschaft [€/Stunde]",[1]Kundenübersicht!$E$3:$BA$3,FALSE),FALSE),VLOOKUP($B556,[1]Kundenübersicht!$E$4:$BA$1003,MATCH("Alltagsbegleitung [€/Stunde]",[1]Kundenübersicht!$E$3:$BA$3,FALSE),FALSE)),0),IFERROR(IF(I556="Hauswirtschaft",VLOOKUP($B556,[1]Kundenübersicht!$E$4:$BA$1003,MATCH("HW ab 2026 [€/Stunde]",[1]Kundenübersicht!$E$3:$BA$3,FALSE),FALSE),VLOOKUP($B556,[1]Kundenübersicht!$E$4:$BA$1003,MATCH("Alltagsbegleitung [€/Stunde]",[1]Kundenübersicht!$E$3:$BA$3,FALSE),FALSE)),0))</f>
        <v>38</v>
      </c>
      <c r="V556" s="16">
        <f t="shared" si="128"/>
        <v>57</v>
      </c>
      <c r="W556" s="16">
        <f t="shared" si="139"/>
        <v>1.9249999999999998</v>
      </c>
      <c r="X556" s="16" t="s">
        <v>89</v>
      </c>
      <c r="Z556" s="20" t="str">
        <f t="shared" si="125"/>
        <v>Nein</v>
      </c>
      <c r="AA556" s="19"/>
      <c r="AC556" s="19"/>
      <c r="AE556" s="9">
        <f t="shared" si="136"/>
        <v>2026</v>
      </c>
      <c r="AF556" s="17" t="str">
        <f t="shared" si="137"/>
        <v>02.2026</v>
      </c>
      <c r="AG556" s="17" t="str">
        <f t="shared" si="138"/>
        <v>Janet Klitzsch</v>
      </c>
      <c r="AH556" s="17" t="str">
        <f>IFERROR(VLOOKUP(B556,[1]Kundenübersicht!$E$4:$F$85,2,FALSE),"")</f>
        <v>Julian Pascal Roderfeld</v>
      </c>
      <c r="AI556" s="17" t="str">
        <f t="shared" si="140"/>
        <v>Hauswirtschaft</v>
      </c>
      <c r="AJ556" s="17" t="str">
        <f t="shared" si="140"/>
        <v>Entlastungsleistung</v>
      </c>
      <c r="AL556" s="18">
        <f t="shared" si="133"/>
        <v>38</v>
      </c>
      <c r="AM556" s="18">
        <f t="shared" si="134"/>
        <v>57</v>
      </c>
      <c r="AN556" s="18">
        <f t="shared" si="135"/>
        <v>1.9249999999999998</v>
      </c>
    </row>
    <row r="557" spans="1:40" x14ac:dyDescent="0.25">
      <c r="B557" s="30" t="s">
        <v>98</v>
      </c>
      <c r="C557" s="31">
        <v>46070</v>
      </c>
      <c r="D557" s="32">
        <v>0.46875</v>
      </c>
      <c r="E557" s="32">
        <v>0.51041666666666663</v>
      </c>
      <c r="F557" s="12">
        <f t="shared" si="127"/>
        <v>0.99999999999999911</v>
      </c>
      <c r="G557" s="12">
        <v>6.8</v>
      </c>
      <c r="H557" s="30" t="s">
        <v>33</v>
      </c>
      <c r="I557" s="30" t="s">
        <v>27</v>
      </c>
      <c r="J557" s="30" t="s">
        <v>28</v>
      </c>
      <c r="K557" s="9" t="str">
        <f>IFERROR(VLOOKUP($B557,[1]Kundenübersicht!$E$4:$AC$1003,MATCH(K$3,[1]Kundenübersicht!$E$3:$BA$3,FALSE),FALSE),"")</f>
        <v>AOK PLUS</v>
      </c>
      <c r="L557" s="13">
        <f>IFERROR(VLOOKUP(B557,[1]Kundenübersicht!$E$4:$AC$1003,MATCH(L$3,[1]Kundenübersicht!$E$3:$BA$3,FALSE),FALSE),"")</f>
        <v>107299005</v>
      </c>
      <c r="M557" s="13" t="str">
        <f>IFERROR(VLOOKUP(B557,[1]Kundenübersicht!$E$4:$AC$1003,MATCH(M$3,[1]Kundenübersicht!$E$3:$BA$3,FALSE),FALSE),"")</f>
        <v>C645082805</v>
      </c>
      <c r="N557" s="13" t="str">
        <f>IFERROR(VLOOKUP(B557,[1]Kundenübersicht!$E$4:$AC$1003,MATCH(N$3,[1]Kundenübersicht!$E$3:$BA$3,FALSE),FALSE),"")</f>
        <v>PG 1</v>
      </c>
      <c r="P557" s="9" t="s">
        <v>29</v>
      </c>
      <c r="R557" s="9" t="str">
        <f t="shared" si="126"/>
        <v>Fehlt</v>
      </c>
      <c r="S557" s="14"/>
      <c r="U557" s="15">
        <f>IF(YEAR(C557)&lt;=2025,IFERROR(IF(I557="Hauswirtschaft",VLOOKUP($B557,[1]Kundenübersicht!$E$4:$BA$1003,MATCH("Hauswirtschaft [€/Stunde]",[1]Kundenübersicht!$E$3:$BA$3,FALSE),FALSE),VLOOKUP($B557,[1]Kundenübersicht!$E$4:$BA$1003,MATCH("Alltagsbegleitung [€/Stunde]",[1]Kundenübersicht!$E$3:$BA$3,FALSE),FALSE)),0),IFERROR(IF(I557="Hauswirtschaft",VLOOKUP($B557,[1]Kundenübersicht!$E$4:$BA$1003,MATCH("HW ab 2026 [€/Stunde]",[1]Kundenübersicht!$E$3:$BA$3,FALSE),FALSE),VLOOKUP($B557,[1]Kundenübersicht!$E$4:$BA$1003,MATCH("Alltagsbegleitung [€/Stunde]",[1]Kundenübersicht!$E$3:$BA$3,FALSE),FALSE)),0))</f>
        <v>38</v>
      </c>
      <c r="V557" s="16">
        <f t="shared" si="128"/>
        <v>37.999999999999964</v>
      </c>
      <c r="W557" s="16">
        <f t="shared" si="139"/>
        <v>2.38</v>
      </c>
      <c r="X557" s="16" t="s">
        <v>89</v>
      </c>
      <c r="Z557" s="20" t="str">
        <f t="shared" si="125"/>
        <v>Nein</v>
      </c>
      <c r="AA557" s="19"/>
      <c r="AC557" s="19"/>
      <c r="AE557" s="9">
        <f t="shared" si="136"/>
        <v>2026</v>
      </c>
      <c r="AF557" s="17" t="str">
        <f t="shared" si="137"/>
        <v>02.2026</v>
      </c>
      <c r="AG557" s="17" t="str">
        <f t="shared" si="138"/>
        <v>Christiane Fiebag</v>
      </c>
      <c r="AH557" s="17" t="str">
        <f>IFERROR(VLOOKUP(B557,[1]Kundenübersicht!$E$4:$F$85,2,FALSE),"")</f>
        <v>Antje Jungnickel</v>
      </c>
      <c r="AI557" s="17" t="str">
        <f t="shared" si="140"/>
        <v>Hauswirtschaft</v>
      </c>
      <c r="AJ557" s="17" t="str">
        <f t="shared" si="140"/>
        <v>Entlastungsleistung</v>
      </c>
      <c r="AL557" s="18">
        <f t="shared" si="133"/>
        <v>38</v>
      </c>
      <c r="AM557" s="18">
        <f t="shared" si="134"/>
        <v>37.999999999999964</v>
      </c>
      <c r="AN557" s="18">
        <f t="shared" si="135"/>
        <v>2.38</v>
      </c>
    </row>
    <row r="558" spans="1:40" x14ac:dyDescent="0.25">
      <c r="B558" s="30" t="s">
        <v>98</v>
      </c>
      <c r="C558" s="31">
        <v>46077</v>
      </c>
      <c r="D558" s="32">
        <v>0.38541666666666669</v>
      </c>
      <c r="E558" s="32">
        <v>0.45833333333333331</v>
      </c>
      <c r="F558" s="12">
        <f t="shared" si="127"/>
        <v>1.7499999999999991</v>
      </c>
      <c r="G558" s="12">
        <v>13.1</v>
      </c>
      <c r="H558" s="30" t="s">
        <v>33</v>
      </c>
      <c r="I558" s="30" t="s">
        <v>27</v>
      </c>
      <c r="J558" s="30" t="s">
        <v>28</v>
      </c>
      <c r="K558" s="9" t="str">
        <f>IFERROR(VLOOKUP($B558,[1]Kundenübersicht!$E$4:$AC$1003,MATCH(K$3,[1]Kundenübersicht!$E$3:$BA$3,FALSE),FALSE),"")</f>
        <v>AOK PLUS</v>
      </c>
      <c r="L558" s="13">
        <f>IFERROR(VLOOKUP(B558,[1]Kundenübersicht!$E$4:$AC$1003,MATCH(L$3,[1]Kundenübersicht!$E$3:$BA$3,FALSE),FALSE),"")</f>
        <v>107299005</v>
      </c>
      <c r="M558" s="13" t="str">
        <f>IFERROR(VLOOKUP(B558,[1]Kundenübersicht!$E$4:$AC$1003,MATCH(M$3,[1]Kundenübersicht!$E$3:$BA$3,FALSE),FALSE),"")</f>
        <v>C645082805</v>
      </c>
      <c r="N558" s="13" t="str">
        <f>IFERROR(VLOOKUP(B558,[1]Kundenübersicht!$E$4:$AC$1003,MATCH(N$3,[1]Kundenübersicht!$E$3:$BA$3,FALSE),FALSE),"")</f>
        <v>PG 1</v>
      </c>
      <c r="P558" s="9" t="s">
        <v>29</v>
      </c>
      <c r="R558" s="9" t="str">
        <f t="shared" si="126"/>
        <v>Fehlt</v>
      </c>
      <c r="S558" s="14"/>
      <c r="U558" s="15">
        <f>IF(YEAR(C558)&lt;=2025,IFERROR(IF(I558="Hauswirtschaft",VLOOKUP($B558,[1]Kundenübersicht!$E$4:$BA$1003,MATCH("Hauswirtschaft [€/Stunde]",[1]Kundenübersicht!$E$3:$BA$3,FALSE),FALSE),VLOOKUP($B558,[1]Kundenübersicht!$E$4:$BA$1003,MATCH("Alltagsbegleitung [€/Stunde]",[1]Kundenübersicht!$E$3:$BA$3,FALSE),FALSE)),0),IFERROR(IF(I558="Hauswirtschaft",VLOOKUP($B558,[1]Kundenübersicht!$E$4:$BA$1003,MATCH("HW ab 2026 [€/Stunde]",[1]Kundenübersicht!$E$3:$BA$3,FALSE),FALSE),VLOOKUP($B558,[1]Kundenübersicht!$E$4:$BA$1003,MATCH("Alltagsbegleitung [€/Stunde]",[1]Kundenübersicht!$E$3:$BA$3,FALSE),FALSE)),0))</f>
        <v>38</v>
      </c>
      <c r="V558" s="16">
        <f t="shared" si="128"/>
        <v>66.499999999999972</v>
      </c>
      <c r="W558" s="16">
        <f t="shared" si="139"/>
        <v>4.585</v>
      </c>
      <c r="X558" s="16" t="s">
        <v>89</v>
      </c>
      <c r="Z558" s="20" t="str">
        <f t="shared" si="125"/>
        <v>Nein</v>
      </c>
      <c r="AA558" s="19"/>
      <c r="AC558" s="19"/>
      <c r="AE558" s="9">
        <f t="shared" si="136"/>
        <v>2026</v>
      </c>
      <c r="AF558" s="17" t="str">
        <f t="shared" si="137"/>
        <v>02.2026</v>
      </c>
      <c r="AG558" s="17" t="str">
        <f t="shared" si="138"/>
        <v>Christiane Fiebag</v>
      </c>
      <c r="AH558" s="17" t="str">
        <f>IFERROR(VLOOKUP(B558,[1]Kundenübersicht!$E$4:$F$85,2,FALSE),"")</f>
        <v>Antje Jungnickel</v>
      </c>
      <c r="AI558" s="17" t="str">
        <f t="shared" si="140"/>
        <v>Hauswirtschaft</v>
      </c>
      <c r="AJ558" s="17" t="str">
        <f t="shared" si="140"/>
        <v>Entlastungsleistung</v>
      </c>
      <c r="AL558" s="18">
        <f t="shared" si="133"/>
        <v>38</v>
      </c>
      <c r="AM558" s="18">
        <f t="shared" si="134"/>
        <v>66.499999999999972</v>
      </c>
      <c r="AN558" s="18">
        <f t="shared" si="135"/>
        <v>4.585</v>
      </c>
    </row>
    <row r="559" spans="1:40" x14ac:dyDescent="0.25">
      <c r="B559" s="30" t="s">
        <v>69</v>
      </c>
      <c r="C559" s="31">
        <v>46056</v>
      </c>
      <c r="D559" s="32">
        <v>0.33333333333333331</v>
      </c>
      <c r="E559" s="32">
        <v>0.41666666666666669</v>
      </c>
      <c r="F559" s="12">
        <f t="shared" si="127"/>
        <v>2.0000000000000009</v>
      </c>
      <c r="G559" s="12">
        <v>12</v>
      </c>
      <c r="H559" s="30" t="s">
        <v>33</v>
      </c>
      <c r="I559" s="30" t="s">
        <v>27</v>
      </c>
      <c r="J559" s="30" t="s">
        <v>28</v>
      </c>
      <c r="K559" s="9" t="str">
        <f>IFERROR(VLOOKUP($B559,[1]Kundenübersicht!$E$4:$AC$1003,MATCH(K$3,[1]Kundenübersicht!$E$3:$BA$3,FALSE),FALSE),"")</f>
        <v>Barmer Pflegekasse</v>
      </c>
      <c r="L559" s="13">
        <f>IFERROR(VLOOKUP(B559,[1]Kundenübersicht!$E$4:$AC$1003,MATCH(L$3,[1]Kundenübersicht!$E$3:$BA$3,FALSE),FALSE),"")</f>
        <v>184940005</v>
      </c>
      <c r="M559" s="13" t="str">
        <f>IFERROR(VLOOKUP(B559,[1]Kundenübersicht!$E$4:$AC$1003,MATCH(M$3,[1]Kundenübersicht!$E$3:$BA$3,FALSE),FALSE),"")</f>
        <v>G192083809</v>
      </c>
      <c r="N559" s="13" t="str">
        <f>IFERROR(VLOOKUP(B559,[1]Kundenübersicht!$E$4:$AC$1003,MATCH(N$3,[1]Kundenübersicht!$E$3:$BA$3,FALSE),FALSE),"")</f>
        <v>PG 2</v>
      </c>
      <c r="P559" s="9" t="s">
        <v>29</v>
      </c>
      <c r="R559" s="9" t="str">
        <f t="shared" si="126"/>
        <v>Fehlt</v>
      </c>
      <c r="S559" s="14"/>
      <c r="U559" s="15">
        <f>IF(YEAR(C559)&lt;=2025,IFERROR(IF(I559="Hauswirtschaft",VLOOKUP($B559,[1]Kundenübersicht!$E$4:$BA$1003,MATCH("Hauswirtschaft [€/Stunde]",[1]Kundenübersicht!$E$3:$BA$3,FALSE),FALSE),VLOOKUP($B559,[1]Kundenübersicht!$E$4:$BA$1003,MATCH("Alltagsbegleitung [€/Stunde]",[1]Kundenübersicht!$E$3:$BA$3,FALSE),FALSE)),0),IFERROR(IF(I559="Hauswirtschaft",VLOOKUP($B559,[1]Kundenübersicht!$E$4:$BA$1003,MATCH("HW ab 2026 [€/Stunde]",[1]Kundenübersicht!$E$3:$BA$3,FALSE),FALSE),VLOOKUP($B559,[1]Kundenübersicht!$E$4:$BA$1003,MATCH("Alltagsbegleitung [€/Stunde]",[1]Kundenübersicht!$E$3:$BA$3,FALSE),FALSE)),0))</f>
        <v>38</v>
      </c>
      <c r="V559" s="16">
        <f t="shared" si="128"/>
        <v>76.000000000000028</v>
      </c>
      <c r="W559" s="16">
        <f t="shared" si="139"/>
        <v>4.1999999999999993</v>
      </c>
      <c r="X559" s="16" t="s">
        <v>89</v>
      </c>
      <c r="Z559" s="20" t="str">
        <f t="shared" si="125"/>
        <v>Nein</v>
      </c>
      <c r="AA559" s="19"/>
      <c r="AC559" s="19"/>
      <c r="AE559" s="9">
        <f t="shared" si="136"/>
        <v>2026</v>
      </c>
      <c r="AF559" s="17" t="str">
        <f t="shared" si="137"/>
        <v>02.2026</v>
      </c>
      <c r="AG559" s="17" t="str">
        <f t="shared" si="138"/>
        <v>Christiane Fiebag</v>
      </c>
      <c r="AH559" s="17" t="str">
        <f>IFERROR(VLOOKUP(B559,[1]Kundenübersicht!$E$4:$F$85,2,FALSE),"")</f>
        <v>Bettina Jungnickel</v>
      </c>
      <c r="AI559" s="17" t="str">
        <f t="shared" si="140"/>
        <v>Hauswirtschaft</v>
      </c>
      <c r="AJ559" s="17" t="str">
        <f t="shared" si="140"/>
        <v>Entlastungsleistung</v>
      </c>
      <c r="AL559" s="18">
        <f t="shared" si="133"/>
        <v>38</v>
      </c>
      <c r="AM559" s="18">
        <f t="shared" si="134"/>
        <v>76.000000000000028</v>
      </c>
      <c r="AN559" s="18">
        <f t="shared" si="135"/>
        <v>4.1999999999999993</v>
      </c>
    </row>
    <row r="560" spans="1:40" x14ac:dyDescent="0.25">
      <c r="B560" s="30" t="s">
        <v>69</v>
      </c>
      <c r="C560" s="31">
        <v>46076</v>
      </c>
      <c r="D560" s="32">
        <v>0.35416666666666669</v>
      </c>
      <c r="E560" s="32">
        <v>0.4375</v>
      </c>
      <c r="F560" s="12">
        <f t="shared" si="127"/>
        <v>1.9999999999999996</v>
      </c>
      <c r="G560" s="12">
        <v>12</v>
      </c>
      <c r="H560" s="30" t="s">
        <v>33</v>
      </c>
      <c r="I560" s="30" t="s">
        <v>27</v>
      </c>
      <c r="J560" s="30" t="s">
        <v>28</v>
      </c>
      <c r="K560" s="9" t="str">
        <f>IFERROR(VLOOKUP($B560,[1]Kundenübersicht!$E$4:$AC$1003,MATCH(K$3,[1]Kundenübersicht!$E$3:$BA$3,FALSE),FALSE),"")</f>
        <v>Barmer Pflegekasse</v>
      </c>
      <c r="L560" s="13">
        <f>IFERROR(VLOOKUP(B560,[1]Kundenübersicht!$E$4:$AC$1003,MATCH(L$3,[1]Kundenübersicht!$E$3:$BA$3,FALSE),FALSE),"")</f>
        <v>184940005</v>
      </c>
      <c r="M560" s="13" t="str">
        <f>IFERROR(VLOOKUP(B560,[1]Kundenübersicht!$E$4:$AC$1003,MATCH(M$3,[1]Kundenübersicht!$E$3:$BA$3,FALSE),FALSE),"")</f>
        <v>G192083809</v>
      </c>
      <c r="N560" s="13" t="str">
        <f>IFERROR(VLOOKUP(B560,[1]Kundenübersicht!$E$4:$AC$1003,MATCH(N$3,[1]Kundenübersicht!$E$3:$BA$3,FALSE),FALSE),"")</f>
        <v>PG 2</v>
      </c>
      <c r="P560" s="9" t="s">
        <v>29</v>
      </c>
      <c r="R560" s="9" t="str">
        <f t="shared" si="126"/>
        <v>Fehlt</v>
      </c>
      <c r="S560" s="14"/>
      <c r="U560" s="15">
        <f>IF(YEAR(C560)&lt;=2025,IFERROR(IF(I560="Hauswirtschaft",VLOOKUP($B560,[1]Kundenübersicht!$E$4:$BA$1003,MATCH("Hauswirtschaft [€/Stunde]",[1]Kundenübersicht!$E$3:$BA$3,FALSE),FALSE),VLOOKUP($B560,[1]Kundenübersicht!$E$4:$BA$1003,MATCH("Alltagsbegleitung [€/Stunde]",[1]Kundenübersicht!$E$3:$BA$3,FALSE),FALSE)),0),IFERROR(IF(I560="Hauswirtschaft",VLOOKUP($B560,[1]Kundenübersicht!$E$4:$BA$1003,MATCH("HW ab 2026 [€/Stunde]",[1]Kundenübersicht!$E$3:$BA$3,FALSE),FALSE),VLOOKUP($B560,[1]Kundenübersicht!$E$4:$BA$1003,MATCH("Alltagsbegleitung [€/Stunde]",[1]Kundenübersicht!$E$3:$BA$3,FALSE),FALSE)),0))</f>
        <v>38</v>
      </c>
      <c r="V560" s="16">
        <f t="shared" si="128"/>
        <v>75.999999999999986</v>
      </c>
      <c r="W560" s="16">
        <f t="shared" si="139"/>
        <v>4.1999999999999993</v>
      </c>
      <c r="X560" s="16" t="s">
        <v>89</v>
      </c>
      <c r="Z560" s="20" t="str">
        <f t="shared" si="125"/>
        <v>Nein</v>
      </c>
      <c r="AA560" s="19"/>
      <c r="AC560" s="19"/>
      <c r="AE560" s="9">
        <f t="shared" si="136"/>
        <v>2026</v>
      </c>
      <c r="AF560" s="17" t="str">
        <f t="shared" si="137"/>
        <v>02.2026</v>
      </c>
      <c r="AG560" s="17" t="str">
        <f t="shared" si="138"/>
        <v>Christiane Fiebag</v>
      </c>
      <c r="AH560" s="17" t="str">
        <f>IFERROR(VLOOKUP(B560,[1]Kundenübersicht!$E$4:$F$85,2,FALSE),"")</f>
        <v>Bettina Jungnickel</v>
      </c>
      <c r="AI560" s="17" t="str">
        <f t="shared" si="140"/>
        <v>Hauswirtschaft</v>
      </c>
      <c r="AJ560" s="17" t="str">
        <f t="shared" si="140"/>
        <v>Entlastungsleistung</v>
      </c>
      <c r="AL560" s="18">
        <f t="shared" si="133"/>
        <v>38</v>
      </c>
      <c r="AM560" s="18">
        <f t="shared" si="134"/>
        <v>75.999999999999986</v>
      </c>
      <c r="AN560" s="18">
        <f t="shared" si="135"/>
        <v>4.1999999999999993</v>
      </c>
    </row>
    <row r="561" spans="2:40" x14ac:dyDescent="0.25">
      <c r="B561" s="30" t="s">
        <v>38</v>
      </c>
      <c r="C561" s="31">
        <v>46055</v>
      </c>
      <c r="D561" s="32">
        <v>0.375</v>
      </c>
      <c r="E561" s="32">
        <v>0.4375</v>
      </c>
      <c r="F561" s="12">
        <f t="shared" si="127"/>
        <v>1.5</v>
      </c>
      <c r="G561" s="12">
        <v>7.3</v>
      </c>
      <c r="H561" s="30" t="s">
        <v>33</v>
      </c>
      <c r="I561" s="30" t="s">
        <v>27</v>
      </c>
      <c r="J561" s="30" t="s">
        <v>28</v>
      </c>
      <c r="K561" s="9" t="str">
        <f>IFERROR(VLOOKUP($B561,[1]Kundenübersicht!$E$4:$AC$1003,MATCH(K$3,[1]Kundenübersicht!$E$3:$BA$3,FALSE),FALSE),"")</f>
        <v>AOK PLUS</v>
      </c>
      <c r="L561" s="13">
        <f>IFERROR(VLOOKUP(B561,[1]Kundenübersicht!$E$4:$AC$1003,MATCH(L$3,[1]Kundenübersicht!$E$3:$BA$3,FALSE),FALSE),"")</f>
        <v>107299005</v>
      </c>
      <c r="M561" s="13" t="str">
        <f>IFERROR(VLOOKUP(B561,[1]Kundenübersicht!$E$4:$AC$1003,MATCH(M$3,[1]Kundenübersicht!$E$3:$BA$3,FALSE),FALSE),"")</f>
        <v>R782602114</v>
      </c>
      <c r="N561" s="13" t="str">
        <f>IFERROR(VLOOKUP(B561,[1]Kundenübersicht!$E$4:$AC$1003,MATCH(N$3,[1]Kundenübersicht!$E$3:$BA$3,FALSE),FALSE),"")</f>
        <v>PG 1</v>
      </c>
      <c r="P561" s="9" t="s">
        <v>29</v>
      </c>
      <c r="R561" s="9" t="str">
        <f t="shared" si="126"/>
        <v>Fehlt</v>
      </c>
      <c r="S561" s="14"/>
      <c r="U561" s="15">
        <f>IF(YEAR(C561)&lt;=2025,IFERROR(IF(I561="Hauswirtschaft",VLOOKUP($B561,[1]Kundenübersicht!$E$4:$BA$1003,MATCH("Hauswirtschaft [€/Stunde]",[1]Kundenübersicht!$E$3:$BA$3,FALSE),FALSE),VLOOKUP($B561,[1]Kundenübersicht!$E$4:$BA$1003,MATCH("Alltagsbegleitung [€/Stunde]",[1]Kundenübersicht!$E$3:$BA$3,FALSE),FALSE)),0),IFERROR(IF(I561="Hauswirtschaft",VLOOKUP($B561,[1]Kundenübersicht!$E$4:$BA$1003,MATCH("HW ab 2026 [€/Stunde]",[1]Kundenübersicht!$E$3:$BA$3,FALSE),FALSE),VLOOKUP($B561,[1]Kundenübersicht!$E$4:$BA$1003,MATCH("Alltagsbegleitung [€/Stunde]",[1]Kundenübersicht!$E$3:$BA$3,FALSE),FALSE)),0))</f>
        <v>38</v>
      </c>
      <c r="V561" s="16">
        <f t="shared" si="128"/>
        <v>57</v>
      </c>
      <c r="W561" s="16">
        <f t="shared" si="139"/>
        <v>2.5549999999999997</v>
      </c>
      <c r="X561" s="16" t="s">
        <v>89</v>
      </c>
      <c r="Z561" s="20" t="str">
        <f t="shared" si="125"/>
        <v>Nein</v>
      </c>
      <c r="AA561" s="19"/>
      <c r="AC561" s="19"/>
      <c r="AE561" s="9">
        <f t="shared" si="136"/>
        <v>2026</v>
      </c>
      <c r="AF561" s="17" t="str">
        <f t="shared" si="137"/>
        <v>02.2026</v>
      </c>
      <c r="AG561" s="17" t="str">
        <f t="shared" si="138"/>
        <v>Christiane Fiebag</v>
      </c>
      <c r="AH561" s="17" t="str">
        <f>IFERROR(VLOOKUP(B561,[1]Kundenübersicht!$E$4:$F$85,2,FALSE),"")</f>
        <v>Christian Jungnickel</v>
      </c>
      <c r="AI561" s="17" t="str">
        <f t="shared" si="140"/>
        <v>Hauswirtschaft</v>
      </c>
      <c r="AJ561" s="17" t="str">
        <f t="shared" si="140"/>
        <v>Entlastungsleistung</v>
      </c>
      <c r="AL561" s="18">
        <f t="shared" si="133"/>
        <v>38</v>
      </c>
      <c r="AM561" s="18">
        <f t="shared" si="134"/>
        <v>57</v>
      </c>
      <c r="AN561" s="18">
        <f t="shared" si="135"/>
        <v>2.5549999999999997</v>
      </c>
    </row>
    <row r="562" spans="2:40" x14ac:dyDescent="0.25">
      <c r="B562" s="30" t="s">
        <v>38</v>
      </c>
      <c r="C562" s="31">
        <v>46065</v>
      </c>
      <c r="D562" s="32">
        <v>0.33333333333333331</v>
      </c>
      <c r="E562" s="32">
        <v>0.39583333333333331</v>
      </c>
      <c r="F562" s="12">
        <f t="shared" si="127"/>
        <v>1.5</v>
      </c>
      <c r="G562" s="12">
        <v>5.4</v>
      </c>
      <c r="H562" s="30" t="s">
        <v>33</v>
      </c>
      <c r="I562" s="30" t="s">
        <v>27</v>
      </c>
      <c r="J562" s="30" t="s">
        <v>28</v>
      </c>
      <c r="K562" s="9" t="str">
        <f>IFERROR(VLOOKUP($B562,[1]Kundenübersicht!$E$4:$AC$1003,MATCH(K$3,[1]Kundenübersicht!$E$3:$BA$3,FALSE),FALSE),"")</f>
        <v>AOK PLUS</v>
      </c>
      <c r="L562" s="13">
        <f>IFERROR(VLOOKUP(B562,[1]Kundenübersicht!$E$4:$AC$1003,MATCH(L$3,[1]Kundenübersicht!$E$3:$BA$3,FALSE),FALSE),"")</f>
        <v>107299005</v>
      </c>
      <c r="M562" s="13" t="str">
        <f>IFERROR(VLOOKUP(B562,[1]Kundenübersicht!$E$4:$AC$1003,MATCH(M$3,[1]Kundenübersicht!$E$3:$BA$3,FALSE),FALSE),"")</f>
        <v>R782602114</v>
      </c>
      <c r="N562" s="13" t="str">
        <f>IFERROR(VLOOKUP(B562,[1]Kundenübersicht!$E$4:$AC$1003,MATCH(N$3,[1]Kundenübersicht!$E$3:$BA$3,FALSE),FALSE),"")</f>
        <v>PG 1</v>
      </c>
      <c r="P562" s="9" t="s">
        <v>29</v>
      </c>
      <c r="R562" s="9" t="str">
        <f t="shared" si="126"/>
        <v>Fehlt</v>
      </c>
      <c r="S562" s="14"/>
      <c r="U562" s="15">
        <f>IF(YEAR(C562)&lt;=2025,IFERROR(IF(I562="Hauswirtschaft",VLOOKUP($B562,[1]Kundenübersicht!$E$4:$BA$1003,MATCH("Hauswirtschaft [€/Stunde]",[1]Kundenübersicht!$E$3:$BA$3,FALSE),FALSE),VLOOKUP($B562,[1]Kundenübersicht!$E$4:$BA$1003,MATCH("Alltagsbegleitung [€/Stunde]",[1]Kundenübersicht!$E$3:$BA$3,FALSE),FALSE)),0),IFERROR(IF(I562="Hauswirtschaft",VLOOKUP($B562,[1]Kundenübersicht!$E$4:$BA$1003,MATCH("HW ab 2026 [€/Stunde]",[1]Kundenübersicht!$E$3:$BA$3,FALSE),FALSE),VLOOKUP($B562,[1]Kundenübersicht!$E$4:$BA$1003,MATCH("Alltagsbegleitung [€/Stunde]",[1]Kundenübersicht!$E$3:$BA$3,FALSE),FALSE)),0))</f>
        <v>38</v>
      </c>
      <c r="V562" s="16">
        <f t="shared" si="128"/>
        <v>57</v>
      </c>
      <c r="W562" s="16">
        <f t="shared" si="139"/>
        <v>1.89</v>
      </c>
      <c r="X562" s="16" t="s">
        <v>89</v>
      </c>
      <c r="Z562" s="20" t="str">
        <f t="shared" ref="Z562:Z625" si="141">IF(AA562="","Nein","Ja")</f>
        <v>Nein</v>
      </c>
      <c r="AA562" s="19"/>
      <c r="AC562" s="19"/>
      <c r="AE562" s="9">
        <f t="shared" si="136"/>
        <v>2026</v>
      </c>
      <c r="AF562" s="17" t="str">
        <f t="shared" si="137"/>
        <v>02.2026</v>
      </c>
      <c r="AG562" s="17" t="str">
        <f t="shared" si="138"/>
        <v>Christiane Fiebag</v>
      </c>
      <c r="AH562" s="17" t="str">
        <f>IFERROR(VLOOKUP(B562,[1]Kundenübersicht!$E$4:$F$85,2,FALSE),"")</f>
        <v>Christian Jungnickel</v>
      </c>
      <c r="AI562" s="17" t="str">
        <f t="shared" si="140"/>
        <v>Hauswirtschaft</v>
      </c>
      <c r="AJ562" s="17" t="str">
        <f t="shared" si="140"/>
        <v>Entlastungsleistung</v>
      </c>
      <c r="AL562" s="18">
        <f t="shared" si="133"/>
        <v>38</v>
      </c>
      <c r="AM562" s="18">
        <f t="shared" si="134"/>
        <v>57</v>
      </c>
      <c r="AN562" s="18">
        <f t="shared" si="135"/>
        <v>1.89</v>
      </c>
    </row>
    <row r="563" spans="2:40" x14ac:dyDescent="0.25">
      <c r="B563" s="30" t="s">
        <v>73</v>
      </c>
      <c r="C563" s="31">
        <v>46064</v>
      </c>
      <c r="D563" s="32">
        <v>0.39583333333333331</v>
      </c>
      <c r="E563" s="32">
        <v>0.45833333333333331</v>
      </c>
      <c r="F563" s="12">
        <f t="shared" si="127"/>
        <v>1.5</v>
      </c>
      <c r="G563" s="12">
        <v>17</v>
      </c>
      <c r="H563" s="30" t="s">
        <v>33</v>
      </c>
      <c r="I563" s="30" t="s">
        <v>27</v>
      </c>
      <c r="J563" s="30" t="s">
        <v>28</v>
      </c>
      <c r="K563" s="9" t="str">
        <f>IFERROR(VLOOKUP($B563,[1]Kundenübersicht!$E$4:$AC$1003,MATCH(K$3,[1]Kundenübersicht!$E$3:$BA$3,FALSE),FALSE),"")</f>
        <v>AOK PLUS</v>
      </c>
      <c r="L563" s="13">
        <f>IFERROR(VLOOKUP(B563,[1]Kundenübersicht!$E$4:$AC$1003,MATCH(L$3,[1]Kundenübersicht!$E$3:$BA$3,FALSE),FALSE),"")</f>
        <v>107299005</v>
      </c>
      <c r="M563" s="13" t="str">
        <f>IFERROR(VLOOKUP(B563,[1]Kundenübersicht!$E$4:$AC$1003,MATCH(M$3,[1]Kundenübersicht!$E$3:$BA$3,FALSE),FALSE),"")</f>
        <v>A758670111</v>
      </c>
      <c r="N563" s="13" t="str">
        <f>IFERROR(VLOOKUP(B563,[1]Kundenübersicht!$E$4:$AC$1003,MATCH(N$3,[1]Kundenübersicht!$E$3:$BA$3,FALSE),FALSE),"")</f>
        <v>PG 2</v>
      </c>
      <c r="P563" s="9" t="s">
        <v>29</v>
      </c>
      <c r="R563" s="9" t="str">
        <f t="shared" si="126"/>
        <v>Fehlt</v>
      </c>
      <c r="S563" s="14"/>
      <c r="U563" s="15">
        <f>IF(YEAR(C563)&lt;=2025,IFERROR(IF(I563="Hauswirtschaft",VLOOKUP($B563,[1]Kundenübersicht!$E$4:$BA$1003,MATCH("Hauswirtschaft [€/Stunde]",[1]Kundenübersicht!$E$3:$BA$3,FALSE),FALSE),VLOOKUP($B563,[1]Kundenübersicht!$E$4:$BA$1003,MATCH("Alltagsbegleitung [€/Stunde]",[1]Kundenübersicht!$E$3:$BA$3,FALSE),FALSE)),0),IFERROR(IF(I563="Hauswirtschaft",VLOOKUP($B563,[1]Kundenübersicht!$E$4:$BA$1003,MATCH("HW ab 2026 [€/Stunde]",[1]Kundenübersicht!$E$3:$BA$3,FALSE),FALSE),VLOOKUP($B563,[1]Kundenübersicht!$E$4:$BA$1003,MATCH("Alltagsbegleitung [€/Stunde]",[1]Kundenübersicht!$E$3:$BA$3,FALSE),FALSE)),0))</f>
        <v>38</v>
      </c>
      <c r="V563" s="16">
        <f t="shared" si="128"/>
        <v>57</v>
      </c>
      <c r="W563" s="16">
        <f t="shared" si="139"/>
        <v>5.9499999999999993</v>
      </c>
      <c r="X563" s="16" t="s">
        <v>89</v>
      </c>
      <c r="Z563" s="20" t="str">
        <f t="shared" si="141"/>
        <v>Nein</v>
      </c>
      <c r="AA563" s="19"/>
      <c r="AC563" s="19"/>
      <c r="AE563" s="9">
        <f t="shared" si="136"/>
        <v>2026</v>
      </c>
      <c r="AF563" s="17" t="str">
        <f t="shared" si="137"/>
        <v>02.2026</v>
      </c>
      <c r="AG563" s="17" t="str">
        <f t="shared" si="138"/>
        <v>Christiane Fiebag</v>
      </c>
      <c r="AH563" s="17" t="str">
        <f>IFERROR(VLOOKUP(B563,[1]Kundenübersicht!$E$4:$F$85,2,FALSE),"")</f>
        <v>Christine Klewer</v>
      </c>
      <c r="AI563" s="17" t="str">
        <f t="shared" si="140"/>
        <v>Hauswirtschaft</v>
      </c>
      <c r="AJ563" s="17" t="str">
        <f t="shared" si="140"/>
        <v>Entlastungsleistung</v>
      </c>
      <c r="AL563" s="18">
        <f t="shared" si="133"/>
        <v>38</v>
      </c>
      <c r="AM563" s="18">
        <f t="shared" si="134"/>
        <v>57</v>
      </c>
      <c r="AN563" s="18">
        <f t="shared" si="135"/>
        <v>5.9499999999999993</v>
      </c>
    </row>
    <row r="564" spans="2:40" x14ac:dyDescent="0.25">
      <c r="B564" s="30" t="s">
        <v>73</v>
      </c>
      <c r="C564" s="31">
        <v>46078</v>
      </c>
      <c r="D564" s="32">
        <v>0.375</v>
      </c>
      <c r="E564" s="32">
        <v>0.4375</v>
      </c>
      <c r="F564" s="12">
        <f t="shared" si="127"/>
        <v>1.5</v>
      </c>
      <c r="G564" s="12">
        <v>17.5</v>
      </c>
      <c r="H564" s="30" t="s">
        <v>33</v>
      </c>
      <c r="I564" s="30" t="s">
        <v>27</v>
      </c>
      <c r="J564" s="30" t="s">
        <v>28</v>
      </c>
      <c r="K564" s="9" t="str">
        <f>IFERROR(VLOOKUP($B564,[1]Kundenübersicht!$E$4:$AC$1003,MATCH(K$3,[1]Kundenübersicht!$E$3:$BA$3,FALSE),FALSE),"")</f>
        <v>AOK PLUS</v>
      </c>
      <c r="L564" s="13">
        <f>IFERROR(VLOOKUP(B564,[1]Kundenübersicht!$E$4:$AC$1003,MATCH(L$3,[1]Kundenübersicht!$E$3:$BA$3,FALSE),FALSE),"")</f>
        <v>107299005</v>
      </c>
      <c r="M564" s="13" t="str">
        <f>IFERROR(VLOOKUP(B564,[1]Kundenübersicht!$E$4:$AC$1003,MATCH(M$3,[1]Kundenübersicht!$E$3:$BA$3,FALSE),FALSE),"")</f>
        <v>A758670111</v>
      </c>
      <c r="N564" s="13" t="str">
        <f>IFERROR(VLOOKUP(B564,[1]Kundenübersicht!$E$4:$AC$1003,MATCH(N$3,[1]Kundenübersicht!$E$3:$BA$3,FALSE),FALSE),"")</f>
        <v>PG 2</v>
      </c>
      <c r="P564" s="9" t="s">
        <v>29</v>
      </c>
      <c r="R564" s="9" t="str">
        <f t="shared" si="126"/>
        <v>Fehlt</v>
      </c>
      <c r="S564" s="14"/>
      <c r="U564" s="15">
        <f>IF(YEAR(C564)&lt;=2025,IFERROR(IF(I564="Hauswirtschaft",VLOOKUP($B564,[1]Kundenübersicht!$E$4:$BA$1003,MATCH("Hauswirtschaft [€/Stunde]",[1]Kundenübersicht!$E$3:$BA$3,FALSE),FALSE),VLOOKUP($B564,[1]Kundenübersicht!$E$4:$BA$1003,MATCH("Alltagsbegleitung [€/Stunde]",[1]Kundenübersicht!$E$3:$BA$3,FALSE),FALSE)),0),IFERROR(IF(I564="Hauswirtschaft",VLOOKUP($B564,[1]Kundenübersicht!$E$4:$BA$1003,MATCH("HW ab 2026 [€/Stunde]",[1]Kundenübersicht!$E$3:$BA$3,FALSE),FALSE),VLOOKUP($B564,[1]Kundenübersicht!$E$4:$BA$1003,MATCH("Alltagsbegleitung [€/Stunde]",[1]Kundenübersicht!$E$3:$BA$3,FALSE),FALSE)),0))</f>
        <v>38</v>
      </c>
      <c r="V564" s="16">
        <f t="shared" si="128"/>
        <v>57</v>
      </c>
      <c r="W564" s="16">
        <f t="shared" si="139"/>
        <v>6.125</v>
      </c>
      <c r="X564" s="16" t="s">
        <v>89</v>
      </c>
      <c r="Z564" s="20" t="str">
        <f t="shared" si="141"/>
        <v>Nein</v>
      </c>
      <c r="AA564" s="19"/>
      <c r="AC564" s="19"/>
      <c r="AE564" s="9">
        <f t="shared" si="136"/>
        <v>2026</v>
      </c>
      <c r="AF564" s="17" t="str">
        <f t="shared" si="137"/>
        <v>02.2026</v>
      </c>
      <c r="AG564" s="17" t="str">
        <f t="shared" si="138"/>
        <v>Christiane Fiebag</v>
      </c>
      <c r="AH564" s="17" t="str">
        <f>IFERROR(VLOOKUP(B564,[1]Kundenübersicht!$E$4:$F$85,2,FALSE),"")</f>
        <v>Christine Klewer</v>
      </c>
      <c r="AI564" s="17" t="str">
        <f t="shared" ref="AI564:AJ609" si="142">IF(I564="","",I564)</f>
        <v>Hauswirtschaft</v>
      </c>
      <c r="AJ564" s="17" t="str">
        <f t="shared" si="142"/>
        <v>Entlastungsleistung</v>
      </c>
      <c r="AL564" s="18">
        <f t="shared" si="133"/>
        <v>38</v>
      </c>
      <c r="AM564" s="18">
        <f t="shared" si="134"/>
        <v>57</v>
      </c>
      <c r="AN564" s="18">
        <f t="shared" si="135"/>
        <v>6.125</v>
      </c>
    </row>
    <row r="565" spans="2:40" x14ac:dyDescent="0.25">
      <c r="B565" s="30" t="s">
        <v>34</v>
      </c>
      <c r="C565" s="31">
        <v>46055</v>
      </c>
      <c r="D565" s="32">
        <v>0.45833333333333331</v>
      </c>
      <c r="E565" s="32">
        <v>0.54166666666666663</v>
      </c>
      <c r="F565" s="12">
        <f t="shared" si="127"/>
        <v>1.9999999999999996</v>
      </c>
      <c r="G565" s="12">
        <v>19.3</v>
      </c>
      <c r="H565" s="30" t="s">
        <v>33</v>
      </c>
      <c r="I565" s="30" t="s">
        <v>27</v>
      </c>
      <c r="J565" s="30" t="s">
        <v>28</v>
      </c>
      <c r="K565" s="9" t="str">
        <f>IFERROR(VLOOKUP($B565,[1]Kundenübersicht!$E$4:$AC$1003,MATCH(K$3,[1]Kundenübersicht!$E$3:$BA$3,FALSE),FALSE),"")</f>
        <v>AOK PLUS</v>
      </c>
      <c r="L565" s="13">
        <f>IFERROR(VLOOKUP(B565,[1]Kundenübersicht!$E$4:$AC$1003,MATCH(L$3,[1]Kundenübersicht!$E$3:$BA$3,FALSE),FALSE),"")</f>
        <v>107299005</v>
      </c>
      <c r="M565" s="13" t="str">
        <f>IFERROR(VLOOKUP(B565,[1]Kundenübersicht!$E$4:$AC$1003,MATCH(M$3,[1]Kundenübersicht!$E$3:$BA$3,FALSE),FALSE),"")</f>
        <v>R234942678</v>
      </c>
      <c r="N565" s="13" t="str">
        <f>IFERROR(VLOOKUP(B565,[1]Kundenübersicht!$E$4:$AC$1003,MATCH(N$3,[1]Kundenübersicht!$E$3:$BA$3,FALSE),FALSE),"")</f>
        <v>PG 2</v>
      </c>
      <c r="P565" s="9" t="s">
        <v>29</v>
      </c>
      <c r="R565" s="9" t="str">
        <f t="shared" si="126"/>
        <v>Fehlt</v>
      </c>
      <c r="S565" s="14"/>
      <c r="U565" s="15">
        <f>IF(YEAR(C565)&lt;=2025,IFERROR(IF(I565="Hauswirtschaft",VLOOKUP($B565,[1]Kundenübersicht!$E$4:$BA$1003,MATCH("Hauswirtschaft [€/Stunde]",[1]Kundenübersicht!$E$3:$BA$3,FALSE),FALSE),VLOOKUP($B565,[1]Kundenübersicht!$E$4:$BA$1003,MATCH("Alltagsbegleitung [€/Stunde]",[1]Kundenübersicht!$E$3:$BA$3,FALSE),FALSE)),0),IFERROR(IF(I565="Hauswirtschaft",VLOOKUP($B565,[1]Kundenübersicht!$E$4:$BA$1003,MATCH("HW ab 2026 [€/Stunde]",[1]Kundenübersicht!$E$3:$BA$3,FALSE),FALSE),VLOOKUP($B565,[1]Kundenübersicht!$E$4:$BA$1003,MATCH("Alltagsbegleitung [€/Stunde]",[1]Kundenübersicht!$E$3:$BA$3,FALSE),FALSE)),0))</f>
        <v>38</v>
      </c>
      <c r="V565" s="16">
        <f t="shared" si="128"/>
        <v>75.999999999999986</v>
      </c>
      <c r="W565" s="16">
        <f t="shared" si="139"/>
        <v>6.7549999999999999</v>
      </c>
      <c r="X565" s="16" t="s">
        <v>89</v>
      </c>
      <c r="Z565" s="20" t="str">
        <f t="shared" si="141"/>
        <v>Nein</v>
      </c>
      <c r="AA565" s="19"/>
      <c r="AC565" s="19"/>
      <c r="AE565" s="9">
        <f t="shared" si="136"/>
        <v>2026</v>
      </c>
      <c r="AF565" s="17" t="str">
        <f t="shared" si="137"/>
        <v>02.2026</v>
      </c>
      <c r="AG565" s="17" t="str">
        <f t="shared" si="138"/>
        <v>Christiane Fiebag</v>
      </c>
      <c r="AH565" s="17" t="str">
        <f>IFERROR(VLOOKUP(B565,[1]Kundenübersicht!$E$4:$F$85,2,FALSE),"")</f>
        <v>Dieter Berghold</v>
      </c>
      <c r="AI565" s="17" t="str">
        <f t="shared" si="142"/>
        <v>Hauswirtschaft</v>
      </c>
      <c r="AJ565" s="17" t="str">
        <f t="shared" si="142"/>
        <v>Entlastungsleistung</v>
      </c>
      <c r="AL565" s="18">
        <f t="shared" si="133"/>
        <v>38</v>
      </c>
      <c r="AM565" s="18">
        <f t="shared" si="134"/>
        <v>75.999999999999986</v>
      </c>
      <c r="AN565" s="18">
        <f t="shared" si="135"/>
        <v>6.7549999999999999</v>
      </c>
    </row>
    <row r="566" spans="2:40" x14ac:dyDescent="0.25">
      <c r="B566" s="30" t="s">
        <v>35</v>
      </c>
      <c r="C566" s="31">
        <v>46062</v>
      </c>
      <c r="D566" s="32">
        <v>0.45833333333333331</v>
      </c>
      <c r="E566" s="32">
        <v>0.54166666666666663</v>
      </c>
      <c r="F566" s="12">
        <f t="shared" si="127"/>
        <v>1.9999999999999996</v>
      </c>
      <c r="G566" s="12">
        <v>7</v>
      </c>
      <c r="H566" s="30" t="s">
        <v>33</v>
      </c>
      <c r="I566" s="30" t="s">
        <v>27</v>
      </c>
      <c r="J566" s="30" t="s">
        <v>28</v>
      </c>
      <c r="K566" s="9" t="str">
        <f>IFERROR(VLOOKUP($B566,[1]Kundenübersicht!$E$4:$AC$1003,MATCH(K$3,[1]Kundenübersicht!$E$3:$BA$3,FALSE),FALSE),"")</f>
        <v>AOK PLUS</v>
      </c>
      <c r="L566" s="13">
        <f>IFERROR(VLOOKUP(B566,[1]Kundenübersicht!$E$4:$AC$1003,MATCH(L$3,[1]Kundenübersicht!$E$3:$BA$3,FALSE),FALSE),"")</f>
        <v>107299005</v>
      </c>
      <c r="M566" s="13" t="str">
        <f>IFERROR(VLOOKUP(B566,[1]Kundenübersicht!$E$4:$AC$1003,MATCH(M$3,[1]Kundenübersicht!$E$3:$BA$3,FALSE),FALSE),"")</f>
        <v>P722909118</v>
      </c>
      <c r="N566" s="13" t="str">
        <f>IFERROR(VLOOKUP(B566,[1]Kundenübersicht!$E$4:$AC$1003,MATCH(N$3,[1]Kundenübersicht!$E$3:$BA$3,FALSE),FALSE),"")</f>
        <v>PG 3</v>
      </c>
      <c r="P566" s="9" t="s">
        <v>29</v>
      </c>
      <c r="R566" s="9" t="str">
        <f t="shared" ref="R566:R629" si="143">IF(S566="Link","Unterschrieben","Fehlt")</f>
        <v>Fehlt</v>
      </c>
      <c r="S566" s="14"/>
      <c r="U566" s="15">
        <f>IF(YEAR(C566)&lt;=2025,IFERROR(IF(I566="Hauswirtschaft",VLOOKUP($B566,[1]Kundenübersicht!$E$4:$BA$1003,MATCH("Hauswirtschaft [€/Stunde]",[1]Kundenübersicht!$E$3:$BA$3,FALSE),FALSE),VLOOKUP($B566,[1]Kundenübersicht!$E$4:$BA$1003,MATCH("Alltagsbegleitung [€/Stunde]",[1]Kundenübersicht!$E$3:$BA$3,FALSE),FALSE)),0),IFERROR(IF(I566="Hauswirtschaft",VLOOKUP($B566,[1]Kundenübersicht!$E$4:$BA$1003,MATCH("HW ab 2026 [€/Stunde]",[1]Kundenübersicht!$E$3:$BA$3,FALSE),FALSE),VLOOKUP($B566,[1]Kundenübersicht!$E$4:$BA$1003,MATCH("Alltagsbegleitung [€/Stunde]",[1]Kundenübersicht!$E$3:$BA$3,FALSE),FALSE)),0))</f>
        <v>38</v>
      </c>
      <c r="V566" s="16">
        <f t="shared" si="128"/>
        <v>75.999999999999986</v>
      </c>
      <c r="W566" s="16">
        <f t="shared" si="139"/>
        <v>2.4499999999999997</v>
      </c>
      <c r="X566" s="16" t="s">
        <v>89</v>
      </c>
      <c r="Z566" s="20" t="str">
        <f t="shared" si="141"/>
        <v>Nein</v>
      </c>
      <c r="AA566" s="19"/>
      <c r="AC566" s="19"/>
      <c r="AE566" s="9">
        <f t="shared" si="136"/>
        <v>2026</v>
      </c>
      <c r="AF566" s="17" t="str">
        <f t="shared" si="137"/>
        <v>02.2026</v>
      </c>
      <c r="AG566" s="17" t="str">
        <f t="shared" si="138"/>
        <v>Christiane Fiebag</v>
      </c>
      <c r="AH566" s="17" t="str">
        <f>IFERROR(VLOOKUP(B566,[1]Kundenübersicht!$E$4:$F$85,2,FALSE),"")</f>
        <v>Elke Berghold</v>
      </c>
      <c r="AI566" s="17" t="str">
        <f t="shared" si="142"/>
        <v>Hauswirtschaft</v>
      </c>
      <c r="AJ566" s="17" t="str">
        <f t="shared" si="142"/>
        <v>Entlastungsleistung</v>
      </c>
      <c r="AL566" s="18">
        <f t="shared" si="133"/>
        <v>38</v>
      </c>
      <c r="AM566" s="18">
        <f t="shared" si="134"/>
        <v>75.999999999999986</v>
      </c>
      <c r="AN566" s="18">
        <f t="shared" si="135"/>
        <v>2.4499999999999997</v>
      </c>
    </row>
    <row r="567" spans="2:40" x14ac:dyDescent="0.25">
      <c r="B567" s="30" t="s">
        <v>35</v>
      </c>
      <c r="C567" s="31">
        <v>46066</v>
      </c>
      <c r="D567" s="32">
        <v>0.41666666666666669</v>
      </c>
      <c r="E567" s="32">
        <v>0.5</v>
      </c>
      <c r="F567" s="12">
        <f t="shared" si="127"/>
        <v>1.9999999999999996</v>
      </c>
      <c r="G567" s="12">
        <v>25.8</v>
      </c>
      <c r="H567" s="30" t="s">
        <v>33</v>
      </c>
      <c r="I567" s="30" t="s">
        <v>27</v>
      </c>
      <c r="J567" s="30" t="s">
        <v>28</v>
      </c>
      <c r="K567" s="9" t="str">
        <f>IFERROR(VLOOKUP($B567,[1]Kundenübersicht!$E$4:$AC$1003,MATCH(K$3,[1]Kundenübersicht!$E$3:$BA$3,FALSE),FALSE),"")</f>
        <v>AOK PLUS</v>
      </c>
      <c r="L567" s="13">
        <f>IFERROR(VLOOKUP(B567,[1]Kundenübersicht!$E$4:$AC$1003,MATCH(L$3,[1]Kundenübersicht!$E$3:$BA$3,FALSE),FALSE),"")</f>
        <v>107299005</v>
      </c>
      <c r="M567" s="13" t="str">
        <f>IFERROR(VLOOKUP(B567,[1]Kundenübersicht!$E$4:$AC$1003,MATCH(M$3,[1]Kundenübersicht!$E$3:$BA$3,FALSE),FALSE),"")</f>
        <v>P722909118</v>
      </c>
      <c r="N567" s="13" t="str">
        <f>IFERROR(VLOOKUP(B567,[1]Kundenübersicht!$E$4:$AC$1003,MATCH(N$3,[1]Kundenübersicht!$E$3:$BA$3,FALSE),FALSE),"")</f>
        <v>PG 3</v>
      </c>
      <c r="P567" s="9" t="s">
        <v>29</v>
      </c>
      <c r="R567" s="9" t="str">
        <f t="shared" si="143"/>
        <v>Fehlt</v>
      </c>
      <c r="S567" s="14"/>
      <c r="U567" s="15">
        <f>IF(YEAR(C567)&lt;=2025,IFERROR(IF(I567="Hauswirtschaft",VLOOKUP($B567,[1]Kundenübersicht!$E$4:$BA$1003,MATCH("Hauswirtschaft [€/Stunde]",[1]Kundenübersicht!$E$3:$BA$3,FALSE),FALSE),VLOOKUP($B567,[1]Kundenübersicht!$E$4:$BA$1003,MATCH("Alltagsbegleitung [€/Stunde]",[1]Kundenübersicht!$E$3:$BA$3,FALSE),FALSE)),0),IFERROR(IF(I567="Hauswirtschaft",VLOOKUP($B567,[1]Kundenübersicht!$E$4:$BA$1003,MATCH("HW ab 2026 [€/Stunde]",[1]Kundenübersicht!$E$3:$BA$3,FALSE),FALSE),VLOOKUP($B567,[1]Kundenübersicht!$E$4:$BA$1003,MATCH("Alltagsbegleitung [€/Stunde]",[1]Kundenübersicht!$E$3:$BA$3,FALSE),FALSE)),0))</f>
        <v>38</v>
      </c>
      <c r="V567" s="16">
        <f t="shared" si="128"/>
        <v>75.999999999999986</v>
      </c>
      <c r="W567" s="16">
        <f t="shared" si="139"/>
        <v>9.0299999999999994</v>
      </c>
      <c r="X567" s="16" t="s">
        <v>89</v>
      </c>
      <c r="Z567" s="20" t="str">
        <f t="shared" si="141"/>
        <v>Nein</v>
      </c>
      <c r="AA567" s="19"/>
      <c r="AC567" s="19"/>
      <c r="AE567" s="9">
        <f t="shared" si="136"/>
        <v>2026</v>
      </c>
      <c r="AF567" s="17" t="str">
        <f t="shared" si="137"/>
        <v>02.2026</v>
      </c>
      <c r="AG567" s="17" t="str">
        <f t="shared" si="138"/>
        <v>Christiane Fiebag</v>
      </c>
      <c r="AH567" s="17" t="str">
        <f>IFERROR(VLOOKUP(B567,[1]Kundenübersicht!$E$4:$F$85,2,FALSE),"")</f>
        <v>Elke Berghold</v>
      </c>
      <c r="AI567" s="17" t="str">
        <f t="shared" si="142"/>
        <v>Hauswirtschaft</v>
      </c>
      <c r="AJ567" s="17" t="str">
        <f t="shared" si="142"/>
        <v>Entlastungsleistung</v>
      </c>
      <c r="AL567" s="18">
        <f t="shared" si="133"/>
        <v>38</v>
      </c>
      <c r="AM567" s="18">
        <f t="shared" si="134"/>
        <v>75.999999999999986</v>
      </c>
      <c r="AN567" s="18">
        <f t="shared" si="135"/>
        <v>9.0299999999999994</v>
      </c>
    </row>
    <row r="568" spans="2:40" x14ac:dyDescent="0.25">
      <c r="B568" s="30" t="s">
        <v>35</v>
      </c>
      <c r="C568" s="31">
        <v>46069</v>
      </c>
      <c r="D568" s="32">
        <v>0.4375</v>
      </c>
      <c r="E568" s="32">
        <v>0.53125</v>
      </c>
      <c r="F568" s="12">
        <f t="shared" ref="F568:F631" si="144">(E568-D568)*24</f>
        <v>2.25</v>
      </c>
      <c r="G568" s="12">
        <v>7.4</v>
      </c>
      <c r="H568" s="30" t="s">
        <v>33</v>
      </c>
      <c r="I568" s="30" t="s">
        <v>27</v>
      </c>
      <c r="J568" s="30" t="s">
        <v>28</v>
      </c>
      <c r="K568" s="9" t="str">
        <f>IFERROR(VLOOKUP($B568,[1]Kundenübersicht!$E$4:$AC$1003,MATCH(K$3,[1]Kundenübersicht!$E$3:$BA$3,FALSE),FALSE),"")</f>
        <v>AOK PLUS</v>
      </c>
      <c r="L568" s="13">
        <f>IFERROR(VLOOKUP(B568,[1]Kundenübersicht!$E$4:$AC$1003,MATCH(L$3,[1]Kundenübersicht!$E$3:$BA$3,FALSE),FALSE),"")</f>
        <v>107299005</v>
      </c>
      <c r="M568" s="13" t="str">
        <f>IFERROR(VLOOKUP(B568,[1]Kundenübersicht!$E$4:$AC$1003,MATCH(M$3,[1]Kundenübersicht!$E$3:$BA$3,FALSE),FALSE),"")</f>
        <v>P722909118</v>
      </c>
      <c r="N568" s="13" t="str">
        <f>IFERROR(VLOOKUP(B568,[1]Kundenübersicht!$E$4:$AC$1003,MATCH(N$3,[1]Kundenübersicht!$E$3:$BA$3,FALSE),FALSE),"")</f>
        <v>PG 3</v>
      </c>
      <c r="P568" s="9" t="s">
        <v>29</v>
      </c>
      <c r="R568" s="9" t="str">
        <f t="shared" si="143"/>
        <v>Fehlt</v>
      </c>
      <c r="S568" s="14"/>
      <c r="U568" s="15">
        <f>IF(YEAR(C568)&lt;=2025,IFERROR(IF(I568="Hauswirtschaft",VLOOKUP($B568,[1]Kundenübersicht!$E$4:$BA$1003,MATCH("Hauswirtschaft [€/Stunde]",[1]Kundenübersicht!$E$3:$BA$3,FALSE),FALSE),VLOOKUP($B568,[1]Kundenübersicht!$E$4:$BA$1003,MATCH("Alltagsbegleitung [€/Stunde]",[1]Kundenübersicht!$E$3:$BA$3,FALSE),FALSE)),0),IFERROR(IF(I568="Hauswirtschaft",VLOOKUP($B568,[1]Kundenübersicht!$E$4:$BA$1003,MATCH("HW ab 2026 [€/Stunde]",[1]Kundenübersicht!$E$3:$BA$3,FALSE),FALSE),VLOOKUP($B568,[1]Kundenübersicht!$E$4:$BA$1003,MATCH("Alltagsbegleitung [€/Stunde]",[1]Kundenübersicht!$E$3:$BA$3,FALSE),FALSE)),0))</f>
        <v>38</v>
      </c>
      <c r="V568" s="16">
        <f t="shared" ref="V568:V631" si="145">U568*F568</f>
        <v>85.5</v>
      </c>
      <c r="W568" s="16">
        <f t="shared" si="139"/>
        <v>2.59</v>
      </c>
      <c r="X568" s="16" t="s">
        <v>89</v>
      </c>
      <c r="Z568" s="20" t="str">
        <f t="shared" si="141"/>
        <v>Nein</v>
      </c>
      <c r="AA568" s="19"/>
      <c r="AC568" s="19"/>
      <c r="AE568" s="9">
        <f t="shared" si="136"/>
        <v>2026</v>
      </c>
      <c r="AF568" s="17" t="str">
        <f t="shared" si="137"/>
        <v>02.2026</v>
      </c>
      <c r="AG568" s="17" t="str">
        <f t="shared" si="138"/>
        <v>Christiane Fiebag</v>
      </c>
      <c r="AH568" s="17" t="str">
        <f>IFERROR(VLOOKUP(B568,[1]Kundenübersicht!$E$4:$F$85,2,FALSE),"")</f>
        <v>Elke Berghold</v>
      </c>
      <c r="AI568" s="17" t="str">
        <f t="shared" si="142"/>
        <v>Hauswirtschaft</v>
      </c>
      <c r="AJ568" s="17" t="str">
        <f t="shared" si="142"/>
        <v>Entlastungsleistung</v>
      </c>
      <c r="AL568" s="18">
        <f t="shared" si="133"/>
        <v>38</v>
      </c>
      <c r="AM568" s="18">
        <f t="shared" si="134"/>
        <v>85.5</v>
      </c>
      <c r="AN568" s="18">
        <f t="shared" si="135"/>
        <v>2.59</v>
      </c>
    </row>
    <row r="569" spans="2:40" x14ac:dyDescent="0.25">
      <c r="B569" s="30" t="s">
        <v>35</v>
      </c>
      <c r="C569" s="31">
        <v>46069</v>
      </c>
      <c r="D569" s="32">
        <v>0.53125</v>
      </c>
      <c r="E569" s="32">
        <v>0.55208333333333337</v>
      </c>
      <c r="F569" s="12">
        <f t="shared" si="144"/>
        <v>0.50000000000000089</v>
      </c>
      <c r="G569" s="12">
        <v>0</v>
      </c>
      <c r="H569" s="30" t="s">
        <v>33</v>
      </c>
      <c r="I569" s="30" t="s">
        <v>41</v>
      </c>
      <c r="J569" s="30" t="s">
        <v>28</v>
      </c>
      <c r="K569" s="9" t="str">
        <f>IFERROR(VLOOKUP($B569,[1]Kundenübersicht!$E$4:$AC$1003,MATCH(K$3,[1]Kundenübersicht!$E$3:$BA$3,FALSE),FALSE),"")</f>
        <v>AOK PLUS</v>
      </c>
      <c r="L569" s="13">
        <f>IFERROR(VLOOKUP(B569,[1]Kundenübersicht!$E$4:$AC$1003,MATCH(L$3,[1]Kundenübersicht!$E$3:$BA$3,FALSE),FALSE),"")</f>
        <v>107299005</v>
      </c>
      <c r="M569" s="13" t="str">
        <f>IFERROR(VLOOKUP(B569,[1]Kundenübersicht!$E$4:$AC$1003,MATCH(M$3,[1]Kundenübersicht!$E$3:$BA$3,FALSE),FALSE),"")</f>
        <v>P722909118</v>
      </c>
      <c r="N569" s="13" t="str">
        <f>IFERROR(VLOOKUP(B569,[1]Kundenübersicht!$E$4:$AC$1003,MATCH(N$3,[1]Kundenübersicht!$E$3:$BA$3,FALSE),FALSE),"")</f>
        <v>PG 3</v>
      </c>
      <c r="P569" s="9" t="s">
        <v>29</v>
      </c>
      <c r="R569" s="9" t="str">
        <f t="shared" si="143"/>
        <v>Fehlt</v>
      </c>
      <c r="S569" s="14"/>
      <c r="U569" s="15">
        <f>IF(YEAR(C569)&lt;=2025,IFERROR(IF(I569="Hauswirtschaft",VLOOKUP($B569,[1]Kundenübersicht!$E$4:$BA$1003,MATCH("Hauswirtschaft [€/Stunde]",[1]Kundenübersicht!$E$3:$BA$3,FALSE),FALSE),VLOOKUP($B569,[1]Kundenübersicht!$E$4:$BA$1003,MATCH("Alltagsbegleitung [€/Stunde]",[1]Kundenübersicht!$E$3:$BA$3,FALSE),FALSE)),0),IFERROR(IF(I569="Hauswirtschaft",VLOOKUP($B569,[1]Kundenübersicht!$E$4:$BA$1003,MATCH("HW ab 2026 [€/Stunde]",[1]Kundenübersicht!$E$3:$BA$3,FALSE),FALSE),VLOOKUP($B569,[1]Kundenübersicht!$E$4:$BA$1003,MATCH("Alltagsbegleitung [€/Stunde]",[1]Kundenübersicht!$E$3:$BA$3,FALSE),FALSE)),0))</f>
        <v>42</v>
      </c>
      <c r="V569" s="16">
        <f t="shared" si="145"/>
        <v>21.000000000000036</v>
      </c>
      <c r="W569" s="16">
        <f t="shared" si="139"/>
        <v>0</v>
      </c>
      <c r="X569" s="16" t="s">
        <v>89</v>
      </c>
      <c r="Z569" s="20" t="str">
        <f t="shared" si="141"/>
        <v>Nein</v>
      </c>
      <c r="AA569" s="19"/>
      <c r="AC569" s="19"/>
      <c r="AE569" s="9">
        <f t="shared" si="136"/>
        <v>2026</v>
      </c>
      <c r="AF569" s="17" t="str">
        <f t="shared" si="137"/>
        <v>02.2026</v>
      </c>
      <c r="AG569" s="17" t="str">
        <f t="shared" si="138"/>
        <v>Christiane Fiebag</v>
      </c>
      <c r="AH569" s="17" t="str">
        <f>IFERROR(VLOOKUP(B569,[1]Kundenübersicht!$E$4:$F$85,2,FALSE),"")</f>
        <v>Elke Berghold</v>
      </c>
      <c r="AI569" s="17" t="str">
        <f t="shared" si="142"/>
        <v>Alltagsbegleitung</v>
      </c>
      <c r="AJ569" s="17" t="str">
        <f t="shared" si="142"/>
        <v>Entlastungsleistung</v>
      </c>
      <c r="AL569" s="18">
        <f t="shared" si="133"/>
        <v>42</v>
      </c>
      <c r="AM569" s="18">
        <f t="shared" si="134"/>
        <v>21.000000000000036</v>
      </c>
      <c r="AN569" s="18">
        <f t="shared" si="135"/>
        <v>0</v>
      </c>
    </row>
    <row r="570" spans="2:40" x14ac:dyDescent="0.25">
      <c r="B570" s="30" t="s">
        <v>35</v>
      </c>
      <c r="C570" s="31">
        <v>46073</v>
      </c>
      <c r="D570" s="32">
        <v>0.3125</v>
      </c>
      <c r="E570" s="32">
        <v>0.39583333333333331</v>
      </c>
      <c r="F570" s="12">
        <f t="shared" si="144"/>
        <v>1.9999999999999996</v>
      </c>
      <c r="G570" s="12">
        <v>17.399999999999999</v>
      </c>
      <c r="H570" s="30" t="s">
        <v>33</v>
      </c>
      <c r="I570" s="30" t="s">
        <v>41</v>
      </c>
      <c r="J570" s="30" t="s">
        <v>28</v>
      </c>
      <c r="K570" s="9" t="str">
        <f>IFERROR(VLOOKUP($B570,[1]Kundenübersicht!$E$4:$AC$1003,MATCH(K$3,[1]Kundenübersicht!$E$3:$BA$3,FALSE),FALSE),"")</f>
        <v>AOK PLUS</v>
      </c>
      <c r="L570" s="13">
        <f>IFERROR(VLOOKUP(B570,[1]Kundenübersicht!$E$4:$AC$1003,MATCH(L$3,[1]Kundenübersicht!$E$3:$BA$3,FALSE),FALSE),"")</f>
        <v>107299005</v>
      </c>
      <c r="M570" s="13" t="str">
        <f>IFERROR(VLOOKUP(B570,[1]Kundenübersicht!$E$4:$AC$1003,MATCH(M$3,[1]Kundenübersicht!$E$3:$BA$3,FALSE),FALSE),"")</f>
        <v>P722909118</v>
      </c>
      <c r="N570" s="13" t="str">
        <f>IFERROR(VLOOKUP(B570,[1]Kundenübersicht!$E$4:$AC$1003,MATCH(N$3,[1]Kundenübersicht!$E$3:$BA$3,FALSE),FALSE),"")</f>
        <v>PG 3</v>
      </c>
      <c r="P570" s="9" t="s">
        <v>29</v>
      </c>
      <c r="R570" s="9" t="str">
        <f t="shared" si="143"/>
        <v>Fehlt</v>
      </c>
      <c r="S570" s="14"/>
      <c r="U570" s="15">
        <f>IF(YEAR(C570)&lt;=2025,IFERROR(IF(I570="Hauswirtschaft",VLOOKUP($B570,[1]Kundenübersicht!$E$4:$BA$1003,MATCH("Hauswirtschaft [€/Stunde]",[1]Kundenübersicht!$E$3:$BA$3,FALSE),FALSE),VLOOKUP($B570,[1]Kundenübersicht!$E$4:$BA$1003,MATCH("Alltagsbegleitung [€/Stunde]",[1]Kundenübersicht!$E$3:$BA$3,FALSE),FALSE)),0),IFERROR(IF(I570="Hauswirtschaft",VLOOKUP($B570,[1]Kundenübersicht!$E$4:$BA$1003,MATCH("HW ab 2026 [€/Stunde]",[1]Kundenübersicht!$E$3:$BA$3,FALSE),FALSE),VLOOKUP($B570,[1]Kundenübersicht!$E$4:$BA$1003,MATCH("Alltagsbegleitung [€/Stunde]",[1]Kundenübersicht!$E$3:$BA$3,FALSE),FALSE)),0))</f>
        <v>42</v>
      </c>
      <c r="V570" s="16">
        <f t="shared" si="145"/>
        <v>83.999999999999986</v>
      </c>
      <c r="W570" s="16">
        <f t="shared" si="139"/>
        <v>6.089999999999999</v>
      </c>
      <c r="X570" s="16" t="s">
        <v>89</v>
      </c>
      <c r="Z570" s="20" t="str">
        <f t="shared" si="141"/>
        <v>Nein</v>
      </c>
      <c r="AA570" s="19"/>
      <c r="AC570" s="19"/>
      <c r="AE570" s="9">
        <f t="shared" si="136"/>
        <v>2026</v>
      </c>
      <c r="AF570" s="17" t="str">
        <f t="shared" si="137"/>
        <v>02.2026</v>
      </c>
      <c r="AG570" s="17" t="str">
        <f t="shared" si="138"/>
        <v>Christiane Fiebag</v>
      </c>
      <c r="AH570" s="17" t="str">
        <f>IFERROR(VLOOKUP(B570,[1]Kundenübersicht!$E$4:$F$85,2,FALSE),"")</f>
        <v>Elke Berghold</v>
      </c>
      <c r="AI570" s="17" t="str">
        <f t="shared" si="142"/>
        <v>Alltagsbegleitung</v>
      </c>
      <c r="AJ570" s="17" t="str">
        <f t="shared" si="142"/>
        <v>Entlastungsleistung</v>
      </c>
      <c r="AL570" s="18">
        <f t="shared" si="133"/>
        <v>42</v>
      </c>
      <c r="AM570" s="18">
        <f t="shared" si="134"/>
        <v>83.999999999999986</v>
      </c>
      <c r="AN570" s="18">
        <f t="shared" si="135"/>
        <v>6.089999999999999</v>
      </c>
    </row>
    <row r="571" spans="2:40" x14ac:dyDescent="0.25">
      <c r="B571" s="30" t="s">
        <v>35</v>
      </c>
      <c r="C571" s="31">
        <v>46076</v>
      </c>
      <c r="D571" s="32">
        <v>0.45833333333333331</v>
      </c>
      <c r="E571" s="32">
        <v>0.54166666666666663</v>
      </c>
      <c r="F571" s="12">
        <f t="shared" si="144"/>
        <v>1.9999999999999996</v>
      </c>
      <c r="G571" s="12"/>
      <c r="H571" s="30" t="s">
        <v>33</v>
      </c>
      <c r="I571" s="30" t="s">
        <v>27</v>
      </c>
      <c r="J571" s="30" t="s">
        <v>28</v>
      </c>
      <c r="K571" s="9" t="str">
        <f>IFERROR(VLOOKUP($B571,[1]Kundenübersicht!$E$4:$AC$1003,MATCH(K$3,[1]Kundenübersicht!$E$3:$BA$3,FALSE),FALSE),"")</f>
        <v>AOK PLUS</v>
      </c>
      <c r="L571" s="13">
        <f>IFERROR(VLOOKUP(B571,[1]Kundenübersicht!$E$4:$AC$1003,MATCH(L$3,[1]Kundenübersicht!$E$3:$BA$3,FALSE),FALSE),"")</f>
        <v>107299005</v>
      </c>
      <c r="M571" s="13" t="str">
        <f>IFERROR(VLOOKUP(B571,[1]Kundenübersicht!$E$4:$AC$1003,MATCH(M$3,[1]Kundenübersicht!$E$3:$BA$3,FALSE),FALSE),"")</f>
        <v>P722909118</v>
      </c>
      <c r="N571" s="13" t="str">
        <f>IFERROR(VLOOKUP(B571,[1]Kundenübersicht!$E$4:$AC$1003,MATCH(N$3,[1]Kundenübersicht!$E$3:$BA$3,FALSE),FALSE),"")</f>
        <v>PG 3</v>
      </c>
      <c r="P571" s="9" t="s">
        <v>29</v>
      </c>
      <c r="R571" s="9" t="str">
        <f t="shared" si="143"/>
        <v>Fehlt</v>
      </c>
      <c r="S571" s="14"/>
      <c r="U571" s="15">
        <f>IF(YEAR(C571)&lt;=2025,IFERROR(IF(I571="Hauswirtschaft",VLOOKUP($B571,[1]Kundenübersicht!$E$4:$BA$1003,MATCH("Hauswirtschaft [€/Stunde]",[1]Kundenübersicht!$E$3:$BA$3,FALSE),FALSE),VLOOKUP($B571,[1]Kundenübersicht!$E$4:$BA$1003,MATCH("Alltagsbegleitung [€/Stunde]",[1]Kundenübersicht!$E$3:$BA$3,FALSE),FALSE)),0),IFERROR(IF(I571="Hauswirtschaft",VLOOKUP($B571,[1]Kundenübersicht!$E$4:$BA$1003,MATCH("HW ab 2026 [€/Stunde]",[1]Kundenübersicht!$E$3:$BA$3,FALSE),FALSE),VLOOKUP($B571,[1]Kundenübersicht!$E$4:$BA$1003,MATCH("Alltagsbegleitung [€/Stunde]",[1]Kundenübersicht!$E$3:$BA$3,FALSE),FALSE)),0))</f>
        <v>38</v>
      </c>
      <c r="V571" s="16">
        <f t="shared" si="145"/>
        <v>75.999999999999986</v>
      </c>
      <c r="W571" s="16">
        <f t="shared" si="139"/>
        <v>0</v>
      </c>
      <c r="X571" s="16" t="s">
        <v>89</v>
      </c>
      <c r="Z571" s="20" t="str">
        <f t="shared" si="141"/>
        <v>Nein</v>
      </c>
      <c r="AA571" s="19"/>
      <c r="AC571" s="19"/>
      <c r="AE571" s="9">
        <f t="shared" si="136"/>
        <v>2026</v>
      </c>
      <c r="AF571" s="17" t="str">
        <f t="shared" si="137"/>
        <v>02.2026</v>
      </c>
      <c r="AG571" s="17" t="str">
        <f t="shared" si="138"/>
        <v>Christiane Fiebag</v>
      </c>
      <c r="AH571" s="17" t="str">
        <f>IFERROR(VLOOKUP(B571,[1]Kundenübersicht!$E$4:$F$85,2,FALSE),"")</f>
        <v>Elke Berghold</v>
      </c>
      <c r="AI571" s="17" t="str">
        <f t="shared" si="142"/>
        <v>Hauswirtschaft</v>
      </c>
      <c r="AJ571" s="17" t="str">
        <f t="shared" si="142"/>
        <v>Entlastungsleistung</v>
      </c>
      <c r="AL571" s="18">
        <f t="shared" si="133"/>
        <v>38</v>
      </c>
      <c r="AM571" s="18">
        <f t="shared" si="134"/>
        <v>75.999999999999986</v>
      </c>
      <c r="AN571" s="18">
        <f t="shared" si="135"/>
        <v>0</v>
      </c>
    </row>
    <row r="572" spans="2:40" x14ac:dyDescent="0.25">
      <c r="B572" s="30" t="s">
        <v>61</v>
      </c>
      <c r="C572" s="31">
        <v>46058</v>
      </c>
      <c r="D572" s="32">
        <v>0.48958333333333331</v>
      </c>
      <c r="E572" s="32">
        <v>0.52083333333333337</v>
      </c>
      <c r="F572" s="12">
        <f t="shared" si="144"/>
        <v>0.75000000000000133</v>
      </c>
      <c r="G572" s="12">
        <v>7.3</v>
      </c>
      <c r="H572" s="30" t="s">
        <v>33</v>
      </c>
      <c r="I572" s="30" t="s">
        <v>27</v>
      </c>
      <c r="J572" s="30" t="s">
        <v>28</v>
      </c>
      <c r="K572" s="9" t="str">
        <f>IFERROR(VLOOKUP($B572,[1]Kundenübersicht!$E$4:$AC$1003,MATCH(K$3,[1]Kundenübersicht!$E$3:$BA$3,FALSE),FALSE),"")</f>
        <v>AOK PLUS</v>
      </c>
      <c r="L572" s="13">
        <f>IFERROR(VLOOKUP(B572,[1]Kundenübersicht!$E$4:$AC$1003,MATCH(L$3,[1]Kundenübersicht!$E$3:$BA$3,FALSE),FALSE),"")</f>
        <v>107299005</v>
      </c>
      <c r="M572" s="13" t="str">
        <f>IFERROR(VLOOKUP(B572,[1]Kundenübersicht!$E$4:$AC$1003,MATCH(M$3,[1]Kundenübersicht!$E$3:$BA$3,FALSE),FALSE),"")</f>
        <v>F038854351</v>
      </c>
      <c r="N572" s="13" t="str">
        <f>IFERROR(VLOOKUP(B572,[1]Kundenübersicht!$E$4:$AC$1003,MATCH(N$3,[1]Kundenübersicht!$E$3:$BA$3,FALSE),FALSE),"")</f>
        <v>PG 3</v>
      </c>
      <c r="P572" s="9" t="s">
        <v>29</v>
      </c>
      <c r="R572" s="9" t="str">
        <f t="shared" si="143"/>
        <v>Fehlt</v>
      </c>
      <c r="S572" s="14"/>
      <c r="U572" s="15">
        <f>IF(YEAR(C572)&lt;=2025,IFERROR(IF(I572="Hauswirtschaft",VLOOKUP($B572,[1]Kundenübersicht!$E$4:$BA$1003,MATCH("Hauswirtschaft [€/Stunde]",[1]Kundenübersicht!$E$3:$BA$3,FALSE),FALSE),VLOOKUP($B572,[1]Kundenübersicht!$E$4:$BA$1003,MATCH("Alltagsbegleitung [€/Stunde]",[1]Kundenübersicht!$E$3:$BA$3,FALSE),FALSE)),0),IFERROR(IF(I572="Hauswirtschaft",VLOOKUP($B572,[1]Kundenübersicht!$E$4:$BA$1003,MATCH("HW ab 2026 [€/Stunde]",[1]Kundenübersicht!$E$3:$BA$3,FALSE),FALSE),VLOOKUP($B572,[1]Kundenübersicht!$E$4:$BA$1003,MATCH("Alltagsbegleitung [€/Stunde]",[1]Kundenübersicht!$E$3:$BA$3,FALSE),FALSE)),0))</f>
        <v>38</v>
      </c>
      <c r="V572" s="16">
        <f t="shared" si="145"/>
        <v>28.50000000000005</v>
      </c>
      <c r="W572" s="16">
        <f t="shared" si="139"/>
        <v>2.5549999999999997</v>
      </c>
      <c r="X572" s="16" t="s">
        <v>89</v>
      </c>
      <c r="Z572" s="20" t="str">
        <f t="shared" si="141"/>
        <v>Nein</v>
      </c>
      <c r="AA572" s="19"/>
      <c r="AC572" s="19"/>
      <c r="AE572" s="9">
        <f t="shared" si="136"/>
        <v>2026</v>
      </c>
      <c r="AF572" s="17" t="str">
        <f t="shared" si="137"/>
        <v>02.2026</v>
      </c>
      <c r="AG572" s="17" t="str">
        <f t="shared" si="138"/>
        <v>Christiane Fiebag</v>
      </c>
      <c r="AH572" s="17" t="str">
        <f>IFERROR(VLOOKUP(B572,[1]Kundenübersicht!$E$4:$F$85,2,FALSE),"")</f>
        <v>Elke Mühle</v>
      </c>
      <c r="AI572" s="17" t="str">
        <f t="shared" si="142"/>
        <v>Hauswirtschaft</v>
      </c>
      <c r="AJ572" s="17" t="str">
        <f t="shared" si="142"/>
        <v>Entlastungsleistung</v>
      </c>
      <c r="AL572" s="18">
        <f t="shared" si="133"/>
        <v>38</v>
      </c>
      <c r="AM572" s="18">
        <f t="shared" si="134"/>
        <v>28.50000000000005</v>
      </c>
      <c r="AN572" s="18">
        <f t="shared" si="135"/>
        <v>2.5549999999999997</v>
      </c>
    </row>
    <row r="573" spans="2:40" x14ac:dyDescent="0.25">
      <c r="B573" s="30" t="s">
        <v>61</v>
      </c>
      <c r="C573" s="31">
        <v>46072</v>
      </c>
      <c r="D573" s="32">
        <v>0.51041666666666663</v>
      </c>
      <c r="E573" s="32">
        <v>0.55208333333333337</v>
      </c>
      <c r="F573" s="12">
        <f t="shared" si="144"/>
        <v>1.0000000000000018</v>
      </c>
      <c r="G573" s="12">
        <v>22.9</v>
      </c>
      <c r="H573" s="30" t="s">
        <v>33</v>
      </c>
      <c r="I573" s="30" t="s">
        <v>27</v>
      </c>
      <c r="J573" s="30" t="s">
        <v>28</v>
      </c>
      <c r="K573" s="9" t="str">
        <f>IFERROR(VLOOKUP($B573,[1]Kundenübersicht!$E$4:$AC$1003,MATCH(K$3,[1]Kundenübersicht!$E$3:$BA$3,FALSE),FALSE),"")</f>
        <v>AOK PLUS</v>
      </c>
      <c r="L573" s="13">
        <f>IFERROR(VLOOKUP(B573,[1]Kundenübersicht!$E$4:$AC$1003,MATCH(L$3,[1]Kundenübersicht!$E$3:$BA$3,FALSE),FALSE),"")</f>
        <v>107299005</v>
      </c>
      <c r="M573" s="13" t="str">
        <f>IFERROR(VLOOKUP(B573,[1]Kundenübersicht!$E$4:$AC$1003,MATCH(M$3,[1]Kundenübersicht!$E$3:$BA$3,FALSE),FALSE),"")</f>
        <v>F038854351</v>
      </c>
      <c r="N573" s="13" t="str">
        <f>IFERROR(VLOOKUP(B573,[1]Kundenübersicht!$E$4:$AC$1003,MATCH(N$3,[1]Kundenübersicht!$E$3:$BA$3,FALSE),FALSE),"")</f>
        <v>PG 3</v>
      </c>
      <c r="P573" s="9" t="s">
        <v>29</v>
      </c>
      <c r="R573" s="9" t="str">
        <f t="shared" si="143"/>
        <v>Fehlt</v>
      </c>
      <c r="S573" s="14"/>
      <c r="U573" s="15">
        <f>IF(YEAR(C573)&lt;=2025,IFERROR(IF(I573="Hauswirtschaft",VLOOKUP($B573,[1]Kundenübersicht!$E$4:$BA$1003,MATCH("Hauswirtschaft [€/Stunde]",[1]Kundenübersicht!$E$3:$BA$3,FALSE),FALSE),VLOOKUP($B573,[1]Kundenübersicht!$E$4:$BA$1003,MATCH("Alltagsbegleitung [€/Stunde]",[1]Kundenübersicht!$E$3:$BA$3,FALSE),FALSE)),0),IFERROR(IF(I573="Hauswirtschaft",VLOOKUP($B573,[1]Kundenübersicht!$E$4:$BA$1003,MATCH("HW ab 2026 [€/Stunde]",[1]Kundenübersicht!$E$3:$BA$3,FALSE),FALSE),VLOOKUP($B573,[1]Kundenübersicht!$E$4:$BA$1003,MATCH("Alltagsbegleitung [€/Stunde]",[1]Kundenübersicht!$E$3:$BA$3,FALSE),FALSE)),0))</f>
        <v>38</v>
      </c>
      <c r="V573" s="16">
        <f t="shared" si="145"/>
        <v>38.000000000000071</v>
      </c>
      <c r="W573" s="16">
        <f t="shared" si="139"/>
        <v>8.0149999999999988</v>
      </c>
      <c r="X573" s="16" t="s">
        <v>89</v>
      </c>
      <c r="Z573" s="20" t="str">
        <f t="shared" si="141"/>
        <v>Nein</v>
      </c>
      <c r="AA573" s="19"/>
      <c r="AC573" s="19"/>
      <c r="AE573" s="9">
        <f t="shared" si="136"/>
        <v>2026</v>
      </c>
      <c r="AF573" s="17" t="str">
        <f t="shared" si="137"/>
        <v>02.2026</v>
      </c>
      <c r="AG573" s="17" t="str">
        <f t="shared" si="138"/>
        <v>Christiane Fiebag</v>
      </c>
      <c r="AH573" s="17" t="str">
        <f>IFERROR(VLOOKUP(B573,[1]Kundenübersicht!$E$4:$F$85,2,FALSE),"")</f>
        <v>Elke Mühle</v>
      </c>
      <c r="AI573" s="17" t="str">
        <f t="shared" si="142"/>
        <v>Hauswirtschaft</v>
      </c>
      <c r="AJ573" s="17" t="str">
        <f t="shared" si="142"/>
        <v>Entlastungsleistung</v>
      </c>
      <c r="AL573" s="18">
        <f t="shared" si="133"/>
        <v>38</v>
      </c>
      <c r="AM573" s="18">
        <f t="shared" si="134"/>
        <v>38.000000000000071</v>
      </c>
      <c r="AN573" s="18">
        <f t="shared" si="135"/>
        <v>8.0149999999999988</v>
      </c>
    </row>
    <row r="574" spans="2:40" x14ac:dyDescent="0.25">
      <c r="B574" s="30" t="s">
        <v>74</v>
      </c>
      <c r="C574" s="31">
        <v>46056</v>
      </c>
      <c r="D574" s="32">
        <v>0.5</v>
      </c>
      <c r="E574" s="32">
        <v>0.5625</v>
      </c>
      <c r="F574" s="12">
        <f t="shared" si="144"/>
        <v>1.5</v>
      </c>
      <c r="G574" s="12">
        <v>9.9</v>
      </c>
      <c r="H574" s="30" t="s">
        <v>33</v>
      </c>
      <c r="I574" s="30" t="s">
        <v>27</v>
      </c>
      <c r="J574" s="30" t="s">
        <v>28</v>
      </c>
      <c r="K574" s="9" t="str">
        <f>IFERROR(VLOOKUP($B574,[1]Kundenübersicht!$E$4:$AC$1003,MATCH(K$3,[1]Kundenübersicht!$E$3:$BA$3,FALSE),FALSE),"")</f>
        <v>AOK PLUS</v>
      </c>
      <c r="L574" s="13">
        <f>IFERROR(VLOOKUP(B574,[1]Kundenübersicht!$E$4:$AC$1003,MATCH(L$3,[1]Kundenübersicht!$E$3:$BA$3,FALSE),FALSE),"")</f>
        <v>107299005</v>
      </c>
      <c r="M574" s="13" t="str">
        <f>IFERROR(VLOOKUP(B574,[1]Kundenübersicht!$E$4:$AC$1003,MATCH(M$3,[1]Kundenübersicht!$E$3:$BA$3,FALSE),FALSE),"")</f>
        <v>V160231492</v>
      </c>
      <c r="N574" s="13" t="str">
        <f>IFERROR(VLOOKUP(B574,[1]Kundenübersicht!$E$4:$AC$1003,MATCH(N$3,[1]Kundenübersicht!$E$3:$BA$3,FALSE),FALSE),"")</f>
        <v>PG 2</v>
      </c>
      <c r="P574" s="9" t="s">
        <v>29</v>
      </c>
      <c r="R574" s="9" t="str">
        <f t="shared" si="143"/>
        <v>Fehlt</v>
      </c>
      <c r="S574" s="14"/>
      <c r="U574" s="15">
        <f>IF(YEAR(C574)&lt;=2025,IFERROR(IF(I574="Hauswirtschaft",VLOOKUP($B574,[1]Kundenübersicht!$E$4:$BA$1003,MATCH("Hauswirtschaft [€/Stunde]",[1]Kundenübersicht!$E$3:$BA$3,FALSE),FALSE),VLOOKUP($B574,[1]Kundenübersicht!$E$4:$BA$1003,MATCH("Alltagsbegleitung [€/Stunde]",[1]Kundenübersicht!$E$3:$BA$3,FALSE),FALSE)),0),IFERROR(IF(I574="Hauswirtschaft",VLOOKUP($B574,[1]Kundenübersicht!$E$4:$BA$1003,MATCH("HW ab 2026 [€/Stunde]",[1]Kundenübersicht!$E$3:$BA$3,FALSE),FALSE),VLOOKUP($B574,[1]Kundenübersicht!$E$4:$BA$1003,MATCH("Alltagsbegleitung [€/Stunde]",[1]Kundenübersicht!$E$3:$BA$3,FALSE),FALSE)),0))</f>
        <v>38</v>
      </c>
      <c r="V574" s="16">
        <f t="shared" si="145"/>
        <v>57</v>
      </c>
      <c r="W574" s="16">
        <f t="shared" si="139"/>
        <v>3.4649999999999999</v>
      </c>
      <c r="X574" s="16" t="s">
        <v>89</v>
      </c>
      <c r="Z574" s="20" t="str">
        <f t="shared" si="141"/>
        <v>Nein</v>
      </c>
      <c r="AA574" s="19"/>
      <c r="AC574" s="19"/>
      <c r="AE574" s="9">
        <f t="shared" si="136"/>
        <v>2026</v>
      </c>
      <c r="AF574" s="17" t="str">
        <f t="shared" si="137"/>
        <v>02.2026</v>
      </c>
      <c r="AG574" s="17" t="str">
        <f t="shared" si="138"/>
        <v>Christiane Fiebag</v>
      </c>
      <c r="AH574" s="17" t="str">
        <f>IFERROR(VLOOKUP(B574,[1]Kundenübersicht!$E$4:$F$85,2,FALSE),"")</f>
        <v>Gertraude Falk</v>
      </c>
      <c r="AI574" s="17" t="str">
        <f t="shared" si="142"/>
        <v>Hauswirtschaft</v>
      </c>
      <c r="AJ574" s="17" t="str">
        <f t="shared" si="142"/>
        <v>Entlastungsleistung</v>
      </c>
      <c r="AL574" s="18">
        <f t="shared" si="133"/>
        <v>38</v>
      </c>
      <c r="AM574" s="18">
        <f t="shared" si="134"/>
        <v>57</v>
      </c>
      <c r="AN574" s="18">
        <f t="shared" si="135"/>
        <v>3.4649999999999999</v>
      </c>
    </row>
    <row r="575" spans="2:40" x14ac:dyDescent="0.25">
      <c r="B575" s="30" t="s">
        <v>74</v>
      </c>
      <c r="C575" s="31">
        <v>46070</v>
      </c>
      <c r="D575" s="32">
        <v>0.33333333333333331</v>
      </c>
      <c r="E575" s="32">
        <v>0.39583333333333331</v>
      </c>
      <c r="F575" s="12">
        <f t="shared" si="144"/>
        <v>1.5</v>
      </c>
      <c r="G575" s="12">
        <v>9.6</v>
      </c>
      <c r="H575" s="30" t="s">
        <v>33</v>
      </c>
      <c r="I575" s="30" t="s">
        <v>27</v>
      </c>
      <c r="J575" s="30" t="s">
        <v>28</v>
      </c>
      <c r="K575" s="9" t="str">
        <f>IFERROR(VLOOKUP($B575,[1]Kundenübersicht!$E$4:$AC$1003,MATCH(K$3,[1]Kundenübersicht!$E$3:$BA$3,FALSE),FALSE),"")</f>
        <v>AOK PLUS</v>
      </c>
      <c r="L575" s="13">
        <f>IFERROR(VLOOKUP(B575,[1]Kundenübersicht!$E$4:$AC$1003,MATCH(L$3,[1]Kundenübersicht!$E$3:$BA$3,FALSE),FALSE),"")</f>
        <v>107299005</v>
      </c>
      <c r="M575" s="13" t="str">
        <f>IFERROR(VLOOKUP(B575,[1]Kundenübersicht!$E$4:$AC$1003,MATCH(M$3,[1]Kundenübersicht!$E$3:$BA$3,FALSE),FALSE),"")</f>
        <v>V160231492</v>
      </c>
      <c r="N575" s="13" t="str">
        <f>IFERROR(VLOOKUP(B575,[1]Kundenübersicht!$E$4:$AC$1003,MATCH(N$3,[1]Kundenübersicht!$E$3:$BA$3,FALSE),FALSE),"")</f>
        <v>PG 2</v>
      </c>
      <c r="P575" s="9" t="s">
        <v>29</v>
      </c>
      <c r="R575" s="9" t="str">
        <f t="shared" si="143"/>
        <v>Fehlt</v>
      </c>
      <c r="S575" s="14"/>
      <c r="U575" s="15">
        <f>IF(YEAR(C575)&lt;=2025,IFERROR(IF(I575="Hauswirtschaft",VLOOKUP($B575,[1]Kundenübersicht!$E$4:$BA$1003,MATCH("Hauswirtschaft [€/Stunde]",[1]Kundenübersicht!$E$3:$BA$3,FALSE),FALSE),VLOOKUP($B575,[1]Kundenübersicht!$E$4:$BA$1003,MATCH("Alltagsbegleitung [€/Stunde]",[1]Kundenübersicht!$E$3:$BA$3,FALSE),FALSE)),0),IFERROR(IF(I575="Hauswirtschaft",VLOOKUP($B575,[1]Kundenübersicht!$E$4:$BA$1003,MATCH("HW ab 2026 [€/Stunde]",[1]Kundenübersicht!$E$3:$BA$3,FALSE),FALSE),VLOOKUP($B575,[1]Kundenübersicht!$E$4:$BA$1003,MATCH("Alltagsbegleitung [€/Stunde]",[1]Kundenübersicht!$E$3:$BA$3,FALSE),FALSE)),0))</f>
        <v>38</v>
      </c>
      <c r="V575" s="16">
        <f t="shared" si="145"/>
        <v>57</v>
      </c>
      <c r="W575" s="16">
        <f t="shared" si="139"/>
        <v>3.36</v>
      </c>
      <c r="X575" s="16" t="s">
        <v>89</v>
      </c>
      <c r="Z575" s="20" t="str">
        <f t="shared" si="141"/>
        <v>Nein</v>
      </c>
      <c r="AA575" s="19"/>
      <c r="AC575" s="19"/>
      <c r="AE575" s="9">
        <f t="shared" si="136"/>
        <v>2026</v>
      </c>
      <c r="AF575" s="17" t="str">
        <f t="shared" si="137"/>
        <v>02.2026</v>
      </c>
      <c r="AG575" s="17" t="str">
        <f t="shared" si="138"/>
        <v>Christiane Fiebag</v>
      </c>
      <c r="AH575" s="17" t="str">
        <f>IFERROR(VLOOKUP(B575,[1]Kundenübersicht!$E$4:$F$85,2,FALSE),"")</f>
        <v>Gertraude Falk</v>
      </c>
      <c r="AI575" s="17" t="str">
        <f t="shared" si="142"/>
        <v>Hauswirtschaft</v>
      </c>
      <c r="AJ575" s="17" t="str">
        <f t="shared" si="142"/>
        <v>Entlastungsleistung</v>
      </c>
      <c r="AL575" s="18">
        <f t="shared" si="133"/>
        <v>38</v>
      </c>
      <c r="AM575" s="18">
        <f t="shared" si="134"/>
        <v>57</v>
      </c>
      <c r="AN575" s="18">
        <f t="shared" si="135"/>
        <v>3.36</v>
      </c>
    </row>
    <row r="576" spans="2:40" x14ac:dyDescent="0.25">
      <c r="B576" s="30" t="s">
        <v>87</v>
      </c>
      <c r="C576" s="31">
        <v>46057</v>
      </c>
      <c r="D576" s="32">
        <v>0.41666666666666669</v>
      </c>
      <c r="E576" s="32">
        <v>0.47916666666666669</v>
      </c>
      <c r="F576" s="12">
        <f t="shared" si="144"/>
        <v>1.5</v>
      </c>
      <c r="G576" s="12">
        <v>7.1</v>
      </c>
      <c r="H576" s="30" t="s">
        <v>33</v>
      </c>
      <c r="I576" s="30" t="s">
        <v>27</v>
      </c>
      <c r="J576" s="30" t="s">
        <v>28</v>
      </c>
      <c r="K576" s="9" t="str">
        <f>IFERROR(VLOOKUP($B576,[1]Kundenübersicht!$E$4:$AC$1003,MATCH(K$3,[1]Kundenübersicht!$E$3:$BA$3,FALSE),FALSE),"")</f>
        <v>DKV</v>
      </c>
      <c r="L576" s="13">
        <f>IFERROR(VLOOKUP(B576,[1]Kundenübersicht!$E$4:$AC$1003,MATCH(L$3,[1]Kundenübersicht!$E$3:$BA$3,FALSE),FALSE),"")</f>
        <v>4044</v>
      </c>
      <c r="M576" s="13" t="str">
        <f>IFERROR(VLOOKUP(B576,[1]Kundenübersicht!$E$4:$AC$1003,MATCH(M$3,[1]Kundenübersicht!$E$3:$BA$3,FALSE),FALSE),"")</f>
        <v>233838956</v>
      </c>
      <c r="N576" s="13" t="str">
        <f>IFERROR(VLOOKUP(B576,[1]Kundenübersicht!$E$4:$AC$1003,MATCH(N$3,[1]Kundenübersicht!$E$3:$BA$3,FALSE),FALSE),"")</f>
        <v>PG 2</v>
      </c>
      <c r="P576" s="9" t="s">
        <v>29</v>
      </c>
      <c r="R576" s="9" t="str">
        <f t="shared" si="143"/>
        <v>Fehlt</v>
      </c>
      <c r="S576" s="14"/>
      <c r="U576" s="15">
        <f>IF(YEAR(C576)&lt;=2025,IFERROR(IF(I576="Hauswirtschaft",VLOOKUP($B576,[1]Kundenübersicht!$E$4:$BA$1003,MATCH("Hauswirtschaft [€/Stunde]",[1]Kundenübersicht!$E$3:$BA$3,FALSE),FALSE),VLOOKUP($B576,[1]Kundenübersicht!$E$4:$BA$1003,MATCH("Alltagsbegleitung [€/Stunde]",[1]Kundenübersicht!$E$3:$BA$3,FALSE),FALSE)),0),IFERROR(IF(I576="Hauswirtschaft",VLOOKUP($B576,[1]Kundenübersicht!$E$4:$BA$1003,MATCH("HW ab 2026 [€/Stunde]",[1]Kundenübersicht!$E$3:$BA$3,FALSE),FALSE),VLOOKUP($B576,[1]Kundenübersicht!$E$4:$BA$1003,MATCH("Alltagsbegleitung [€/Stunde]",[1]Kundenübersicht!$E$3:$BA$3,FALSE),FALSE)),0))</f>
        <v>38</v>
      </c>
      <c r="V576" s="16">
        <f t="shared" si="145"/>
        <v>57</v>
      </c>
      <c r="W576" s="16">
        <f t="shared" si="139"/>
        <v>2.4849999999999999</v>
      </c>
      <c r="X576" s="16" t="s">
        <v>89</v>
      </c>
      <c r="Z576" s="20" t="str">
        <f t="shared" si="141"/>
        <v>Nein</v>
      </c>
      <c r="AA576" s="19"/>
      <c r="AC576" s="19"/>
      <c r="AE576" s="9">
        <f t="shared" si="136"/>
        <v>2026</v>
      </c>
      <c r="AF576" s="17" t="str">
        <f t="shared" si="137"/>
        <v>02.2026</v>
      </c>
      <c r="AG576" s="17" t="str">
        <f t="shared" si="138"/>
        <v>Christiane Fiebag</v>
      </c>
      <c r="AH576" s="17" t="str">
        <f>IFERROR(VLOOKUP(B576,[1]Kundenübersicht!$E$4:$F$85,2,FALSE),"")</f>
        <v>Günter Hofmann</v>
      </c>
      <c r="AI576" s="17" t="str">
        <f t="shared" si="142"/>
        <v>Hauswirtschaft</v>
      </c>
      <c r="AJ576" s="17" t="str">
        <f t="shared" si="142"/>
        <v>Entlastungsleistung</v>
      </c>
      <c r="AL576" s="18">
        <f t="shared" si="133"/>
        <v>38</v>
      </c>
      <c r="AM576" s="18">
        <f t="shared" si="134"/>
        <v>57</v>
      </c>
      <c r="AN576" s="18">
        <f t="shared" si="135"/>
        <v>2.4849999999999999</v>
      </c>
    </row>
    <row r="577" spans="2:40" x14ac:dyDescent="0.25">
      <c r="B577" s="30" t="s">
        <v>80</v>
      </c>
      <c r="C577" s="31">
        <v>46071</v>
      </c>
      <c r="D577" s="32">
        <v>0.36458333333333331</v>
      </c>
      <c r="E577" s="32">
        <v>0.42708333333333331</v>
      </c>
      <c r="F577" s="12">
        <f t="shared" si="144"/>
        <v>1.5</v>
      </c>
      <c r="G577" s="12">
        <v>2.7</v>
      </c>
      <c r="H577" s="30" t="s">
        <v>33</v>
      </c>
      <c r="I577" s="30" t="s">
        <v>27</v>
      </c>
      <c r="J577" s="30" t="s">
        <v>28</v>
      </c>
      <c r="K577" s="9" t="str">
        <f>IFERROR(VLOOKUP($B577,[1]Kundenübersicht!$E$4:$AC$1003,MATCH(K$3,[1]Kundenübersicht!$E$3:$BA$3,FALSE),FALSE),"")</f>
        <v>AOK PLUS</v>
      </c>
      <c r="L577" s="13">
        <f>IFERROR(VLOOKUP(B577,[1]Kundenübersicht!$E$4:$AC$1003,MATCH(L$3,[1]Kundenübersicht!$E$3:$BA$3,FALSE),FALSE),"")</f>
        <v>107299005</v>
      </c>
      <c r="M577" s="13" t="str">
        <f>IFERROR(VLOOKUP(B577,[1]Kundenübersicht!$E$4:$AC$1003,MATCH(M$3,[1]Kundenübersicht!$E$3:$BA$3,FALSE),FALSE),"")</f>
        <v>F566086642</v>
      </c>
      <c r="N577" s="13" t="str">
        <f>IFERROR(VLOOKUP(B577,[1]Kundenübersicht!$E$4:$AC$1003,MATCH(N$3,[1]Kundenübersicht!$E$3:$BA$3,FALSE),FALSE),"")</f>
        <v>PG 2</v>
      </c>
      <c r="P577" s="9" t="s">
        <v>29</v>
      </c>
      <c r="R577" s="9" t="str">
        <f t="shared" si="143"/>
        <v>Fehlt</v>
      </c>
      <c r="S577" s="14"/>
      <c r="U577" s="15">
        <f>IF(YEAR(C577)&lt;=2025,IFERROR(IF(I577="Hauswirtschaft",VLOOKUP($B577,[1]Kundenübersicht!$E$4:$BA$1003,MATCH("Hauswirtschaft [€/Stunde]",[1]Kundenübersicht!$E$3:$BA$3,FALSE),FALSE),VLOOKUP($B577,[1]Kundenübersicht!$E$4:$BA$1003,MATCH("Alltagsbegleitung [€/Stunde]",[1]Kundenübersicht!$E$3:$BA$3,FALSE),FALSE)),0),IFERROR(IF(I577="Hauswirtschaft",VLOOKUP($B577,[1]Kundenübersicht!$E$4:$BA$1003,MATCH("HW ab 2026 [€/Stunde]",[1]Kundenübersicht!$E$3:$BA$3,FALSE),FALSE),VLOOKUP($B577,[1]Kundenübersicht!$E$4:$BA$1003,MATCH("Alltagsbegleitung [€/Stunde]",[1]Kundenübersicht!$E$3:$BA$3,FALSE),FALSE)),0))</f>
        <v>38</v>
      </c>
      <c r="V577" s="16">
        <f t="shared" si="145"/>
        <v>57</v>
      </c>
      <c r="W577" s="16">
        <f t="shared" si="139"/>
        <v>0.94499999999999995</v>
      </c>
      <c r="X577" s="16" t="s">
        <v>89</v>
      </c>
      <c r="Z577" s="20" t="str">
        <f t="shared" si="141"/>
        <v>Nein</v>
      </c>
      <c r="AA577" s="19"/>
      <c r="AC577" s="19"/>
      <c r="AE577" s="9">
        <f t="shared" si="136"/>
        <v>2026</v>
      </c>
      <c r="AF577" s="17" t="str">
        <f t="shared" si="137"/>
        <v>02.2026</v>
      </c>
      <c r="AG577" s="17" t="str">
        <f t="shared" si="138"/>
        <v>Christiane Fiebag</v>
      </c>
      <c r="AH577" s="17" t="str">
        <f>IFERROR(VLOOKUP(B577,[1]Kundenübersicht!$E$4:$F$85,2,FALSE),"")</f>
        <v>Helly Wuchrer</v>
      </c>
      <c r="AI577" s="17" t="str">
        <f t="shared" si="142"/>
        <v>Hauswirtschaft</v>
      </c>
      <c r="AJ577" s="17" t="str">
        <f t="shared" si="142"/>
        <v>Entlastungsleistung</v>
      </c>
      <c r="AL577" s="18">
        <f t="shared" ref="AL577:AL640" si="146">IF(I577="Hauswirtschaft",38,42)</f>
        <v>38</v>
      </c>
      <c r="AM577" s="18">
        <f t="shared" ref="AM577:AM640" si="147">AL577*F577</f>
        <v>57</v>
      </c>
      <c r="AN577" s="18">
        <f t="shared" ref="AN577:AN640" si="148">G577*0.35</f>
        <v>0.94499999999999995</v>
      </c>
    </row>
    <row r="578" spans="2:40" x14ac:dyDescent="0.25">
      <c r="B578" s="30" t="s">
        <v>100</v>
      </c>
      <c r="C578" s="31">
        <v>46062</v>
      </c>
      <c r="D578" s="32">
        <v>0.55208333333333337</v>
      </c>
      <c r="E578" s="32">
        <v>0.60416666666666663</v>
      </c>
      <c r="F578" s="12">
        <f t="shared" si="144"/>
        <v>1.2499999999999982</v>
      </c>
      <c r="G578" s="12">
        <v>6.9</v>
      </c>
      <c r="H578" s="30" t="s">
        <v>33</v>
      </c>
      <c r="I578" s="30" t="s">
        <v>27</v>
      </c>
      <c r="J578" s="30" t="s">
        <v>28</v>
      </c>
      <c r="K578" s="9" t="str">
        <f>IFERROR(VLOOKUP($B578,[1]Kundenübersicht!$E$4:$AC$1003,MATCH(K$3,[1]Kundenübersicht!$E$3:$BA$3,FALSE),FALSE),"")</f>
        <v>Barmer Pflegekasse</v>
      </c>
      <c r="L578" s="13">
        <f>IFERROR(VLOOKUP(B578,[1]Kundenübersicht!$E$4:$AC$1003,MATCH(L$3,[1]Kundenübersicht!$E$3:$BA$3,FALSE),FALSE),"")</f>
        <v>184940005</v>
      </c>
      <c r="M578" s="13" t="str">
        <f>IFERROR(VLOOKUP(B578,[1]Kundenübersicht!$E$4:$AC$1003,MATCH(M$3,[1]Kundenübersicht!$E$3:$BA$3,FALSE),FALSE),"")</f>
        <v>N787993980</v>
      </c>
      <c r="N578" s="13" t="str">
        <f>IFERROR(VLOOKUP(B578,[1]Kundenübersicht!$E$4:$AC$1003,MATCH(N$3,[1]Kundenübersicht!$E$3:$BA$3,FALSE),FALSE),"")</f>
        <v>PG 3</v>
      </c>
      <c r="P578" s="9" t="s">
        <v>29</v>
      </c>
      <c r="R578" s="9" t="str">
        <f t="shared" si="143"/>
        <v>Fehlt</v>
      </c>
      <c r="S578" s="14"/>
      <c r="U578" s="15">
        <f>IF(YEAR(C578)&lt;=2025,IFERROR(IF(I578="Hauswirtschaft",VLOOKUP($B578,[1]Kundenübersicht!$E$4:$BA$1003,MATCH("Hauswirtschaft [€/Stunde]",[1]Kundenübersicht!$E$3:$BA$3,FALSE),FALSE),VLOOKUP($B578,[1]Kundenübersicht!$E$4:$BA$1003,MATCH("Alltagsbegleitung [€/Stunde]",[1]Kundenübersicht!$E$3:$BA$3,FALSE),FALSE)),0),IFERROR(IF(I578="Hauswirtschaft",VLOOKUP($B578,[1]Kundenübersicht!$E$4:$BA$1003,MATCH("HW ab 2026 [€/Stunde]",[1]Kundenübersicht!$E$3:$BA$3,FALSE),FALSE),VLOOKUP($B578,[1]Kundenübersicht!$E$4:$BA$1003,MATCH("Alltagsbegleitung [€/Stunde]",[1]Kundenübersicht!$E$3:$BA$3,FALSE),FALSE)),0))</f>
        <v>38</v>
      </c>
      <c r="V578" s="16">
        <f t="shared" si="145"/>
        <v>47.499999999999929</v>
      </c>
      <c r="W578" s="16">
        <f t="shared" si="139"/>
        <v>2.415</v>
      </c>
      <c r="X578" s="16" t="s">
        <v>89</v>
      </c>
      <c r="Z578" s="20" t="str">
        <f t="shared" si="141"/>
        <v>Nein</v>
      </c>
      <c r="AA578" s="19"/>
      <c r="AC578" s="19"/>
      <c r="AE578" s="9">
        <f t="shared" si="136"/>
        <v>2026</v>
      </c>
      <c r="AF578" s="17" t="str">
        <f t="shared" si="137"/>
        <v>02.2026</v>
      </c>
      <c r="AG578" s="17" t="str">
        <f t="shared" si="138"/>
        <v>Christiane Fiebag</v>
      </c>
      <c r="AH578" s="17" t="str">
        <f>IFERROR(VLOOKUP(B578,[1]Kundenübersicht!$E$4:$F$85,2,FALSE),"")</f>
        <v>Ingeborg Müller</v>
      </c>
      <c r="AI578" s="17" t="str">
        <f t="shared" si="142"/>
        <v>Hauswirtschaft</v>
      </c>
      <c r="AJ578" s="17" t="str">
        <f t="shared" si="142"/>
        <v>Entlastungsleistung</v>
      </c>
      <c r="AL578" s="18">
        <f t="shared" si="146"/>
        <v>38</v>
      </c>
      <c r="AM578" s="18">
        <f t="shared" si="147"/>
        <v>47.499999999999929</v>
      </c>
      <c r="AN578" s="18">
        <f t="shared" si="148"/>
        <v>2.415</v>
      </c>
    </row>
    <row r="579" spans="2:40" x14ac:dyDescent="0.25">
      <c r="B579" s="30" t="s">
        <v>100</v>
      </c>
      <c r="C579" s="31">
        <v>46073</v>
      </c>
      <c r="D579" s="32">
        <v>0.57291666666666663</v>
      </c>
      <c r="E579" s="32">
        <v>0.61458333333333337</v>
      </c>
      <c r="F579" s="12">
        <f t="shared" si="144"/>
        <v>1.0000000000000018</v>
      </c>
      <c r="G579" s="12">
        <v>21.8</v>
      </c>
      <c r="H579" s="30" t="s">
        <v>33</v>
      </c>
      <c r="I579" s="30" t="s">
        <v>27</v>
      </c>
      <c r="J579" s="30" t="s">
        <v>28</v>
      </c>
      <c r="K579" s="9" t="str">
        <f>IFERROR(VLOOKUP($B579,[1]Kundenübersicht!$E$4:$AC$1003,MATCH(K$3,[1]Kundenübersicht!$E$3:$BA$3,FALSE),FALSE),"")</f>
        <v>Barmer Pflegekasse</v>
      </c>
      <c r="L579" s="13">
        <f>IFERROR(VLOOKUP(B579,[1]Kundenübersicht!$E$4:$AC$1003,MATCH(L$3,[1]Kundenübersicht!$E$3:$BA$3,FALSE),FALSE),"")</f>
        <v>184940005</v>
      </c>
      <c r="M579" s="13" t="str">
        <f>IFERROR(VLOOKUP(B579,[1]Kundenübersicht!$E$4:$AC$1003,MATCH(M$3,[1]Kundenübersicht!$E$3:$BA$3,FALSE),FALSE),"")</f>
        <v>N787993980</v>
      </c>
      <c r="N579" s="13" t="str">
        <f>IFERROR(VLOOKUP(B579,[1]Kundenübersicht!$E$4:$AC$1003,MATCH(N$3,[1]Kundenübersicht!$E$3:$BA$3,FALSE),FALSE),"")</f>
        <v>PG 3</v>
      </c>
      <c r="P579" s="9" t="s">
        <v>29</v>
      </c>
      <c r="R579" s="9" t="str">
        <f t="shared" si="143"/>
        <v>Fehlt</v>
      </c>
      <c r="S579" s="14"/>
      <c r="U579" s="15">
        <f>IF(YEAR(C579)&lt;=2025,IFERROR(IF(I579="Hauswirtschaft",VLOOKUP($B579,[1]Kundenübersicht!$E$4:$BA$1003,MATCH("Hauswirtschaft [€/Stunde]",[1]Kundenübersicht!$E$3:$BA$3,FALSE),FALSE),VLOOKUP($B579,[1]Kundenübersicht!$E$4:$BA$1003,MATCH("Alltagsbegleitung [€/Stunde]",[1]Kundenübersicht!$E$3:$BA$3,FALSE),FALSE)),0),IFERROR(IF(I579="Hauswirtschaft",VLOOKUP($B579,[1]Kundenübersicht!$E$4:$BA$1003,MATCH("HW ab 2026 [€/Stunde]",[1]Kundenübersicht!$E$3:$BA$3,FALSE),FALSE),VLOOKUP($B579,[1]Kundenübersicht!$E$4:$BA$1003,MATCH("Alltagsbegleitung [€/Stunde]",[1]Kundenübersicht!$E$3:$BA$3,FALSE),FALSE)),0))</f>
        <v>38</v>
      </c>
      <c r="V579" s="16">
        <f t="shared" si="145"/>
        <v>38.000000000000071</v>
      </c>
      <c r="W579" s="16">
        <f t="shared" si="139"/>
        <v>7.63</v>
      </c>
      <c r="X579" s="16" t="s">
        <v>89</v>
      </c>
      <c r="Z579" s="20" t="str">
        <f t="shared" si="141"/>
        <v>Nein</v>
      </c>
      <c r="AA579" s="19"/>
      <c r="AC579" s="19"/>
      <c r="AE579" s="9">
        <f t="shared" si="136"/>
        <v>2026</v>
      </c>
      <c r="AF579" s="17" t="str">
        <f t="shared" si="137"/>
        <v>02.2026</v>
      </c>
      <c r="AG579" s="17" t="str">
        <f t="shared" si="138"/>
        <v>Christiane Fiebag</v>
      </c>
      <c r="AH579" s="17" t="str">
        <f>IFERROR(VLOOKUP(B579,[1]Kundenübersicht!$E$4:$F$85,2,FALSE),"")</f>
        <v>Ingeborg Müller</v>
      </c>
      <c r="AI579" s="17" t="str">
        <f t="shared" si="142"/>
        <v>Hauswirtschaft</v>
      </c>
      <c r="AJ579" s="17" t="str">
        <f t="shared" si="142"/>
        <v>Entlastungsleistung</v>
      </c>
      <c r="AL579" s="18">
        <f t="shared" si="146"/>
        <v>38</v>
      </c>
      <c r="AM579" s="18">
        <f t="shared" si="147"/>
        <v>38.000000000000071</v>
      </c>
      <c r="AN579" s="18">
        <f t="shared" si="148"/>
        <v>7.63</v>
      </c>
    </row>
    <row r="580" spans="2:40" x14ac:dyDescent="0.25">
      <c r="B580" s="30" t="s">
        <v>100</v>
      </c>
      <c r="C580" s="31">
        <v>46076</v>
      </c>
      <c r="D580" s="32">
        <v>0.55208333333333337</v>
      </c>
      <c r="E580" s="32">
        <v>0.61458333333333337</v>
      </c>
      <c r="F580" s="12">
        <f t="shared" si="144"/>
        <v>1.5</v>
      </c>
      <c r="G580" s="12">
        <v>7.3</v>
      </c>
      <c r="H580" s="30" t="s">
        <v>33</v>
      </c>
      <c r="I580" s="30" t="s">
        <v>27</v>
      </c>
      <c r="J580" s="30" t="s">
        <v>28</v>
      </c>
      <c r="K580" s="9" t="str">
        <f>IFERROR(VLOOKUP($B580,[1]Kundenübersicht!$E$4:$AC$1003,MATCH(K$3,[1]Kundenübersicht!$E$3:$BA$3,FALSE),FALSE),"")</f>
        <v>Barmer Pflegekasse</v>
      </c>
      <c r="L580" s="13">
        <f>IFERROR(VLOOKUP(B580,[1]Kundenübersicht!$E$4:$AC$1003,MATCH(L$3,[1]Kundenübersicht!$E$3:$BA$3,FALSE),FALSE),"")</f>
        <v>184940005</v>
      </c>
      <c r="M580" s="13" t="str">
        <f>IFERROR(VLOOKUP(B580,[1]Kundenübersicht!$E$4:$AC$1003,MATCH(M$3,[1]Kundenübersicht!$E$3:$BA$3,FALSE),FALSE),"")</f>
        <v>N787993980</v>
      </c>
      <c r="N580" s="13" t="str">
        <f>IFERROR(VLOOKUP(B580,[1]Kundenübersicht!$E$4:$AC$1003,MATCH(N$3,[1]Kundenübersicht!$E$3:$BA$3,FALSE),FALSE),"")</f>
        <v>PG 3</v>
      </c>
      <c r="P580" s="9" t="s">
        <v>29</v>
      </c>
      <c r="R580" s="9" t="str">
        <f t="shared" si="143"/>
        <v>Fehlt</v>
      </c>
      <c r="S580" s="14"/>
      <c r="U580" s="15">
        <f>IF(YEAR(C580)&lt;=2025,IFERROR(IF(I580="Hauswirtschaft",VLOOKUP($B580,[1]Kundenübersicht!$E$4:$BA$1003,MATCH("Hauswirtschaft [€/Stunde]",[1]Kundenübersicht!$E$3:$BA$3,FALSE),FALSE),VLOOKUP($B580,[1]Kundenübersicht!$E$4:$BA$1003,MATCH("Alltagsbegleitung [€/Stunde]",[1]Kundenübersicht!$E$3:$BA$3,FALSE),FALSE)),0),IFERROR(IF(I580="Hauswirtschaft",VLOOKUP($B580,[1]Kundenübersicht!$E$4:$BA$1003,MATCH("HW ab 2026 [€/Stunde]",[1]Kundenübersicht!$E$3:$BA$3,FALSE),FALSE),VLOOKUP($B580,[1]Kundenübersicht!$E$4:$BA$1003,MATCH("Alltagsbegleitung [€/Stunde]",[1]Kundenübersicht!$E$3:$BA$3,FALSE),FALSE)),0))</f>
        <v>38</v>
      </c>
      <c r="V580" s="16">
        <f t="shared" si="145"/>
        <v>57</v>
      </c>
      <c r="W580" s="16">
        <f t="shared" si="139"/>
        <v>2.5549999999999997</v>
      </c>
      <c r="X580" s="16" t="s">
        <v>89</v>
      </c>
      <c r="Z580" s="20" t="str">
        <f t="shared" si="141"/>
        <v>Nein</v>
      </c>
      <c r="AA580" s="19"/>
      <c r="AC580" s="19"/>
      <c r="AE580" s="9">
        <f t="shared" si="136"/>
        <v>2026</v>
      </c>
      <c r="AF580" s="17" t="str">
        <f t="shared" si="137"/>
        <v>02.2026</v>
      </c>
      <c r="AG580" s="17" t="str">
        <f t="shared" si="138"/>
        <v>Christiane Fiebag</v>
      </c>
      <c r="AH580" s="17" t="str">
        <f>IFERROR(VLOOKUP(B580,[1]Kundenübersicht!$E$4:$F$85,2,FALSE),"")</f>
        <v>Ingeborg Müller</v>
      </c>
      <c r="AI580" s="17" t="str">
        <f t="shared" si="142"/>
        <v>Hauswirtschaft</v>
      </c>
      <c r="AJ580" s="17" t="str">
        <f t="shared" si="142"/>
        <v>Entlastungsleistung</v>
      </c>
      <c r="AL580" s="18">
        <f t="shared" si="146"/>
        <v>38</v>
      </c>
      <c r="AM580" s="18">
        <f t="shared" si="147"/>
        <v>57</v>
      </c>
      <c r="AN580" s="18">
        <f t="shared" si="148"/>
        <v>2.5549999999999997</v>
      </c>
    </row>
    <row r="581" spans="2:40" x14ac:dyDescent="0.25">
      <c r="B581" s="30" t="s">
        <v>86</v>
      </c>
      <c r="C581" s="31">
        <v>46055</v>
      </c>
      <c r="D581" s="32">
        <v>0.41666666666666669</v>
      </c>
      <c r="E581" s="32">
        <v>0.45833333333333331</v>
      </c>
      <c r="F581" s="12">
        <f t="shared" si="144"/>
        <v>0.99999999999999911</v>
      </c>
      <c r="G581" s="12">
        <v>10</v>
      </c>
      <c r="H581" s="30" t="s">
        <v>85</v>
      </c>
      <c r="I581" s="30" t="s">
        <v>41</v>
      </c>
      <c r="J581" s="30" t="s">
        <v>28</v>
      </c>
      <c r="K581" s="9" t="str">
        <f>IFERROR(VLOOKUP($B581,[1]Kundenübersicht!$E$4:$AC$1003,MATCH(K$3,[1]Kundenübersicht!$E$3:$BA$3,FALSE),FALSE),"")</f>
        <v>KNAPPSCHAFT</v>
      </c>
      <c r="L581" s="13">
        <f>IFERROR(VLOOKUP(B581,[1]Kundenübersicht!$E$4:$AC$1003,MATCH(L$3,[1]Kundenübersicht!$E$3:$BA$3,FALSE),FALSE),"")</f>
        <v>109990508</v>
      </c>
      <c r="M581" s="13" t="str">
        <f>IFERROR(VLOOKUP(B581,[1]Kundenübersicht!$E$4:$AC$1003,MATCH(M$3,[1]Kundenübersicht!$E$3:$BA$3,FALSE),FALSE),"")</f>
        <v>I767390429</v>
      </c>
      <c r="N581" s="13" t="str">
        <f>IFERROR(VLOOKUP(B581,[1]Kundenübersicht!$E$4:$AC$1003,MATCH(N$3,[1]Kundenübersicht!$E$3:$BA$3,FALSE),FALSE),"")</f>
        <v>PG 1</v>
      </c>
      <c r="P581" s="9" t="s">
        <v>29</v>
      </c>
      <c r="R581" s="9" t="str">
        <f t="shared" si="143"/>
        <v>Fehlt</v>
      </c>
      <c r="S581" s="14"/>
      <c r="U581" s="15">
        <f>IF(YEAR(C581)&lt;=2025,IFERROR(IF(I581="Hauswirtschaft",VLOOKUP($B581,[1]Kundenübersicht!$E$4:$BA$1003,MATCH("Hauswirtschaft [€/Stunde]",[1]Kundenübersicht!$E$3:$BA$3,FALSE),FALSE),VLOOKUP($B581,[1]Kundenübersicht!$E$4:$BA$1003,MATCH("Alltagsbegleitung [€/Stunde]",[1]Kundenübersicht!$E$3:$BA$3,FALSE),FALSE)),0),IFERROR(IF(I581="Hauswirtschaft",VLOOKUP($B581,[1]Kundenübersicht!$E$4:$BA$1003,MATCH("HW ab 2026 [€/Stunde]",[1]Kundenübersicht!$E$3:$BA$3,FALSE),FALSE),VLOOKUP($B581,[1]Kundenübersicht!$E$4:$BA$1003,MATCH("Alltagsbegleitung [€/Stunde]",[1]Kundenübersicht!$E$3:$BA$3,FALSE),FALSE)),0))</f>
        <v>42</v>
      </c>
      <c r="V581" s="16">
        <f t="shared" si="145"/>
        <v>41.999999999999964</v>
      </c>
      <c r="W581" s="16">
        <f t="shared" si="139"/>
        <v>3.5</v>
      </c>
      <c r="X581" s="16" t="s">
        <v>89</v>
      </c>
      <c r="Z581" s="20" t="str">
        <f t="shared" si="141"/>
        <v>Nein</v>
      </c>
      <c r="AA581" s="19"/>
      <c r="AC581" s="19"/>
      <c r="AE581" s="9">
        <f t="shared" si="136"/>
        <v>2026</v>
      </c>
      <c r="AF581" s="17" t="str">
        <f t="shared" si="137"/>
        <v>02.2026</v>
      </c>
      <c r="AG581" s="17" t="str">
        <f t="shared" si="138"/>
        <v>Naji El Ali</v>
      </c>
      <c r="AH581" s="17" t="str">
        <f>IFERROR(VLOOKUP(B581,[1]Kundenübersicht!$E$4:$F$85,2,FALSE),"")</f>
        <v>Jens Wolf</v>
      </c>
      <c r="AI581" s="17" t="str">
        <f t="shared" si="142"/>
        <v>Alltagsbegleitung</v>
      </c>
      <c r="AJ581" s="17" t="str">
        <f t="shared" si="142"/>
        <v>Entlastungsleistung</v>
      </c>
      <c r="AL581" s="18">
        <f t="shared" si="146"/>
        <v>42</v>
      </c>
      <c r="AM581" s="18">
        <f t="shared" si="147"/>
        <v>41.999999999999964</v>
      </c>
      <c r="AN581" s="18">
        <f t="shared" si="148"/>
        <v>3.5</v>
      </c>
    </row>
    <row r="582" spans="2:40" x14ac:dyDescent="0.25">
      <c r="B582" s="30" t="s">
        <v>86</v>
      </c>
      <c r="C582" s="31">
        <v>46059</v>
      </c>
      <c r="D582" s="32">
        <v>0.41666666666666669</v>
      </c>
      <c r="E582" s="32">
        <v>0.5</v>
      </c>
      <c r="F582" s="12">
        <f t="shared" si="144"/>
        <v>1.9999999999999996</v>
      </c>
      <c r="G582" s="12">
        <v>15</v>
      </c>
      <c r="H582" s="30" t="s">
        <v>85</v>
      </c>
      <c r="I582" s="30" t="s">
        <v>41</v>
      </c>
      <c r="J582" s="30" t="s">
        <v>28</v>
      </c>
      <c r="K582" s="9" t="str">
        <f>IFERROR(VLOOKUP($B582,[1]Kundenübersicht!$E$4:$AC$1003,MATCH(K$3,[1]Kundenübersicht!$E$3:$BA$3,FALSE),FALSE),"")</f>
        <v>KNAPPSCHAFT</v>
      </c>
      <c r="L582" s="13">
        <f>IFERROR(VLOOKUP(B582,[1]Kundenübersicht!$E$4:$AC$1003,MATCH(L$3,[1]Kundenübersicht!$E$3:$BA$3,FALSE),FALSE),"")</f>
        <v>109990508</v>
      </c>
      <c r="M582" s="13" t="str">
        <f>IFERROR(VLOOKUP(B582,[1]Kundenübersicht!$E$4:$AC$1003,MATCH(M$3,[1]Kundenübersicht!$E$3:$BA$3,FALSE),FALSE),"")</f>
        <v>I767390429</v>
      </c>
      <c r="N582" s="13" t="str">
        <f>IFERROR(VLOOKUP(B582,[1]Kundenübersicht!$E$4:$AC$1003,MATCH(N$3,[1]Kundenübersicht!$E$3:$BA$3,FALSE),FALSE),"")</f>
        <v>PG 1</v>
      </c>
      <c r="P582" s="9" t="s">
        <v>29</v>
      </c>
      <c r="R582" s="9" t="str">
        <f t="shared" si="143"/>
        <v>Fehlt</v>
      </c>
      <c r="S582" s="14"/>
      <c r="U582" s="15">
        <f>IF(YEAR(C582)&lt;=2025,IFERROR(IF(I582="Hauswirtschaft",VLOOKUP($B582,[1]Kundenübersicht!$E$4:$BA$1003,MATCH("Hauswirtschaft [€/Stunde]",[1]Kundenübersicht!$E$3:$BA$3,FALSE),FALSE),VLOOKUP($B582,[1]Kundenübersicht!$E$4:$BA$1003,MATCH("Alltagsbegleitung [€/Stunde]",[1]Kundenübersicht!$E$3:$BA$3,FALSE),FALSE)),0),IFERROR(IF(I582="Hauswirtschaft",VLOOKUP($B582,[1]Kundenübersicht!$E$4:$BA$1003,MATCH("HW ab 2026 [€/Stunde]",[1]Kundenübersicht!$E$3:$BA$3,FALSE),FALSE),VLOOKUP($B582,[1]Kundenübersicht!$E$4:$BA$1003,MATCH("Alltagsbegleitung [€/Stunde]",[1]Kundenübersicht!$E$3:$BA$3,FALSE),FALSE)),0))</f>
        <v>42</v>
      </c>
      <c r="V582" s="16">
        <f t="shared" si="145"/>
        <v>83.999999999999986</v>
      </c>
      <c r="W582" s="16">
        <f t="shared" si="139"/>
        <v>5.25</v>
      </c>
      <c r="X582" s="16" t="s">
        <v>89</v>
      </c>
      <c r="Z582" s="20" t="str">
        <f t="shared" si="141"/>
        <v>Nein</v>
      </c>
      <c r="AA582" s="19"/>
      <c r="AC582" s="19"/>
      <c r="AE582" s="9">
        <f t="shared" ref="AE582:AE645" si="149">YEAR(C582)</f>
        <v>2026</v>
      </c>
      <c r="AF582" s="17" t="str">
        <f t="shared" ref="AF582:AF645" si="150">IF(MONTH(C582)&lt;=9,"0"&amp;MONTH(C582)&amp;"."&amp;YEAR(C582),MONTH(C582)&amp;"."&amp;YEAR(C582))</f>
        <v>02.2026</v>
      </c>
      <c r="AG582" s="17" t="str">
        <f t="shared" ref="AG582:AG645" si="151">IF(H582="","",H582)</f>
        <v>Naji El Ali</v>
      </c>
      <c r="AH582" s="17" t="str">
        <f>IFERROR(VLOOKUP(B582,[1]Kundenübersicht!$E$4:$F$85,2,FALSE),"")</f>
        <v>Jens Wolf</v>
      </c>
      <c r="AI582" s="17" t="str">
        <f t="shared" si="142"/>
        <v>Alltagsbegleitung</v>
      </c>
      <c r="AJ582" s="17" t="str">
        <f t="shared" si="142"/>
        <v>Entlastungsleistung</v>
      </c>
      <c r="AL582" s="18">
        <f t="shared" si="146"/>
        <v>42</v>
      </c>
      <c r="AM582" s="18">
        <f t="shared" si="147"/>
        <v>83.999999999999986</v>
      </c>
      <c r="AN582" s="18">
        <f t="shared" si="148"/>
        <v>5.25</v>
      </c>
    </row>
    <row r="583" spans="2:40" x14ac:dyDescent="0.25">
      <c r="B583" s="30" t="s">
        <v>86</v>
      </c>
      <c r="C583" s="31">
        <v>46062</v>
      </c>
      <c r="D583" s="32">
        <v>0.41666666666666669</v>
      </c>
      <c r="E583" s="32">
        <v>0.45833333333333331</v>
      </c>
      <c r="F583" s="12">
        <f t="shared" si="144"/>
        <v>0.99999999999999911</v>
      </c>
      <c r="G583" s="12">
        <v>10</v>
      </c>
      <c r="H583" s="30" t="s">
        <v>85</v>
      </c>
      <c r="I583" s="30" t="s">
        <v>41</v>
      </c>
      <c r="J583" s="30" t="s">
        <v>28</v>
      </c>
      <c r="K583" s="9" t="str">
        <f>IFERROR(VLOOKUP($B583,[1]Kundenübersicht!$E$4:$AC$1003,MATCH(K$3,[1]Kundenübersicht!$E$3:$BA$3,FALSE),FALSE),"")</f>
        <v>KNAPPSCHAFT</v>
      </c>
      <c r="L583" s="13">
        <f>IFERROR(VLOOKUP(B583,[1]Kundenübersicht!$E$4:$AC$1003,MATCH(L$3,[1]Kundenübersicht!$E$3:$BA$3,FALSE),FALSE),"")</f>
        <v>109990508</v>
      </c>
      <c r="M583" s="13" t="str">
        <f>IFERROR(VLOOKUP(B583,[1]Kundenübersicht!$E$4:$AC$1003,MATCH(M$3,[1]Kundenübersicht!$E$3:$BA$3,FALSE),FALSE),"")</f>
        <v>I767390429</v>
      </c>
      <c r="N583" s="13" t="str">
        <f>IFERROR(VLOOKUP(B583,[1]Kundenübersicht!$E$4:$AC$1003,MATCH(N$3,[1]Kundenübersicht!$E$3:$BA$3,FALSE),FALSE),"")</f>
        <v>PG 1</v>
      </c>
      <c r="P583" s="9" t="s">
        <v>29</v>
      </c>
      <c r="R583" s="9" t="str">
        <f t="shared" si="143"/>
        <v>Fehlt</v>
      </c>
      <c r="S583" s="14"/>
      <c r="U583" s="15">
        <f>IF(YEAR(C583)&lt;=2025,IFERROR(IF(I583="Hauswirtschaft",VLOOKUP($B583,[1]Kundenübersicht!$E$4:$BA$1003,MATCH("Hauswirtschaft [€/Stunde]",[1]Kundenübersicht!$E$3:$BA$3,FALSE),FALSE),VLOOKUP($B583,[1]Kundenübersicht!$E$4:$BA$1003,MATCH("Alltagsbegleitung [€/Stunde]",[1]Kundenübersicht!$E$3:$BA$3,FALSE),FALSE)),0),IFERROR(IF(I583="Hauswirtschaft",VLOOKUP($B583,[1]Kundenübersicht!$E$4:$BA$1003,MATCH("HW ab 2026 [€/Stunde]",[1]Kundenübersicht!$E$3:$BA$3,FALSE),FALSE),VLOOKUP($B583,[1]Kundenübersicht!$E$4:$BA$1003,MATCH("Alltagsbegleitung [€/Stunde]",[1]Kundenübersicht!$E$3:$BA$3,FALSE),FALSE)),0))</f>
        <v>42</v>
      </c>
      <c r="V583" s="16">
        <f t="shared" si="145"/>
        <v>41.999999999999964</v>
      </c>
      <c r="W583" s="16">
        <f t="shared" si="139"/>
        <v>3.5</v>
      </c>
      <c r="X583" s="16" t="s">
        <v>89</v>
      </c>
      <c r="Z583" s="20" t="str">
        <f t="shared" si="141"/>
        <v>Nein</v>
      </c>
      <c r="AA583" s="19"/>
      <c r="AC583" s="19"/>
      <c r="AE583" s="9">
        <f t="shared" si="149"/>
        <v>2026</v>
      </c>
      <c r="AF583" s="17" t="str">
        <f t="shared" si="150"/>
        <v>02.2026</v>
      </c>
      <c r="AG583" s="17" t="str">
        <f t="shared" si="151"/>
        <v>Naji El Ali</v>
      </c>
      <c r="AH583" s="17" t="str">
        <f>IFERROR(VLOOKUP(B583,[1]Kundenübersicht!$E$4:$F$85,2,FALSE),"")</f>
        <v>Jens Wolf</v>
      </c>
      <c r="AI583" s="17" t="str">
        <f t="shared" si="142"/>
        <v>Alltagsbegleitung</v>
      </c>
      <c r="AJ583" s="17" t="str">
        <f t="shared" si="142"/>
        <v>Entlastungsleistung</v>
      </c>
      <c r="AL583" s="18">
        <f t="shared" si="146"/>
        <v>42</v>
      </c>
      <c r="AM583" s="18">
        <f t="shared" si="147"/>
        <v>41.999999999999964</v>
      </c>
      <c r="AN583" s="18">
        <f t="shared" si="148"/>
        <v>3.5</v>
      </c>
    </row>
    <row r="584" spans="2:40" x14ac:dyDescent="0.25">
      <c r="B584" s="30" t="s">
        <v>86</v>
      </c>
      <c r="C584" s="31">
        <v>46066</v>
      </c>
      <c r="D584" s="32">
        <v>0.41666666666666669</v>
      </c>
      <c r="E584" s="32">
        <v>0.5</v>
      </c>
      <c r="F584" s="12">
        <f t="shared" si="144"/>
        <v>1.9999999999999996</v>
      </c>
      <c r="G584" s="12">
        <v>15</v>
      </c>
      <c r="H584" s="30" t="s">
        <v>85</v>
      </c>
      <c r="I584" s="30" t="s">
        <v>41</v>
      </c>
      <c r="J584" s="30" t="s">
        <v>28</v>
      </c>
      <c r="K584" s="9" t="str">
        <f>IFERROR(VLOOKUP($B584,[1]Kundenübersicht!$E$4:$AC$1003,MATCH(K$3,[1]Kundenübersicht!$E$3:$BA$3,FALSE),FALSE),"")</f>
        <v>KNAPPSCHAFT</v>
      </c>
      <c r="L584" s="13">
        <f>IFERROR(VLOOKUP(B584,[1]Kundenübersicht!$E$4:$AC$1003,MATCH(L$3,[1]Kundenübersicht!$E$3:$BA$3,FALSE),FALSE),"")</f>
        <v>109990508</v>
      </c>
      <c r="M584" s="13" t="str">
        <f>IFERROR(VLOOKUP(B584,[1]Kundenübersicht!$E$4:$AC$1003,MATCH(M$3,[1]Kundenübersicht!$E$3:$BA$3,FALSE),FALSE),"")</f>
        <v>I767390429</v>
      </c>
      <c r="N584" s="13" t="str">
        <f>IFERROR(VLOOKUP(B584,[1]Kundenübersicht!$E$4:$AC$1003,MATCH(N$3,[1]Kundenübersicht!$E$3:$BA$3,FALSE),FALSE),"")</f>
        <v>PG 1</v>
      </c>
      <c r="P584" s="9" t="s">
        <v>29</v>
      </c>
      <c r="R584" s="9" t="str">
        <f t="shared" si="143"/>
        <v>Fehlt</v>
      </c>
      <c r="S584" s="14"/>
      <c r="U584" s="15">
        <f>IF(YEAR(C584)&lt;=2025,IFERROR(IF(I584="Hauswirtschaft",VLOOKUP($B584,[1]Kundenübersicht!$E$4:$BA$1003,MATCH("Hauswirtschaft [€/Stunde]",[1]Kundenübersicht!$E$3:$BA$3,FALSE),FALSE),VLOOKUP($B584,[1]Kundenübersicht!$E$4:$BA$1003,MATCH("Alltagsbegleitung [€/Stunde]",[1]Kundenübersicht!$E$3:$BA$3,FALSE),FALSE)),0),IFERROR(IF(I584="Hauswirtschaft",VLOOKUP($B584,[1]Kundenübersicht!$E$4:$BA$1003,MATCH("HW ab 2026 [€/Stunde]",[1]Kundenübersicht!$E$3:$BA$3,FALSE),FALSE),VLOOKUP($B584,[1]Kundenübersicht!$E$4:$BA$1003,MATCH("Alltagsbegleitung [€/Stunde]",[1]Kundenübersicht!$E$3:$BA$3,FALSE),FALSE)),0))</f>
        <v>42</v>
      </c>
      <c r="V584" s="16">
        <f t="shared" si="145"/>
        <v>83.999999999999986</v>
      </c>
      <c r="W584" s="16">
        <f t="shared" si="139"/>
        <v>5.25</v>
      </c>
      <c r="X584" s="16" t="s">
        <v>89</v>
      </c>
      <c r="Z584" s="20" t="str">
        <f t="shared" si="141"/>
        <v>Nein</v>
      </c>
      <c r="AA584" s="19"/>
      <c r="AC584" s="19"/>
      <c r="AE584" s="9">
        <f t="shared" si="149"/>
        <v>2026</v>
      </c>
      <c r="AF584" s="17" t="str">
        <f t="shared" si="150"/>
        <v>02.2026</v>
      </c>
      <c r="AG584" s="17" t="str">
        <f t="shared" si="151"/>
        <v>Naji El Ali</v>
      </c>
      <c r="AH584" s="17" t="str">
        <f>IFERROR(VLOOKUP(B584,[1]Kundenübersicht!$E$4:$F$85,2,FALSE),"")</f>
        <v>Jens Wolf</v>
      </c>
      <c r="AI584" s="17" t="str">
        <f t="shared" si="142"/>
        <v>Alltagsbegleitung</v>
      </c>
      <c r="AJ584" s="17" t="str">
        <f t="shared" si="142"/>
        <v>Entlastungsleistung</v>
      </c>
      <c r="AL584" s="18">
        <f t="shared" si="146"/>
        <v>42</v>
      </c>
      <c r="AM584" s="18">
        <f t="shared" si="147"/>
        <v>83.999999999999986</v>
      </c>
      <c r="AN584" s="18">
        <f t="shared" si="148"/>
        <v>5.25</v>
      </c>
    </row>
    <row r="585" spans="2:40" x14ac:dyDescent="0.25">
      <c r="B585" s="30" t="s">
        <v>86</v>
      </c>
      <c r="C585" s="31">
        <v>46070</v>
      </c>
      <c r="D585" s="32">
        <v>0.39583333333333331</v>
      </c>
      <c r="E585" s="32">
        <v>0.45833333333333331</v>
      </c>
      <c r="F585" s="12">
        <f t="shared" si="144"/>
        <v>1.5</v>
      </c>
      <c r="G585" s="12">
        <v>10</v>
      </c>
      <c r="H585" s="30" t="s">
        <v>85</v>
      </c>
      <c r="I585" s="30" t="s">
        <v>41</v>
      </c>
      <c r="J585" s="30" t="s">
        <v>28</v>
      </c>
      <c r="K585" s="9" t="str">
        <f>IFERROR(VLOOKUP($B585,[1]Kundenübersicht!$E$4:$AC$1003,MATCH(K$3,[1]Kundenübersicht!$E$3:$BA$3,FALSE),FALSE),"")</f>
        <v>KNAPPSCHAFT</v>
      </c>
      <c r="L585" s="13">
        <f>IFERROR(VLOOKUP(B585,[1]Kundenübersicht!$E$4:$AC$1003,MATCH(L$3,[1]Kundenübersicht!$E$3:$BA$3,FALSE),FALSE),"")</f>
        <v>109990508</v>
      </c>
      <c r="M585" s="13" t="str">
        <f>IFERROR(VLOOKUP(B585,[1]Kundenübersicht!$E$4:$AC$1003,MATCH(M$3,[1]Kundenübersicht!$E$3:$BA$3,FALSE),FALSE),"")</f>
        <v>I767390429</v>
      </c>
      <c r="N585" s="13" t="str">
        <f>IFERROR(VLOOKUP(B585,[1]Kundenübersicht!$E$4:$AC$1003,MATCH(N$3,[1]Kundenübersicht!$E$3:$BA$3,FALSE),FALSE),"")</f>
        <v>PG 1</v>
      </c>
      <c r="P585" s="9" t="s">
        <v>29</v>
      </c>
      <c r="R585" s="9" t="str">
        <f t="shared" si="143"/>
        <v>Fehlt</v>
      </c>
      <c r="S585" s="14"/>
      <c r="U585" s="15">
        <f>IF(YEAR(C585)&lt;=2025,IFERROR(IF(I585="Hauswirtschaft",VLOOKUP($B585,[1]Kundenübersicht!$E$4:$BA$1003,MATCH("Hauswirtschaft [€/Stunde]",[1]Kundenübersicht!$E$3:$BA$3,FALSE),FALSE),VLOOKUP($B585,[1]Kundenübersicht!$E$4:$BA$1003,MATCH("Alltagsbegleitung [€/Stunde]",[1]Kundenübersicht!$E$3:$BA$3,FALSE),FALSE)),0),IFERROR(IF(I585="Hauswirtschaft",VLOOKUP($B585,[1]Kundenübersicht!$E$4:$BA$1003,MATCH("HW ab 2026 [€/Stunde]",[1]Kundenübersicht!$E$3:$BA$3,FALSE),FALSE),VLOOKUP($B585,[1]Kundenübersicht!$E$4:$BA$1003,MATCH("Alltagsbegleitung [€/Stunde]",[1]Kundenübersicht!$E$3:$BA$3,FALSE),FALSE)),0))</f>
        <v>42</v>
      </c>
      <c r="V585" s="16">
        <f t="shared" si="145"/>
        <v>63</v>
      </c>
      <c r="W585" s="16">
        <f t="shared" si="139"/>
        <v>3.5</v>
      </c>
      <c r="X585" s="16" t="s">
        <v>89</v>
      </c>
      <c r="Z585" s="20" t="str">
        <f t="shared" si="141"/>
        <v>Nein</v>
      </c>
      <c r="AA585" s="19"/>
      <c r="AC585" s="19"/>
      <c r="AE585" s="9">
        <f t="shared" si="149"/>
        <v>2026</v>
      </c>
      <c r="AF585" s="17" t="str">
        <f t="shared" si="150"/>
        <v>02.2026</v>
      </c>
      <c r="AG585" s="17" t="str">
        <f t="shared" si="151"/>
        <v>Naji El Ali</v>
      </c>
      <c r="AH585" s="17" t="str">
        <f>IFERROR(VLOOKUP(B585,[1]Kundenübersicht!$E$4:$F$85,2,FALSE),"")</f>
        <v>Jens Wolf</v>
      </c>
      <c r="AI585" s="17" t="str">
        <f t="shared" si="142"/>
        <v>Alltagsbegleitung</v>
      </c>
      <c r="AJ585" s="17" t="str">
        <f t="shared" si="142"/>
        <v>Entlastungsleistung</v>
      </c>
      <c r="AL585" s="18">
        <f t="shared" si="146"/>
        <v>42</v>
      </c>
      <c r="AM585" s="18">
        <f t="shared" si="147"/>
        <v>63</v>
      </c>
      <c r="AN585" s="18">
        <f t="shared" si="148"/>
        <v>3.5</v>
      </c>
    </row>
    <row r="586" spans="2:40" x14ac:dyDescent="0.25">
      <c r="B586" s="30" t="s">
        <v>86</v>
      </c>
      <c r="C586" s="31">
        <v>46073</v>
      </c>
      <c r="D586" s="32">
        <v>0.41666666666666669</v>
      </c>
      <c r="E586" s="32">
        <v>0.5</v>
      </c>
      <c r="F586" s="12">
        <f t="shared" si="144"/>
        <v>1.9999999999999996</v>
      </c>
      <c r="G586" s="12">
        <v>10</v>
      </c>
      <c r="H586" s="30" t="s">
        <v>85</v>
      </c>
      <c r="I586" s="30" t="s">
        <v>41</v>
      </c>
      <c r="J586" s="30" t="s">
        <v>28</v>
      </c>
      <c r="K586" s="9" t="str">
        <f>IFERROR(VLOOKUP($B586,[1]Kundenübersicht!$E$4:$AC$1003,MATCH(K$3,[1]Kundenübersicht!$E$3:$BA$3,FALSE),FALSE),"")</f>
        <v>KNAPPSCHAFT</v>
      </c>
      <c r="L586" s="13">
        <f>IFERROR(VLOOKUP(B586,[1]Kundenübersicht!$E$4:$AC$1003,MATCH(L$3,[1]Kundenübersicht!$E$3:$BA$3,FALSE),FALSE),"")</f>
        <v>109990508</v>
      </c>
      <c r="M586" s="13" t="str">
        <f>IFERROR(VLOOKUP(B586,[1]Kundenübersicht!$E$4:$AC$1003,MATCH(M$3,[1]Kundenübersicht!$E$3:$BA$3,FALSE),FALSE),"")</f>
        <v>I767390429</v>
      </c>
      <c r="N586" s="13" t="str">
        <f>IFERROR(VLOOKUP(B586,[1]Kundenübersicht!$E$4:$AC$1003,MATCH(N$3,[1]Kundenübersicht!$E$3:$BA$3,FALSE),FALSE),"")</f>
        <v>PG 1</v>
      </c>
      <c r="P586" s="9" t="s">
        <v>29</v>
      </c>
      <c r="R586" s="9" t="str">
        <f t="shared" si="143"/>
        <v>Fehlt</v>
      </c>
      <c r="S586" s="14"/>
      <c r="U586" s="15">
        <f>IF(YEAR(C586)&lt;=2025,IFERROR(IF(I586="Hauswirtschaft",VLOOKUP($B586,[1]Kundenübersicht!$E$4:$BA$1003,MATCH("Hauswirtschaft [€/Stunde]",[1]Kundenübersicht!$E$3:$BA$3,FALSE),FALSE),VLOOKUP($B586,[1]Kundenübersicht!$E$4:$BA$1003,MATCH("Alltagsbegleitung [€/Stunde]",[1]Kundenübersicht!$E$3:$BA$3,FALSE),FALSE)),0),IFERROR(IF(I586="Hauswirtschaft",VLOOKUP($B586,[1]Kundenübersicht!$E$4:$BA$1003,MATCH("HW ab 2026 [€/Stunde]",[1]Kundenübersicht!$E$3:$BA$3,FALSE),FALSE),VLOOKUP($B586,[1]Kundenübersicht!$E$4:$BA$1003,MATCH("Alltagsbegleitung [€/Stunde]",[1]Kundenübersicht!$E$3:$BA$3,FALSE),FALSE)),0))</f>
        <v>42</v>
      </c>
      <c r="V586" s="16">
        <f t="shared" si="145"/>
        <v>83.999999999999986</v>
      </c>
      <c r="W586" s="16">
        <f t="shared" si="139"/>
        <v>3.5</v>
      </c>
      <c r="X586" s="16" t="s">
        <v>89</v>
      </c>
      <c r="Z586" s="20" t="str">
        <f t="shared" si="141"/>
        <v>Nein</v>
      </c>
      <c r="AA586" s="19"/>
      <c r="AC586" s="19"/>
      <c r="AE586" s="9">
        <f t="shared" si="149"/>
        <v>2026</v>
      </c>
      <c r="AF586" s="17" t="str">
        <f t="shared" si="150"/>
        <v>02.2026</v>
      </c>
      <c r="AG586" s="17" t="str">
        <f t="shared" si="151"/>
        <v>Naji El Ali</v>
      </c>
      <c r="AH586" s="17" t="str">
        <f>IFERROR(VLOOKUP(B586,[1]Kundenübersicht!$E$4:$F$85,2,FALSE),"")</f>
        <v>Jens Wolf</v>
      </c>
      <c r="AI586" s="17" t="str">
        <f t="shared" si="142"/>
        <v>Alltagsbegleitung</v>
      </c>
      <c r="AJ586" s="17" t="str">
        <f t="shared" si="142"/>
        <v>Entlastungsleistung</v>
      </c>
      <c r="AL586" s="18">
        <f t="shared" si="146"/>
        <v>42</v>
      </c>
      <c r="AM586" s="18">
        <f t="shared" si="147"/>
        <v>83.999999999999986</v>
      </c>
      <c r="AN586" s="18">
        <f t="shared" si="148"/>
        <v>3.5</v>
      </c>
    </row>
    <row r="587" spans="2:40" x14ac:dyDescent="0.25">
      <c r="B587" s="30" t="s">
        <v>86</v>
      </c>
      <c r="C587" s="31">
        <v>46076</v>
      </c>
      <c r="D587" s="32">
        <v>0.41666666666666669</v>
      </c>
      <c r="E587" s="32">
        <v>0.45833333333333331</v>
      </c>
      <c r="F587" s="12">
        <f t="shared" si="144"/>
        <v>0.99999999999999911</v>
      </c>
      <c r="G587" s="12">
        <v>10</v>
      </c>
      <c r="H587" s="30" t="s">
        <v>85</v>
      </c>
      <c r="I587" s="30" t="s">
        <v>41</v>
      </c>
      <c r="J587" s="30" t="s">
        <v>28</v>
      </c>
      <c r="K587" s="9" t="str">
        <f>IFERROR(VLOOKUP($B587,[1]Kundenübersicht!$E$4:$AC$1003,MATCH(K$3,[1]Kundenübersicht!$E$3:$BA$3,FALSE),FALSE),"")</f>
        <v>KNAPPSCHAFT</v>
      </c>
      <c r="L587" s="13">
        <f>IFERROR(VLOOKUP(B587,[1]Kundenübersicht!$E$4:$AC$1003,MATCH(L$3,[1]Kundenübersicht!$E$3:$BA$3,FALSE),FALSE),"")</f>
        <v>109990508</v>
      </c>
      <c r="M587" s="13" t="str">
        <f>IFERROR(VLOOKUP(B587,[1]Kundenübersicht!$E$4:$AC$1003,MATCH(M$3,[1]Kundenübersicht!$E$3:$BA$3,FALSE),FALSE),"")</f>
        <v>I767390429</v>
      </c>
      <c r="N587" s="13" t="str">
        <f>IFERROR(VLOOKUP(B587,[1]Kundenübersicht!$E$4:$AC$1003,MATCH(N$3,[1]Kundenübersicht!$E$3:$BA$3,FALSE),FALSE),"")</f>
        <v>PG 1</v>
      </c>
      <c r="P587" s="9" t="s">
        <v>29</v>
      </c>
      <c r="R587" s="9" t="str">
        <f t="shared" si="143"/>
        <v>Fehlt</v>
      </c>
      <c r="S587" s="14"/>
      <c r="U587" s="15">
        <f>IF(YEAR(C587)&lt;=2025,IFERROR(IF(I587="Hauswirtschaft",VLOOKUP($B587,[1]Kundenübersicht!$E$4:$BA$1003,MATCH("Hauswirtschaft [€/Stunde]",[1]Kundenübersicht!$E$3:$BA$3,FALSE),FALSE),VLOOKUP($B587,[1]Kundenübersicht!$E$4:$BA$1003,MATCH("Alltagsbegleitung [€/Stunde]",[1]Kundenübersicht!$E$3:$BA$3,FALSE),FALSE)),0),IFERROR(IF(I587="Hauswirtschaft",VLOOKUP($B587,[1]Kundenübersicht!$E$4:$BA$1003,MATCH("HW ab 2026 [€/Stunde]",[1]Kundenübersicht!$E$3:$BA$3,FALSE),FALSE),VLOOKUP($B587,[1]Kundenübersicht!$E$4:$BA$1003,MATCH("Alltagsbegleitung [€/Stunde]",[1]Kundenübersicht!$E$3:$BA$3,FALSE),FALSE)),0))</f>
        <v>42</v>
      </c>
      <c r="V587" s="16">
        <f t="shared" si="145"/>
        <v>41.999999999999964</v>
      </c>
      <c r="W587" s="16">
        <f t="shared" si="139"/>
        <v>3.5</v>
      </c>
      <c r="X587" s="16" t="s">
        <v>89</v>
      </c>
      <c r="Z587" s="20" t="str">
        <f t="shared" si="141"/>
        <v>Nein</v>
      </c>
      <c r="AA587" s="19"/>
      <c r="AC587" s="19"/>
      <c r="AE587" s="9">
        <f t="shared" si="149"/>
        <v>2026</v>
      </c>
      <c r="AF587" s="17" t="str">
        <f t="shared" si="150"/>
        <v>02.2026</v>
      </c>
      <c r="AG587" s="17" t="str">
        <f t="shared" si="151"/>
        <v>Naji El Ali</v>
      </c>
      <c r="AH587" s="17" t="str">
        <f>IFERROR(VLOOKUP(B587,[1]Kundenübersicht!$E$4:$F$85,2,FALSE),"")</f>
        <v>Jens Wolf</v>
      </c>
      <c r="AI587" s="17" t="str">
        <f t="shared" si="142"/>
        <v>Alltagsbegleitung</v>
      </c>
      <c r="AJ587" s="17" t="str">
        <f t="shared" si="142"/>
        <v>Entlastungsleistung</v>
      </c>
      <c r="AL587" s="18">
        <f t="shared" si="146"/>
        <v>42</v>
      </c>
      <c r="AM587" s="18">
        <f t="shared" si="147"/>
        <v>41.999999999999964</v>
      </c>
      <c r="AN587" s="18">
        <f t="shared" si="148"/>
        <v>3.5</v>
      </c>
    </row>
    <row r="588" spans="2:40" x14ac:dyDescent="0.25">
      <c r="B588" s="30" t="s">
        <v>42</v>
      </c>
      <c r="C588" s="31">
        <v>46070</v>
      </c>
      <c r="D588" s="32">
        <v>0.41666666666666669</v>
      </c>
      <c r="E588" s="32">
        <v>0.45833333333333331</v>
      </c>
      <c r="F588" s="12">
        <f t="shared" si="144"/>
        <v>0.99999999999999911</v>
      </c>
      <c r="G588" s="12">
        <v>10.4</v>
      </c>
      <c r="H588" s="30" t="s">
        <v>33</v>
      </c>
      <c r="I588" s="30" t="s">
        <v>27</v>
      </c>
      <c r="J588" s="30" t="s">
        <v>28</v>
      </c>
      <c r="K588" s="9" t="str">
        <f>IFERROR(VLOOKUP($B588,[1]Kundenübersicht!$E$4:$AC$1003,MATCH(K$3,[1]Kundenübersicht!$E$3:$BA$3,FALSE),FALSE),"")</f>
        <v>Techniker Krankenkasse</v>
      </c>
      <c r="L588" s="13">
        <f>IFERROR(VLOOKUP(B588,[1]Kundenübersicht!$E$4:$AC$1003,MATCH(L$3,[1]Kundenübersicht!$E$3:$BA$3,FALSE),FALSE),"")</f>
        <v>101575519</v>
      </c>
      <c r="M588" s="13" t="str">
        <f>IFERROR(VLOOKUP(B588,[1]Kundenübersicht!$E$4:$AC$1003,MATCH(M$3,[1]Kundenübersicht!$E$3:$BA$3,FALSE),FALSE),"")</f>
        <v>E759973784</v>
      </c>
      <c r="N588" s="13" t="str">
        <f>IFERROR(VLOOKUP(B588,[1]Kundenübersicht!$E$4:$AC$1003,MATCH(N$3,[1]Kundenübersicht!$E$3:$BA$3,FALSE),FALSE),"")</f>
        <v>PG 2</v>
      </c>
      <c r="P588" s="9" t="s">
        <v>29</v>
      </c>
      <c r="R588" s="9" t="str">
        <f t="shared" si="143"/>
        <v>Fehlt</v>
      </c>
      <c r="S588" s="14"/>
      <c r="U588" s="15">
        <f>IF(YEAR(C588)&lt;=2025,IFERROR(IF(I588="Hauswirtschaft",VLOOKUP($B588,[1]Kundenübersicht!$E$4:$BA$1003,MATCH("Hauswirtschaft [€/Stunde]",[1]Kundenübersicht!$E$3:$BA$3,FALSE),FALSE),VLOOKUP($B588,[1]Kundenübersicht!$E$4:$BA$1003,MATCH("Alltagsbegleitung [€/Stunde]",[1]Kundenübersicht!$E$3:$BA$3,FALSE),FALSE)),0),IFERROR(IF(I588="Hauswirtschaft",VLOOKUP($B588,[1]Kundenübersicht!$E$4:$BA$1003,MATCH("HW ab 2026 [€/Stunde]",[1]Kundenübersicht!$E$3:$BA$3,FALSE),FALSE),VLOOKUP($B588,[1]Kundenübersicht!$E$4:$BA$1003,MATCH("Alltagsbegleitung [€/Stunde]",[1]Kundenübersicht!$E$3:$BA$3,FALSE),FALSE)),0))</f>
        <v>38</v>
      </c>
      <c r="V588" s="16">
        <f t="shared" si="145"/>
        <v>37.999999999999964</v>
      </c>
      <c r="W588" s="16">
        <f t="shared" si="139"/>
        <v>3.6399999999999997</v>
      </c>
      <c r="X588" s="16" t="s">
        <v>89</v>
      </c>
      <c r="Z588" s="20" t="str">
        <f t="shared" si="141"/>
        <v>Nein</v>
      </c>
      <c r="AA588" s="19"/>
      <c r="AC588" s="19"/>
      <c r="AE588" s="9">
        <f t="shared" si="149"/>
        <v>2026</v>
      </c>
      <c r="AF588" s="17" t="str">
        <f t="shared" si="150"/>
        <v>02.2026</v>
      </c>
      <c r="AG588" s="17" t="str">
        <f t="shared" si="151"/>
        <v>Christiane Fiebag</v>
      </c>
      <c r="AH588" s="17" t="str">
        <f>IFERROR(VLOOKUP(B588,[1]Kundenübersicht!$E$4:$F$85,2,FALSE),"")</f>
        <v>Martin Schmidt</v>
      </c>
      <c r="AI588" s="17" t="str">
        <f t="shared" si="142"/>
        <v>Hauswirtschaft</v>
      </c>
      <c r="AJ588" s="17" t="str">
        <f t="shared" si="142"/>
        <v>Entlastungsleistung</v>
      </c>
      <c r="AL588" s="18">
        <f t="shared" si="146"/>
        <v>38</v>
      </c>
      <c r="AM588" s="18">
        <f t="shared" si="147"/>
        <v>37.999999999999964</v>
      </c>
      <c r="AN588" s="18">
        <f t="shared" si="148"/>
        <v>3.6399999999999997</v>
      </c>
    </row>
    <row r="589" spans="2:40" x14ac:dyDescent="0.25">
      <c r="B589" s="30" t="s">
        <v>109</v>
      </c>
      <c r="C589" s="31">
        <v>46062</v>
      </c>
      <c r="D589" s="32">
        <v>0.35416666666666669</v>
      </c>
      <c r="E589" s="32">
        <v>0.42708333333333331</v>
      </c>
      <c r="F589" s="12">
        <f t="shared" si="144"/>
        <v>1.7499999999999991</v>
      </c>
      <c r="G589" s="12">
        <v>3.3</v>
      </c>
      <c r="H589" s="30" t="s">
        <v>33</v>
      </c>
      <c r="I589" s="30" t="s">
        <v>27</v>
      </c>
      <c r="J589" s="30" t="s">
        <v>28</v>
      </c>
      <c r="K589" s="9" t="str">
        <f>IFERROR(VLOOKUP($B589,[1]Kundenübersicht!$E$4:$AC$1003,MATCH(K$3,[1]Kundenübersicht!$E$3:$BA$3,FALSE),FALSE),"")</f>
        <v>AOK PLUS</v>
      </c>
      <c r="L589" s="13">
        <f>IFERROR(VLOOKUP(B589,[1]Kundenübersicht!$E$4:$AC$1003,MATCH(L$3,[1]Kundenübersicht!$E$3:$BA$3,FALSE),FALSE),"")</f>
        <v>107299005</v>
      </c>
      <c r="M589" s="13" t="str">
        <f>IFERROR(VLOOKUP(B589,[1]Kundenübersicht!$E$4:$AC$1003,MATCH(M$3,[1]Kundenübersicht!$E$3:$BA$3,FALSE),FALSE),"")</f>
        <v>F868686018</v>
      </c>
      <c r="N589" s="13" t="str">
        <f>IFERROR(VLOOKUP(B589,[1]Kundenübersicht!$E$4:$AC$1003,MATCH(N$3,[1]Kundenübersicht!$E$3:$BA$3,FALSE),FALSE),"")</f>
        <v>PG 2</v>
      </c>
      <c r="P589" s="9" t="s">
        <v>29</v>
      </c>
      <c r="R589" s="9" t="str">
        <f t="shared" si="143"/>
        <v>Fehlt</v>
      </c>
      <c r="S589" s="14"/>
      <c r="U589" s="15">
        <f>IF(YEAR(C589)&lt;=2025,IFERROR(IF(I589="Hauswirtschaft",VLOOKUP($B589,[1]Kundenübersicht!$E$4:$BA$1003,MATCH("Hauswirtschaft [€/Stunde]",[1]Kundenübersicht!$E$3:$BA$3,FALSE),FALSE),VLOOKUP($B589,[1]Kundenübersicht!$E$4:$BA$1003,MATCH("Alltagsbegleitung [€/Stunde]",[1]Kundenübersicht!$E$3:$BA$3,FALSE),FALSE)),0),IFERROR(IF(I589="Hauswirtschaft",VLOOKUP($B589,[1]Kundenübersicht!$E$4:$BA$1003,MATCH("HW ab 2026 [€/Stunde]",[1]Kundenübersicht!$E$3:$BA$3,FALSE),FALSE),VLOOKUP($B589,[1]Kundenübersicht!$E$4:$BA$1003,MATCH("Alltagsbegleitung [€/Stunde]",[1]Kundenübersicht!$E$3:$BA$3,FALSE),FALSE)),0))</f>
        <v>38</v>
      </c>
      <c r="V589" s="16">
        <f t="shared" si="145"/>
        <v>66.499999999999972</v>
      </c>
      <c r="W589" s="16">
        <f t="shared" si="139"/>
        <v>1.1549999999999998</v>
      </c>
      <c r="X589" s="16" t="s">
        <v>89</v>
      </c>
      <c r="Z589" s="20" t="str">
        <f t="shared" si="141"/>
        <v>Nein</v>
      </c>
      <c r="AA589" s="19"/>
      <c r="AC589" s="19"/>
      <c r="AE589" s="9">
        <f t="shared" si="149"/>
        <v>2026</v>
      </c>
      <c r="AF589" s="17" t="str">
        <f t="shared" si="150"/>
        <v>02.2026</v>
      </c>
      <c r="AG589" s="17" t="str">
        <f t="shared" si="151"/>
        <v>Christiane Fiebag</v>
      </c>
      <c r="AH589" s="17" t="str">
        <f>IFERROR(VLOOKUP(B589,[1]Kundenübersicht!$E$4:$F$85,2,FALSE),"")</f>
        <v>Marvin Schröder</v>
      </c>
      <c r="AI589" s="17" t="str">
        <f t="shared" si="142"/>
        <v>Hauswirtschaft</v>
      </c>
      <c r="AJ589" s="17" t="str">
        <f t="shared" si="142"/>
        <v>Entlastungsleistung</v>
      </c>
      <c r="AL589" s="18">
        <f t="shared" si="146"/>
        <v>38</v>
      </c>
      <c r="AM589" s="18">
        <f t="shared" si="147"/>
        <v>66.499999999999972</v>
      </c>
      <c r="AN589" s="18">
        <f t="shared" si="148"/>
        <v>1.1549999999999998</v>
      </c>
    </row>
    <row r="590" spans="2:40" x14ac:dyDescent="0.25">
      <c r="B590" s="30" t="s">
        <v>109</v>
      </c>
      <c r="C590" s="31">
        <v>46064</v>
      </c>
      <c r="D590" s="32">
        <v>0.3125</v>
      </c>
      <c r="E590" s="32">
        <v>0.375</v>
      </c>
      <c r="F590" s="12">
        <f t="shared" si="144"/>
        <v>1.5</v>
      </c>
      <c r="G590" s="12">
        <v>0.8</v>
      </c>
      <c r="H590" s="30" t="s">
        <v>33</v>
      </c>
      <c r="I590" s="30" t="s">
        <v>27</v>
      </c>
      <c r="J590" s="30" t="s">
        <v>28</v>
      </c>
      <c r="K590" s="9" t="str">
        <f>IFERROR(VLOOKUP($B590,[1]Kundenübersicht!$E$4:$AC$1003,MATCH(K$3,[1]Kundenübersicht!$E$3:$BA$3,FALSE),FALSE),"")</f>
        <v>AOK PLUS</v>
      </c>
      <c r="L590" s="13">
        <f>IFERROR(VLOOKUP(B590,[1]Kundenübersicht!$E$4:$AC$1003,MATCH(L$3,[1]Kundenübersicht!$E$3:$BA$3,FALSE),FALSE),"")</f>
        <v>107299005</v>
      </c>
      <c r="M590" s="13" t="str">
        <f>IFERROR(VLOOKUP(B590,[1]Kundenübersicht!$E$4:$AC$1003,MATCH(M$3,[1]Kundenübersicht!$E$3:$BA$3,FALSE),FALSE),"")</f>
        <v>F868686018</v>
      </c>
      <c r="N590" s="13" t="str">
        <f>IFERROR(VLOOKUP(B590,[1]Kundenübersicht!$E$4:$AC$1003,MATCH(N$3,[1]Kundenübersicht!$E$3:$BA$3,FALSE),FALSE),"")</f>
        <v>PG 2</v>
      </c>
      <c r="P590" s="9" t="s">
        <v>29</v>
      </c>
      <c r="R590" s="9" t="str">
        <f t="shared" si="143"/>
        <v>Fehlt</v>
      </c>
      <c r="S590" s="14"/>
      <c r="U590" s="15">
        <f>IF(YEAR(C590)&lt;=2025,IFERROR(IF(I590="Hauswirtschaft",VLOOKUP($B590,[1]Kundenübersicht!$E$4:$BA$1003,MATCH("Hauswirtschaft [€/Stunde]",[1]Kundenübersicht!$E$3:$BA$3,FALSE),FALSE),VLOOKUP($B590,[1]Kundenübersicht!$E$4:$BA$1003,MATCH("Alltagsbegleitung [€/Stunde]",[1]Kundenübersicht!$E$3:$BA$3,FALSE),FALSE)),0),IFERROR(IF(I590="Hauswirtschaft",VLOOKUP($B590,[1]Kundenübersicht!$E$4:$BA$1003,MATCH("HW ab 2026 [€/Stunde]",[1]Kundenübersicht!$E$3:$BA$3,FALSE),FALSE),VLOOKUP($B590,[1]Kundenübersicht!$E$4:$BA$1003,MATCH("Alltagsbegleitung [€/Stunde]",[1]Kundenübersicht!$E$3:$BA$3,FALSE),FALSE)),0))</f>
        <v>38</v>
      </c>
      <c r="V590" s="16">
        <f t="shared" si="145"/>
        <v>57</v>
      </c>
      <c r="W590" s="16">
        <f t="shared" si="139"/>
        <v>0.27999999999999997</v>
      </c>
      <c r="X590" s="16" t="s">
        <v>89</v>
      </c>
      <c r="Z590" s="20" t="str">
        <f t="shared" si="141"/>
        <v>Nein</v>
      </c>
      <c r="AA590" s="19"/>
      <c r="AC590" s="19"/>
      <c r="AE590" s="9">
        <f t="shared" si="149"/>
        <v>2026</v>
      </c>
      <c r="AF590" s="17" t="str">
        <f t="shared" si="150"/>
        <v>02.2026</v>
      </c>
      <c r="AG590" s="17" t="str">
        <f t="shared" si="151"/>
        <v>Christiane Fiebag</v>
      </c>
      <c r="AH590" s="17" t="str">
        <f>IFERROR(VLOOKUP(B590,[1]Kundenübersicht!$E$4:$F$85,2,FALSE),"")</f>
        <v>Marvin Schröder</v>
      </c>
      <c r="AI590" s="17" t="str">
        <f t="shared" si="142"/>
        <v>Hauswirtschaft</v>
      </c>
      <c r="AJ590" s="17" t="str">
        <f t="shared" si="142"/>
        <v>Entlastungsleistung</v>
      </c>
      <c r="AL590" s="18">
        <f t="shared" si="146"/>
        <v>38</v>
      </c>
      <c r="AM590" s="18">
        <f t="shared" si="147"/>
        <v>57</v>
      </c>
      <c r="AN590" s="18">
        <f t="shared" si="148"/>
        <v>0.27999999999999997</v>
      </c>
    </row>
    <row r="591" spans="2:40" x14ac:dyDescent="0.25">
      <c r="B591" s="30" t="s">
        <v>109</v>
      </c>
      <c r="C591" s="31">
        <v>46064</v>
      </c>
      <c r="D591" s="32">
        <v>0.55208333333333337</v>
      </c>
      <c r="E591" s="32">
        <v>0.63541666666666663</v>
      </c>
      <c r="F591" s="12">
        <f t="shared" si="144"/>
        <v>1.9999999999999982</v>
      </c>
      <c r="G591" s="12">
        <v>0.8</v>
      </c>
      <c r="H591" s="30" t="s">
        <v>33</v>
      </c>
      <c r="I591" s="30" t="s">
        <v>41</v>
      </c>
      <c r="J591" s="30" t="s">
        <v>28</v>
      </c>
      <c r="K591" s="9" t="str">
        <f>IFERROR(VLOOKUP($B591,[1]Kundenübersicht!$E$4:$AC$1003,MATCH(K$3,[1]Kundenübersicht!$E$3:$BA$3,FALSE),FALSE),"")</f>
        <v>AOK PLUS</v>
      </c>
      <c r="L591" s="13">
        <f>IFERROR(VLOOKUP(B591,[1]Kundenübersicht!$E$4:$AC$1003,MATCH(L$3,[1]Kundenübersicht!$E$3:$BA$3,FALSE),FALSE),"")</f>
        <v>107299005</v>
      </c>
      <c r="M591" s="13" t="str">
        <f>IFERROR(VLOOKUP(B591,[1]Kundenübersicht!$E$4:$AC$1003,MATCH(M$3,[1]Kundenübersicht!$E$3:$BA$3,FALSE),FALSE),"")</f>
        <v>F868686018</v>
      </c>
      <c r="N591" s="13" t="str">
        <f>IFERROR(VLOOKUP(B591,[1]Kundenübersicht!$E$4:$AC$1003,MATCH(N$3,[1]Kundenübersicht!$E$3:$BA$3,FALSE),FALSE),"")</f>
        <v>PG 2</v>
      </c>
      <c r="P591" s="9" t="s">
        <v>29</v>
      </c>
      <c r="R591" s="9" t="str">
        <f t="shared" si="143"/>
        <v>Fehlt</v>
      </c>
      <c r="S591" s="14"/>
      <c r="U591" s="15">
        <f>IF(YEAR(C591)&lt;=2025,IFERROR(IF(I591="Hauswirtschaft",VLOOKUP($B591,[1]Kundenübersicht!$E$4:$BA$1003,MATCH("Hauswirtschaft [€/Stunde]",[1]Kundenübersicht!$E$3:$BA$3,FALSE),FALSE),VLOOKUP($B591,[1]Kundenübersicht!$E$4:$BA$1003,MATCH("Alltagsbegleitung [€/Stunde]",[1]Kundenübersicht!$E$3:$BA$3,FALSE),FALSE)),0),IFERROR(IF(I591="Hauswirtschaft",VLOOKUP($B591,[1]Kundenübersicht!$E$4:$BA$1003,MATCH("HW ab 2026 [€/Stunde]",[1]Kundenübersicht!$E$3:$BA$3,FALSE),FALSE),VLOOKUP($B591,[1]Kundenübersicht!$E$4:$BA$1003,MATCH("Alltagsbegleitung [€/Stunde]",[1]Kundenübersicht!$E$3:$BA$3,FALSE),FALSE)),0))</f>
        <v>42</v>
      </c>
      <c r="V591" s="16">
        <f t="shared" si="145"/>
        <v>83.999999999999929</v>
      </c>
      <c r="W591" s="16">
        <f t="shared" si="139"/>
        <v>0.27999999999999997</v>
      </c>
      <c r="X591" s="16" t="s">
        <v>89</v>
      </c>
      <c r="Z591" s="20" t="str">
        <f t="shared" si="141"/>
        <v>Nein</v>
      </c>
      <c r="AA591" s="19"/>
      <c r="AC591" s="19"/>
      <c r="AE591" s="9">
        <f t="shared" si="149"/>
        <v>2026</v>
      </c>
      <c r="AF591" s="17" t="str">
        <f t="shared" si="150"/>
        <v>02.2026</v>
      </c>
      <c r="AG591" s="17" t="str">
        <f t="shared" si="151"/>
        <v>Christiane Fiebag</v>
      </c>
      <c r="AH591" s="17" t="str">
        <f>IFERROR(VLOOKUP(B591,[1]Kundenübersicht!$E$4:$F$85,2,FALSE),"")</f>
        <v>Marvin Schröder</v>
      </c>
      <c r="AI591" s="17" t="str">
        <f t="shared" si="142"/>
        <v>Alltagsbegleitung</v>
      </c>
      <c r="AJ591" s="17" t="str">
        <f t="shared" si="142"/>
        <v>Entlastungsleistung</v>
      </c>
      <c r="AL591" s="18">
        <f t="shared" si="146"/>
        <v>42</v>
      </c>
      <c r="AM591" s="18">
        <f t="shared" si="147"/>
        <v>83.999999999999929</v>
      </c>
      <c r="AN591" s="18">
        <f t="shared" si="148"/>
        <v>0.27999999999999997</v>
      </c>
    </row>
    <row r="592" spans="2:40" x14ac:dyDescent="0.25">
      <c r="B592" s="30" t="s">
        <v>109</v>
      </c>
      <c r="C592" s="31">
        <v>46071</v>
      </c>
      <c r="D592" s="32">
        <v>0.54166666666666663</v>
      </c>
      <c r="E592" s="32">
        <v>0.66666666666666663</v>
      </c>
      <c r="F592" s="12">
        <f t="shared" si="144"/>
        <v>3</v>
      </c>
      <c r="G592" s="12">
        <v>5.7</v>
      </c>
      <c r="H592" s="30" t="s">
        <v>33</v>
      </c>
      <c r="I592" s="30" t="s">
        <v>41</v>
      </c>
      <c r="J592" s="30" t="s">
        <v>28</v>
      </c>
      <c r="K592" s="9" t="str">
        <f>IFERROR(VLOOKUP($B592,[1]Kundenübersicht!$E$4:$AC$1003,MATCH(K$3,[1]Kundenübersicht!$E$3:$BA$3,FALSE),FALSE),"")</f>
        <v>AOK PLUS</v>
      </c>
      <c r="L592" s="13">
        <f>IFERROR(VLOOKUP(B592,[1]Kundenübersicht!$E$4:$AC$1003,MATCH(L$3,[1]Kundenübersicht!$E$3:$BA$3,FALSE),FALSE),"")</f>
        <v>107299005</v>
      </c>
      <c r="M592" s="13" t="str">
        <f>IFERROR(VLOOKUP(B592,[1]Kundenübersicht!$E$4:$AC$1003,MATCH(M$3,[1]Kundenübersicht!$E$3:$BA$3,FALSE),FALSE),"")</f>
        <v>F868686018</v>
      </c>
      <c r="N592" s="13" t="str">
        <f>IFERROR(VLOOKUP(B592,[1]Kundenübersicht!$E$4:$AC$1003,MATCH(N$3,[1]Kundenübersicht!$E$3:$BA$3,FALSE),FALSE),"")</f>
        <v>PG 2</v>
      </c>
      <c r="P592" s="9" t="s">
        <v>29</v>
      </c>
      <c r="R592" s="9" t="str">
        <f t="shared" si="143"/>
        <v>Fehlt</v>
      </c>
      <c r="S592" s="14"/>
      <c r="U592" s="15">
        <f>IF(YEAR(C592)&lt;=2025,IFERROR(IF(I592="Hauswirtschaft",VLOOKUP($B592,[1]Kundenübersicht!$E$4:$BA$1003,MATCH("Hauswirtschaft [€/Stunde]",[1]Kundenübersicht!$E$3:$BA$3,FALSE),FALSE),VLOOKUP($B592,[1]Kundenübersicht!$E$4:$BA$1003,MATCH("Alltagsbegleitung [€/Stunde]",[1]Kundenübersicht!$E$3:$BA$3,FALSE),FALSE)),0),IFERROR(IF(I592="Hauswirtschaft",VLOOKUP($B592,[1]Kundenübersicht!$E$4:$BA$1003,MATCH("HW ab 2026 [€/Stunde]",[1]Kundenübersicht!$E$3:$BA$3,FALSE),FALSE),VLOOKUP($B592,[1]Kundenübersicht!$E$4:$BA$1003,MATCH("Alltagsbegleitung [€/Stunde]",[1]Kundenübersicht!$E$3:$BA$3,FALSE),FALSE)),0))</f>
        <v>42</v>
      </c>
      <c r="V592" s="16">
        <f t="shared" si="145"/>
        <v>126</v>
      </c>
      <c r="W592" s="16">
        <f t="shared" si="139"/>
        <v>1.9949999999999999</v>
      </c>
      <c r="X592" s="16" t="s">
        <v>89</v>
      </c>
      <c r="Z592" s="20" t="str">
        <f t="shared" si="141"/>
        <v>Nein</v>
      </c>
      <c r="AA592" s="19"/>
      <c r="AC592" s="19"/>
      <c r="AE592" s="9">
        <f t="shared" si="149"/>
        <v>2026</v>
      </c>
      <c r="AF592" s="17" t="str">
        <f t="shared" si="150"/>
        <v>02.2026</v>
      </c>
      <c r="AG592" s="17" t="str">
        <f t="shared" si="151"/>
        <v>Christiane Fiebag</v>
      </c>
      <c r="AH592" s="17" t="str">
        <f>IFERROR(VLOOKUP(B592,[1]Kundenübersicht!$E$4:$F$85,2,FALSE),"")</f>
        <v>Marvin Schröder</v>
      </c>
      <c r="AI592" s="17" t="str">
        <f t="shared" si="142"/>
        <v>Alltagsbegleitung</v>
      </c>
      <c r="AJ592" s="17" t="str">
        <f t="shared" si="142"/>
        <v>Entlastungsleistung</v>
      </c>
      <c r="AL592" s="18">
        <f t="shared" si="146"/>
        <v>42</v>
      </c>
      <c r="AM592" s="18">
        <f t="shared" si="147"/>
        <v>126</v>
      </c>
      <c r="AN592" s="18">
        <f t="shared" si="148"/>
        <v>1.9949999999999999</v>
      </c>
    </row>
    <row r="593" spans="1:40" x14ac:dyDescent="0.25">
      <c r="B593" s="30" t="s">
        <v>109</v>
      </c>
      <c r="C593" s="31">
        <v>46071</v>
      </c>
      <c r="D593" s="32">
        <v>0.66666666666666663</v>
      </c>
      <c r="E593" s="32">
        <v>0.70833333333333337</v>
      </c>
      <c r="F593" s="12">
        <f t="shared" si="144"/>
        <v>1.0000000000000018</v>
      </c>
      <c r="G593" s="12"/>
      <c r="H593" s="30" t="s">
        <v>33</v>
      </c>
      <c r="I593" s="30" t="s">
        <v>27</v>
      </c>
      <c r="J593" s="30" t="s">
        <v>28</v>
      </c>
      <c r="K593" s="9" t="str">
        <f>IFERROR(VLOOKUP($B593,[1]Kundenübersicht!$E$4:$AC$1003,MATCH(K$3,[1]Kundenübersicht!$E$3:$BA$3,FALSE),FALSE),"")</f>
        <v>AOK PLUS</v>
      </c>
      <c r="L593" s="13">
        <f>IFERROR(VLOOKUP(B593,[1]Kundenübersicht!$E$4:$AC$1003,MATCH(L$3,[1]Kundenübersicht!$E$3:$BA$3,FALSE),FALSE),"")</f>
        <v>107299005</v>
      </c>
      <c r="M593" s="13" t="str">
        <f>IFERROR(VLOOKUP(B593,[1]Kundenübersicht!$E$4:$AC$1003,MATCH(M$3,[1]Kundenübersicht!$E$3:$BA$3,FALSE),FALSE),"")</f>
        <v>F868686018</v>
      </c>
      <c r="N593" s="13" t="str">
        <f>IFERROR(VLOOKUP(B593,[1]Kundenübersicht!$E$4:$AC$1003,MATCH(N$3,[1]Kundenübersicht!$E$3:$BA$3,FALSE),FALSE),"")</f>
        <v>PG 2</v>
      </c>
      <c r="P593" s="9" t="s">
        <v>29</v>
      </c>
      <c r="R593" s="9" t="str">
        <f t="shared" si="143"/>
        <v>Fehlt</v>
      </c>
      <c r="S593" s="14"/>
      <c r="U593" s="15">
        <f>IF(YEAR(C593)&lt;=2025,IFERROR(IF(I593="Hauswirtschaft",VLOOKUP($B593,[1]Kundenübersicht!$E$4:$BA$1003,MATCH("Hauswirtschaft [€/Stunde]",[1]Kundenübersicht!$E$3:$BA$3,FALSE),FALSE),VLOOKUP($B593,[1]Kundenübersicht!$E$4:$BA$1003,MATCH("Alltagsbegleitung [€/Stunde]",[1]Kundenübersicht!$E$3:$BA$3,FALSE),FALSE)),0),IFERROR(IF(I593="Hauswirtschaft",VLOOKUP($B593,[1]Kundenübersicht!$E$4:$BA$1003,MATCH("HW ab 2026 [€/Stunde]",[1]Kundenübersicht!$E$3:$BA$3,FALSE),FALSE),VLOOKUP($B593,[1]Kundenübersicht!$E$4:$BA$1003,MATCH("Alltagsbegleitung [€/Stunde]",[1]Kundenübersicht!$E$3:$BA$3,FALSE),FALSE)),0))</f>
        <v>38</v>
      </c>
      <c r="V593" s="16">
        <f t="shared" si="145"/>
        <v>38.000000000000071</v>
      </c>
      <c r="W593" s="16">
        <f t="shared" si="139"/>
        <v>0</v>
      </c>
      <c r="X593" s="16" t="s">
        <v>89</v>
      </c>
      <c r="Z593" s="20" t="str">
        <f t="shared" si="141"/>
        <v>Nein</v>
      </c>
      <c r="AA593" s="19"/>
      <c r="AC593" s="19"/>
      <c r="AE593" s="9">
        <f t="shared" si="149"/>
        <v>2026</v>
      </c>
      <c r="AF593" s="17" t="str">
        <f t="shared" si="150"/>
        <v>02.2026</v>
      </c>
      <c r="AG593" s="17" t="str">
        <f t="shared" si="151"/>
        <v>Christiane Fiebag</v>
      </c>
      <c r="AH593" s="17" t="str">
        <f>IFERROR(VLOOKUP(B593,[1]Kundenübersicht!$E$4:$F$85,2,FALSE),"")</f>
        <v>Marvin Schröder</v>
      </c>
      <c r="AI593" s="17" t="str">
        <f t="shared" si="142"/>
        <v>Hauswirtschaft</v>
      </c>
      <c r="AJ593" s="17" t="str">
        <f t="shared" si="142"/>
        <v>Entlastungsleistung</v>
      </c>
      <c r="AL593" s="18">
        <f t="shared" si="146"/>
        <v>38</v>
      </c>
      <c r="AM593" s="18">
        <f t="shared" si="147"/>
        <v>38.000000000000071</v>
      </c>
      <c r="AN593" s="18">
        <f t="shared" si="148"/>
        <v>0</v>
      </c>
    </row>
    <row r="594" spans="1:40" x14ac:dyDescent="0.25">
      <c r="B594" s="30" t="s">
        <v>109</v>
      </c>
      <c r="C594" s="31">
        <v>46078</v>
      </c>
      <c r="D594" s="32">
        <v>0.45833333333333331</v>
      </c>
      <c r="E594" s="32">
        <v>0.53125</v>
      </c>
      <c r="F594" s="12">
        <f t="shared" si="144"/>
        <v>1.7500000000000004</v>
      </c>
      <c r="G594" s="12">
        <v>22.6</v>
      </c>
      <c r="H594" s="30" t="s">
        <v>33</v>
      </c>
      <c r="I594" s="30" t="s">
        <v>41</v>
      </c>
      <c r="J594" s="30" t="s">
        <v>28</v>
      </c>
      <c r="K594" s="9" t="str">
        <f>IFERROR(VLOOKUP($B594,[1]Kundenübersicht!$E$4:$AC$1003,MATCH(K$3,[1]Kundenübersicht!$E$3:$BA$3,FALSE),FALSE),"")</f>
        <v>AOK PLUS</v>
      </c>
      <c r="L594" s="13">
        <f>IFERROR(VLOOKUP(B594,[1]Kundenübersicht!$E$4:$AC$1003,MATCH(L$3,[1]Kundenübersicht!$E$3:$BA$3,FALSE),FALSE),"")</f>
        <v>107299005</v>
      </c>
      <c r="M594" s="13" t="str">
        <f>IFERROR(VLOOKUP(B594,[1]Kundenübersicht!$E$4:$AC$1003,MATCH(M$3,[1]Kundenübersicht!$E$3:$BA$3,FALSE),FALSE),"")</f>
        <v>F868686018</v>
      </c>
      <c r="N594" s="13" t="str">
        <f>IFERROR(VLOOKUP(B594,[1]Kundenübersicht!$E$4:$AC$1003,MATCH(N$3,[1]Kundenübersicht!$E$3:$BA$3,FALSE),FALSE),"")</f>
        <v>PG 2</v>
      </c>
      <c r="P594" s="9" t="s">
        <v>29</v>
      </c>
      <c r="R594" s="9" t="str">
        <f t="shared" si="143"/>
        <v>Fehlt</v>
      </c>
      <c r="S594" s="14"/>
      <c r="U594" s="15">
        <f>IF(YEAR(C594)&lt;=2025,IFERROR(IF(I594="Hauswirtschaft",VLOOKUP($B594,[1]Kundenübersicht!$E$4:$BA$1003,MATCH("Hauswirtschaft [€/Stunde]",[1]Kundenübersicht!$E$3:$BA$3,FALSE),FALSE),VLOOKUP($B594,[1]Kundenübersicht!$E$4:$BA$1003,MATCH("Alltagsbegleitung [€/Stunde]",[1]Kundenübersicht!$E$3:$BA$3,FALSE),FALSE)),0),IFERROR(IF(I594="Hauswirtschaft",VLOOKUP($B594,[1]Kundenübersicht!$E$4:$BA$1003,MATCH("HW ab 2026 [€/Stunde]",[1]Kundenübersicht!$E$3:$BA$3,FALSE),FALSE),VLOOKUP($B594,[1]Kundenübersicht!$E$4:$BA$1003,MATCH("Alltagsbegleitung [€/Stunde]",[1]Kundenübersicht!$E$3:$BA$3,FALSE),FALSE)),0))</f>
        <v>42</v>
      </c>
      <c r="V594" s="16">
        <f t="shared" si="145"/>
        <v>73.500000000000014</v>
      </c>
      <c r="W594" s="16">
        <f t="shared" si="139"/>
        <v>7.91</v>
      </c>
      <c r="X594" s="16" t="s">
        <v>89</v>
      </c>
      <c r="Z594" s="20" t="str">
        <f t="shared" si="141"/>
        <v>Nein</v>
      </c>
      <c r="AA594" s="19"/>
      <c r="AC594" s="19"/>
      <c r="AE594" s="9">
        <f t="shared" si="149"/>
        <v>2026</v>
      </c>
      <c r="AF594" s="17" t="str">
        <f t="shared" si="150"/>
        <v>02.2026</v>
      </c>
      <c r="AG594" s="17" t="str">
        <f t="shared" si="151"/>
        <v>Christiane Fiebag</v>
      </c>
      <c r="AH594" s="17" t="str">
        <f>IFERROR(VLOOKUP(B594,[1]Kundenübersicht!$E$4:$F$85,2,FALSE),"")</f>
        <v>Marvin Schröder</v>
      </c>
      <c r="AI594" s="17" t="str">
        <f t="shared" si="142"/>
        <v>Alltagsbegleitung</v>
      </c>
      <c r="AJ594" s="17" t="str">
        <f t="shared" si="142"/>
        <v>Entlastungsleistung</v>
      </c>
      <c r="AL594" s="18">
        <f t="shared" si="146"/>
        <v>42</v>
      </c>
      <c r="AM594" s="18">
        <f t="shared" si="147"/>
        <v>73.500000000000014</v>
      </c>
      <c r="AN594" s="18">
        <f t="shared" si="148"/>
        <v>7.91</v>
      </c>
    </row>
    <row r="595" spans="1:40" x14ac:dyDescent="0.25">
      <c r="B595" s="30" t="s">
        <v>52</v>
      </c>
      <c r="C595" s="31">
        <v>46057</v>
      </c>
      <c r="D595" s="32">
        <v>0.33333333333333331</v>
      </c>
      <c r="E595" s="32">
        <v>0.39583333333333331</v>
      </c>
      <c r="F595" s="12">
        <f t="shared" si="144"/>
        <v>1.5</v>
      </c>
      <c r="G595" s="12">
        <v>1.9</v>
      </c>
      <c r="H595" s="30" t="s">
        <v>33</v>
      </c>
      <c r="I595" s="30" t="s">
        <v>27</v>
      </c>
      <c r="J595" s="30" t="s">
        <v>28</v>
      </c>
      <c r="K595" s="9" t="str">
        <f>IFERROR(VLOOKUP($B595,[1]Kundenübersicht!$E$4:$AC$1003,MATCH(K$3,[1]Kundenübersicht!$E$3:$BA$3,FALSE),FALSE),"")</f>
        <v>AOK PLUS</v>
      </c>
      <c r="L595" s="13">
        <f>IFERROR(VLOOKUP(B595,[1]Kundenübersicht!$E$4:$AC$1003,MATCH(L$3,[1]Kundenübersicht!$E$3:$BA$3,FALSE),FALSE),"")</f>
        <v>107299005</v>
      </c>
      <c r="M595" s="13" t="str">
        <f>IFERROR(VLOOKUP(B595,[1]Kundenübersicht!$E$4:$AC$1003,MATCH(M$3,[1]Kundenübersicht!$E$3:$BA$3,FALSE),FALSE),"")</f>
        <v>G562042888</v>
      </c>
      <c r="N595" s="13" t="str">
        <f>IFERROR(VLOOKUP(B595,[1]Kundenübersicht!$E$4:$AC$1003,MATCH(N$3,[1]Kundenübersicht!$E$3:$BA$3,FALSE),FALSE),"")</f>
        <v>PG 2</v>
      </c>
      <c r="P595" s="9" t="s">
        <v>29</v>
      </c>
      <c r="R595" s="9" t="str">
        <f t="shared" si="143"/>
        <v>Fehlt</v>
      </c>
      <c r="S595" s="14"/>
      <c r="U595" s="15">
        <f>IF(YEAR(C595)&lt;=2025,IFERROR(IF(I595="Hauswirtschaft",VLOOKUP($B595,[1]Kundenübersicht!$E$4:$BA$1003,MATCH("Hauswirtschaft [€/Stunde]",[1]Kundenübersicht!$E$3:$BA$3,FALSE),FALSE),VLOOKUP($B595,[1]Kundenübersicht!$E$4:$BA$1003,MATCH("Alltagsbegleitung [€/Stunde]",[1]Kundenübersicht!$E$3:$BA$3,FALSE),FALSE)),0),IFERROR(IF(I595="Hauswirtschaft",VLOOKUP($B595,[1]Kundenübersicht!$E$4:$BA$1003,MATCH("HW ab 2026 [€/Stunde]",[1]Kundenübersicht!$E$3:$BA$3,FALSE),FALSE),VLOOKUP($B595,[1]Kundenübersicht!$E$4:$BA$1003,MATCH("Alltagsbegleitung [€/Stunde]",[1]Kundenübersicht!$E$3:$BA$3,FALSE),FALSE)),0))</f>
        <v>38</v>
      </c>
      <c r="V595" s="16">
        <f t="shared" si="145"/>
        <v>57</v>
      </c>
      <c r="W595" s="16">
        <f t="shared" si="139"/>
        <v>0.66499999999999992</v>
      </c>
      <c r="X595" s="16" t="s">
        <v>89</v>
      </c>
      <c r="Z595" s="20" t="str">
        <f t="shared" si="141"/>
        <v>Nein</v>
      </c>
      <c r="AA595" s="19"/>
      <c r="AC595" s="19"/>
      <c r="AE595" s="9">
        <f t="shared" si="149"/>
        <v>2026</v>
      </c>
      <c r="AF595" s="17" t="str">
        <f t="shared" si="150"/>
        <v>02.2026</v>
      </c>
      <c r="AG595" s="17" t="str">
        <f t="shared" si="151"/>
        <v>Christiane Fiebag</v>
      </c>
      <c r="AH595" s="17" t="str">
        <f>IFERROR(VLOOKUP(B595,[1]Kundenübersicht!$E$4:$F$85,2,FALSE),"")</f>
        <v>Matthias Roß</v>
      </c>
      <c r="AI595" s="17" t="str">
        <f t="shared" si="142"/>
        <v>Hauswirtschaft</v>
      </c>
      <c r="AJ595" s="17" t="str">
        <f t="shared" si="142"/>
        <v>Entlastungsleistung</v>
      </c>
      <c r="AL595" s="18">
        <f t="shared" si="146"/>
        <v>38</v>
      </c>
      <c r="AM595" s="18">
        <f t="shared" si="147"/>
        <v>57</v>
      </c>
      <c r="AN595" s="18">
        <f t="shared" si="148"/>
        <v>0.66499999999999992</v>
      </c>
    </row>
    <row r="596" spans="1:40" x14ac:dyDescent="0.25">
      <c r="B596" s="30" t="s">
        <v>52</v>
      </c>
      <c r="C596" s="31">
        <v>46064</v>
      </c>
      <c r="D596" s="32">
        <v>0.47916666666666669</v>
      </c>
      <c r="E596" s="32">
        <v>0.54166666666666663</v>
      </c>
      <c r="F596" s="12">
        <f t="shared" si="144"/>
        <v>1.4999999999999987</v>
      </c>
      <c r="G596" s="12">
        <v>19.2</v>
      </c>
      <c r="H596" s="30" t="s">
        <v>33</v>
      </c>
      <c r="I596" s="30" t="s">
        <v>27</v>
      </c>
      <c r="J596" s="30" t="s">
        <v>28</v>
      </c>
      <c r="K596" s="9" t="str">
        <f>IFERROR(VLOOKUP($B596,[1]Kundenübersicht!$E$4:$AC$1003,MATCH(K$3,[1]Kundenübersicht!$E$3:$BA$3,FALSE),FALSE),"")</f>
        <v>AOK PLUS</v>
      </c>
      <c r="L596" s="13">
        <f>IFERROR(VLOOKUP(B596,[1]Kundenübersicht!$E$4:$AC$1003,MATCH(L$3,[1]Kundenübersicht!$E$3:$BA$3,FALSE),FALSE),"")</f>
        <v>107299005</v>
      </c>
      <c r="M596" s="13" t="str">
        <f>IFERROR(VLOOKUP(B596,[1]Kundenübersicht!$E$4:$AC$1003,MATCH(M$3,[1]Kundenübersicht!$E$3:$BA$3,FALSE),FALSE),"")</f>
        <v>G562042888</v>
      </c>
      <c r="N596" s="13" t="str">
        <f>IFERROR(VLOOKUP(B596,[1]Kundenübersicht!$E$4:$AC$1003,MATCH(N$3,[1]Kundenübersicht!$E$3:$BA$3,FALSE),FALSE),"")</f>
        <v>PG 2</v>
      </c>
      <c r="P596" s="9" t="s">
        <v>29</v>
      </c>
      <c r="R596" s="9" t="str">
        <f t="shared" si="143"/>
        <v>Fehlt</v>
      </c>
      <c r="S596" s="14"/>
      <c r="U596" s="15">
        <f>IF(YEAR(C596)&lt;=2025,IFERROR(IF(I596="Hauswirtschaft",VLOOKUP($B596,[1]Kundenübersicht!$E$4:$BA$1003,MATCH("Hauswirtschaft [€/Stunde]",[1]Kundenübersicht!$E$3:$BA$3,FALSE),FALSE),VLOOKUP($B596,[1]Kundenübersicht!$E$4:$BA$1003,MATCH("Alltagsbegleitung [€/Stunde]",[1]Kundenübersicht!$E$3:$BA$3,FALSE),FALSE)),0),IFERROR(IF(I596="Hauswirtschaft",VLOOKUP($B596,[1]Kundenübersicht!$E$4:$BA$1003,MATCH("HW ab 2026 [€/Stunde]",[1]Kundenübersicht!$E$3:$BA$3,FALSE),FALSE),VLOOKUP($B596,[1]Kundenübersicht!$E$4:$BA$1003,MATCH("Alltagsbegleitung [€/Stunde]",[1]Kundenübersicht!$E$3:$BA$3,FALSE),FALSE)),0))</f>
        <v>38</v>
      </c>
      <c r="V596" s="16">
        <f t="shared" si="145"/>
        <v>56.99999999999995</v>
      </c>
      <c r="W596" s="16">
        <f t="shared" si="139"/>
        <v>6.72</v>
      </c>
      <c r="X596" s="16" t="s">
        <v>89</v>
      </c>
      <c r="Z596" s="20" t="str">
        <f t="shared" si="141"/>
        <v>Nein</v>
      </c>
      <c r="AA596" s="19"/>
      <c r="AC596" s="19"/>
      <c r="AE596" s="9">
        <f t="shared" si="149"/>
        <v>2026</v>
      </c>
      <c r="AF596" s="17" t="str">
        <f t="shared" si="150"/>
        <v>02.2026</v>
      </c>
      <c r="AG596" s="17" t="str">
        <f t="shared" si="151"/>
        <v>Christiane Fiebag</v>
      </c>
      <c r="AH596" s="17" t="str">
        <f>IFERROR(VLOOKUP(B596,[1]Kundenübersicht!$E$4:$F$85,2,FALSE),"")</f>
        <v>Matthias Roß</v>
      </c>
      <c r="AI596" s="17" t="str">
        <f t="shared" si="142"/>
        <v>Hauswirtschaft</v>
      </c>
      <c r="AJ596" s="17" t="str">
        <f t="shared" si="142"/>
        <v>Entlastungsleistung</v>
      </c>
      <c r="AL596" s="18">
        <f t="shared" si="146"/>
        <v>38</v>
      </c>
      <c r="AM596" s="18">
        <f t="shared" si="147"/>
        <v>56.99999999999995</v>
      </c>
      <c r="AN596" s="18">
        <f t="shared" si="148"/>
        <v>6.72</v>
      </c>
    </row>
    <row r="597" spans="1:40" x14ac:dyDescent="0.25">
      <c r="B597" s="30" t="s">
        <v>52</v>
      </c>
      <c r="C597" s="31">
        <v>46071</v>
      </c>
      <c r="D597" s="32">
        <v>0.44791666666666669</v>
      </c>
      <c r="E597" s="32">
        <v>0.53125</v>
      </c>
      <c r="F597" s="12">
        <f t="shared" si="144"/>
        <v>1.9999999999999996</v>
      </c>
      <c r="G597" s="12">
        <v>4.0999999999999996</v>
      </c>
      <c r="H597" s="30" t="s">
        <v>33</v>
      </c>
      <c r="I597" s="30" t="s">
        <v>27</v>
      </c>
      <c r="J597" s="30" t="s">
        <v>28</v>
      </c>
      <c r="K597" s="9" t="str">
        <f>IFERROR(VLOOKUP($B597,[1]Kundenübersicht!$E$4:$AC$1003,MATCH(K$3,[1]Kundenübersicht!$E$3:$BA$3,FALSE),FALSE),"")</f>
        <v>AOK PLUS</v>
      </c>
      <c r="L597" s="13">
        <f>IFERROR(VLOOKUP(B597,[1]Kundenübersicht!$E$4:$AC$1003,MATCH(L$3,[1]Kundenübersicht!$E$3:$BA$3,FALSE),FALSE),"")</f>
        <v>107299005</v>
      </c>
      <c r="M597" s="13" t="str">
        <f>IFERROR(VLOOKUP(B597,[1]Kundenübersicht!$E$4:$AC$1003,MATCH(M$3,[1]Kundenübersicht!$E$3:$BA$3,FALSE),FALSE),"")</f>
        <v>G562042888</v>
      </c>
      <c r="N597" s="13" t="str">
        <f>IFERROR(VLOOKUP(B597,[1]Kundenübersicht!$E$4:$AC$1003,MATCH(N$3,[1]Kundenübersicht!$E$3:$BA$3,FALSE),FALSE),"")</f>
        <v>PG 2</v>
      </c>
      <c r="P597" s="9" t="s">
        <v>29</v>
      </c>
      <c r="R597" s="9" t="str">
        <f t="shared" si="143"/>
        <v>Fehlt</v>
      </c>
      <c r="S597" s="14"/>
      <c r="U597" s="15">
        <f>IF(YEAR(C597)&lt;=2025,IFERROR(IF(I597="Hauswirtschaft",VLOOKUP($B597,[1]Kundenübersicht!$E$4:$BA$1003,MATCH("Hauswirtschaft [€/Stunde]",[1]Kundenübersicht!$E$3:$BA$3,FALSE),FALSE),VLOOKUP($B597,[1]Kundenübersicht!$E$4:$BA$1003,MATCH("Alltagsbegleitung [€/Stunde]",[1]Kundenübersicht!$E$3:$BA$3,FALSE),FALSE)),0),IFERROR(IF(I597="Hauswirtschaft",VLOOKUP($B597,[1]Kundenübersicht!$E$4:$BA$1003,MATCH("HW ab 2026 [€/Stunde]",[1]Kundenübersicht!$E$3:$BA$3,FALSE),FALSE),VLOOKUP($B597,[1]Kundenübersicht!$E$4:$BA$1003,MATCH("Alltagsbegleitung [€/Stunde]",[1]Kundenübersicht!$E$3:$BA$3,FALSE),FALSE)),0))</f>
        <v>38</v>
      </c>
      <c r="V597" s="16">
        <f t="shared" si="145"/>
        <v>75.999999999999986</v>
      </c>
      <c r="W597" s="16">
        <f t="shared" si="139"/>
        <v>1.4349999999999998</v>
      </c>
      <c r="X597" s="16" t="s">
        <v>89</v>
      </c>
      <c r="Z597" s="20" t="str">
        <f t="shared" si="141"/>
        <v>Nein</v>
      </c>
      <c r="AA597" s="19"/>
      <c r="AC597" s="19"/>
      <c r="AE597" s="9">
        <f t="shared" si="149"/>
        <v>2026</v>
      </c>
      <c r="AF597" s="17" t="str">
        <f t="shared" si="150"/>
        <v>02.2026</v>
      </c>
      <c r="AG597" s="17" t="str">
        <f t="shared" si="151"/>
        <v>Christiane Fiebag</v>
      </c>
      <c r="AH597" s="17" t="str">
        <f>IFERROR(VLOOKUP(B597,[1]Kundenübersicht!$E$4:$F$85,2,FALSE),"")</f>
        <v>Matthias Roß</v>
      </c>
      <c r="AI597" s="17" t="str">
        <f t="shared" si="142"/>
        <v>Hauswirtschaft</v>
      </c>
      <c r="AJ597" s="17" t="str">
        <f t="shared" si="142"/>
        <v>Entlastungsleistung</v>
      </c>
      <c r="AL597" s="18">
        <f t="shared" si="146"/>
        <v>38</v>
      </c>
      <c r="AM597" s="18">
        <f t="shared" si="147"/>
        <v>75.999999999999986</v>
      </c>
      <c r="AN597" s="18">
        <f t="shared" si="148"/>
        <v>1.4349999999999998</v>
      </c>
    </row>
    <row r="598" spans="1:40" x14ac:dyDescent="0.25">
      <c r="B598" s="30" t="s">
        <v>52</v>
      </c>
      <c r="C598" s="31">
        <v>46077</v>
      </c>
      <c r="D598" s="32">
        <v>0.33333333333333331</v>
      </c>
      <c r="E598" s="32">
        <v>0.375</v>
      </c>
      <c r="F598" s="12">
        <f t="shared" si="144"/>
        <v>1.0000000000000004</v>
      </c>
      <c r="G598" s="12">
        <v>2</v>
      </c>
      <c r="H598" s="30" t="s">
        <v>33</v>
      </c>
      <c r="I598" s="30" t="s">
        <v>27</v>
      </c>
      <c r="J598" s="30" t="s">
        <v>28</v>
      </c>
      <c r="K598" s="9" t="str">
        <f>IFERROR(VLOOKUP($B598,[1]Kundenübersicht!$E$4:$AC$1003,MATCH(K$3,[1]Kundenübersicht!$E$3:$BA$3,FALSE),FALSE),"")</f>
        <v>AOK PLUS</v>
      </c>
      <c r="L598" s="13">
        <f>IFERROR(VLOOKUP(B598,[1]Kundenübersicht!$E$4:$AC$1003,MATCH(L$3,[1]Kundenübersicht!$E$3:$BA$3,FALSE),FALSE),"")</f>
        <v>107299005</v>
      </c>
      <c r="M598" s="13" t="str">
        <f>IFERROR(VLOOKUP(B598,[1]Kundenübersicht!$E$4:$AC$1003,MATCH(M$3,[1]Kundenübersicht!$E$3:$BA$3,FALSE),FALSE),"")</f>
        <v>G562042888</v>
      </c>
      <c r="N598" s="13" t="str">
        <f>IFERROR(VLOOKUP(B598,[1]Kundenübersicht!$E$4:$AC$1003,MATCH(N$3,[1]Kundenübersicht!$E$3:$BA$3,FALSE),FALSE),"")</f>
        <v>PG 2</v>
      </c>
      <c r="P598" s="9" t="s">
        <v>29</v>
      </c>
      <c r="R598" s="9" t="str">
        <f t="shared" si="143"/>
        <v>Fehlt</v>
      </c>
      <c r="S598" s="14"/>
      <c r="U598" s="15">
        <f>IF(YEAR(C598)&lt;=2025,IFERROR(IF(I598="Hauswirtschaft",VLOOKUP($B598,[1]Kundenübersicht!$E$4:$BA$1003,MATCH("Hauswirtschaft [€/Stunde]",[1]Kundenübersicht!$E$3:$BA$3,FALSE),FALSE),VLOOKUP($B598,[1]Kundenübersicht!$E$4:$BA$1003,MATCH("Alltagsbegleitung [€/Stunde]",[1]Kundenübersicht!$E$3:$BA$3,FALSE),FALSE)),0),IFERROR(IF(I598="Hauswirtschaft",VLOOKUP($B598,[1]Kundenübersicht!$E$4:$BA$1003,MATCH("HW ab 2026 [€/Stunde]",[1]Kundenübersicht!$E$3:$BA$3,FALSE),FALSE),VLOOKUP($B598,[1]Kundenübersicht!$E$4:$BA$1003,MATCH("Alltagsbegleitung [€/Stunde]",[1]Kundenübersicht!$E$3:$BA$3,FALSE),FALSE)),0))</f>
        <v>38</v>
      </c>
      <c r="V598" s="16">
        <f t="shared" si="145"/>
        <v>38.000000000000014</v>
      </c>
      <c r="W598" s="16">
        <f t="shared" si="139"/>
        <v>0.7</v>
      </c>
      <c r="X598" s="16" t="s">
        <v>89</v>
      </c>
      <c r="Z598" s="20" t="str">
        <f t="shared" si="141"/>
        <v>Nein</v>
      </c>
      <c r="AA598" s="19"/>
      <c r="AC598" s="19"/>
      <c r="AE598" s="9">
        <f t="shared" si="149"/>
        <v>2026</v>
      </c>
      <c r="AF598" s="17" t="str">
        <f t="shared" si="150"/>
        <v>02.2026</v>
      </c>
      <c r="AG598" s="17" t="str">
        <f t="shared" si="151"/>
        <v>Christiane Fiebag</v>
      </c>
      <c r="AH598" s="17" t="str">
        <f>IFERROR(VLOOKUP(B598,[1]Kundenübersicht!$E$4:$F$85,2,FALSE),"")</f>
        <v>Matthias Roß</v>
      </c>
      <c r="AI598" s="17" t="str">
        <f t="shared" si="142"/>
        <v>Hauswirtschaft</v>
      </c>
      <c r="AJ598" s="17" t="str">
        <f t="shared" si="142"/>
        <v>Entlastungsleistung</v>
      </c>
      <c r="AL598" s="18">
        <f t="shared" si="146"/>
        <v>38</v>
      </c>
      <c r="AM598" s="18">
        <f t="shared" si="147"/>
        <v>38.000000000000014</v>
      </c>
      <c r="AN598" s="18">
        <f t="shared" si="148"/>
        <v>0.7</v>
      </c>
    </row>
    <row r="599" spans="1:40" x14ac:dyDescent="0.25">
      <c r="B599" s="30" t="s">
        <v>83</v>
      </c>
      <c r="C599" s="31">
        <v>46077</v>
      </c>
      <c r="D599" s="32">
        <v>0.59375</v>
      </c>
      <c r="E599" s="32">
        <v>0.66666666666666663</v>
      </c>
      <c r="F599" s="12">
        <f t="shared" si="144"/>
        <v>1.7499999999999991</v>
      </c>
      <c r="G599" s="12">
        <v>27.8</v>
      </c>
      <c r="H599" s="30" t="s">
        <v>33</v>
      </c>
      <c r="I599" s="30" t="s">
        <v>41</v>
      </c>
      <c r="J599" s="30" t="s">
        <v>28</v>
      </c>
      <c r="K599" s="9" t="str">
        <f>IFERROR(VLOOKUP($B599,[1]Kundenübersicht!$E$4:$AC$1003,MATCH(K$3,[1]Kundenübersicht!$E$3:$BA$3,FALSE),FALSE),"")</f>
        <v>AOK PLUS</v>
      </c>
      <c r="L599" s="13">
        <f>IFERROR(VLOOKUP(B599,[1]Kundenübersicht!$E$4:$AC$1003,MATCH(L$3,[1]Kundenübersicht!$E$3:$BA$3,FALSE),FALSE),"")</f>
        <v>107299005</v>
      </c>
      <c r="M599" s="13" t="str">
        <f>IFERROR(VLOOKUP(B599,[1]Kundenübersicht!$E$4:$AC$1003,MATCH(M$3,[1]Kundenübersicht!$E$3:$BA$3,FALSE),FALSE),"")</f>
        <v>E575057323</v>
      </c>
      <c r="N599" s="13" t="str">
        <f>IFERROR(VLOOKUP(B599,[1]Kundenübersicht!$E$4:$AC$1003,MATCH(N$3,[1]Kundenübersicht!$E$3:$BA$3,FALSE),FALSE),"")</f>
        <v>PG 1</v>
      </c>
      <c r="P599" s="9" t="s">
        <v>29</v>
      </c>
      <c r="R599" s="9" t="str">
        <f t="shared" si="143"/>
        <v>Fehlt</v>
      </c>
      <c r="S599" s="14"/>
      <c r="U599" s="15">
        <f>IF(YEAR(C599)&lt;=2025,IFERROR(IF(I599="Hauswirtschaft",VLOOKUP($B599,[1]Kundenübersicht!$E$4:$BA$1003,MATCH("Hauswirtschaft [€/Stunde]",[1]Kundenübersicht!$E$3:$BA$3,FALSE),FALSE),VLOOKUP($B599,[1]Kundenübersicht!$E$4:$BA$1003,MATCH("Alltagsbegleitung [€/Stunde]",[1]Kundenübersicht!$E$3:$BA$3,FALSE),FALSE)),0),IFERROR(IF(I599="Hauswirtschaft",VLOOKUP($B599,[1]Kundenübersicht!$E$4:$BA$1003,MATCH("HW ab 2026 [€/Stunde]",[1]Kundenübersicht!$E$3:$BA$3,FALSE),FALSE),VLOOKUP($B599,[1]Kundenübersicht!$E$4:$BA$1003,MATCH("Alltagsbegleitung [€/Stunde]",[1]Kundenübersicht!$E$3:$BA$3,FALSE),FALSE)),0))</f>
        <v>42</v>
      </c>
      <c r="V599" s="16">
        <f t="shared" si="145"/>
        <v>73.499999999999957</v>
      </c>
      <c r="W599" s="16">
        <f t="shared" si="139"/>
        <v>9.73</v>
      </c>
      <c r="X599" s="16" t="s">
        <v>89</v>
      </c>
      <c r="Z599" s="20" t="str">
        <f t="shared" si="141"/>
        <v>Nein</v>
      </c>
      <c r="AA599" s="19"/>
      <c r="AC599" s="19"/>
      <c r="AE599" s="9">
        <f t="shared" si="149"/>
        <v>2026</v>
      </c>
      <c r="AF599" s="17" t="str">
        <f t="shared" si="150"/>
        <v>02.2026</v>
      </c>
      <c r="AG599" s="17" t="str">
        <f t="shared" si="151"/>
        <v>Christiane Fiebag</v>
      </c>
      <c r="AH599" s="17" t="str">
        <f>IFERROR(VLOOKUP(B599,[1]Kundenübersicht!$E$4:$F$85,2,FALSE),"")</f>
        <v>Reinhard Neiser</v>
      </c>
      <c r="AI599" s="17" t="str">
        <f t="shared" si="142"/>
        <v>Alltagsbegleitung</v>
      </c>
      <c r="AJ599" s="17" t="str">
        <f t="shared" si="142"/>
        <v>Entlastungsleistung</v>
      </c>
      <c r="AL599" s="18">
        <f t="shared" si="146"/>
        <v>42</v>
      </c>
      <c r="AM599" s="18">
        <f t="shared" si="147"/>
        <v>73.499999999999957</v>
      </c>
      <c r="AN599" s="18">
        <f t="shared" si="148"/>
        <v>9.73</v>
      </c>
    </row>
    <row r="600" spans="1:40" x14ac:dyDescent="0.25">
      <c r="B600" s="30" t="s">
        <v>82</v>
      </c>
      <c r="C600" s="31">
        <v>46072</v>
      </c>
      <c r="D600" s="32">
        <v>0.30208333333333331</v>
      </c>
      <c r="E600" s="32">
        <v>0.33333333333333331</v>
      </c>
      <c r="F600" s="12">
        <f t="shared" si="144"/>
        <v>0.75</v>
      </c>
      <c r="G600" s="12">
        <v>18.3</v>
      </c>
      <c r="H600" s="30" t="s">
        <v>33</v>
      </c>
      <c r="I600" s="30" t="s">
        <v>41</v>
      </c>
      <c r="J600" s="30" t="s">
        <v>28</v>
      </c>
      <c r="K600" s="9" t="str">
        <f>IFERROR(VLOOKUP($B600,[1]Kundenübersicht!$E$4:$AC$1003,MATCH(K$3,[1]Kundenübersicht!$E$3:$BA$3,FALSE),FALSE),"")</f>
        <v>IKK Classic</v>
      </c>
      <c r="L600" s="13">
        <f>IFERROR(VLOOKUP(B600,[1]Kundenübersicht!$E$4:$AC$1003,MATCH(L$3,[1]Kundenübersicht!$E$3:$BA$3,FALSE),FALSE),"")</f>
        <v>187202793</v>
      </c>
      <c r="M600" s="13" t="str">
        <f>IFERROR(VLOOKUP(B600,[1]Kundenübersicht!$E$4:$AC$1003,MATCH(M$3,[1]Kundenübersicht!$E$3:$BA$3,FALSE),FALSE),"")</f>
        <v>D546661945</v>
      </c>
      <c r="N600" s="13" t="str">
        <f>IFERROR(VLOOKUP(B600,[1]Kundenübersicht!$E$4:$AC$1003,MATCH(N$3,[1]Kundenübersicht!$E$3:$BA$3,FALSE),FALSE),"")</f>
        <v>PG 1</v>
      </c>
      <c r="P600" s="9" t="s">
        <v>29</v>
      </c>
      <c r="R600" s="9" t="str">
        <f t="shared" si="143"/>
        <v>Fehlt</v>
      </c>
      <c r="S600" s="14"/>
      <c r="U600" s="15">
        <f>IF(YEAR(C600)&lt;=2025,IFERROR(IF(I600="Hauswirtschaft",VLOOKUP($B600,[1]Kundenübersicht!$E$4:$BA$1003,MATCH("Hauswirtschaft [€/Stunde]",[1]Kundenübersicht!$E$3:$BA$3,FALSE),FALSE),VLOOKUP($B600,[1]Kundenübersicht!$E$4:$BA$1003,MATCH("Alltagsbegleitung [€/Stunde]",[1]Kundenübersicht!$E$3:$BA$3,FALSE),FALSE)),0),IFERROR(IF(I600="Hauswirtschaft",VLOOKUP($B600,[1]Kundenübersicht!$E$4:$BA$1003,MATCH("HW ab 2026 [€/Stunde]",[1]Kundenübersicht!$E$3:$BA$3,FALSE),FALSE),VLOOKUP($B600,[1]Kundenübersicht!$E$4:$BA$1003,MATCH("Alltagsbegleitung [€/Stunde]",[1]Kundenübersicht!$E$3:$BA$3,FALSE),FALSE)),0))</f>
        <v>42</v>
      </c>
      <c r="V600" s="16">
        <f t="shared" si="145"/>
        <v>31.5</v>
      </c>
      <c r="W600" s="16">
        <f t="shared" ref="W600:W651" si="152">IF(AND(YEAR(C600)&lt;=2025,X600="Alt"),0,G600*0.35)</f>
        <v>6.4050000000000002</v>
      </c>
      <c r="X600" s="16" t="s">
        <v>89</v>
      </c>
      <c r="Z600" s="20" t="str">
        <f t="shared" si="141"/>
        <v>Nein</v>
      </c>
      <c r="AA600" s="19"/>
      <c r="AC600" s="19"/>
      <c r="AE600" s="9">
        <f t="shared" si="149"/>
        <v>2026</v>
      </c>
      <c r="AF600" s="17" t="str">
        <f t="shared" si="150"/>
        <v>02.2026</v>
      </c>
      <c r="AG600" s="17" t="str">
        <f t="shared" si="151"/>
        <v>Christiane Fiebag</v>
      </c>
      <c r="AH600" s="17" t="str">
        <f>IFERROR(VLOOKUP(B600,[1]Kundenübersicht!$E$4:$F$85,2,FALSE),"")</f>
        <v>Renate Pittag</v>
      </c>
      <c r="AI600" s="17" t="str">
        <f t="shared" si="142"/>
        <v>Alltagsbegleitung</v>
      </c>
      <c r="AJ600" s="17" t="str">
        <f t="shared" si="142"/>
        <v>Entlastungsleistung</v>
      </c>
      <c r="AL600" s="18">
        <f t="shared" si="146"/>
        <v>42</v>
      </c>
      <c r="AM600" s="18">
        <f t="shared" si="147"/>
        <v>31.5</v>
      </c>
      <c r="AN600" s="18">
        <f t="shared" si="148"/>
        <v>6.4050000000000002</v>
      </c>
    </row>
    <row r="601" spans="1:40" x14ac:dyDescent="0.25">
      <c r="B601" s="30" t="s">
        <v>70</v>
      </c>
      <c r="C601" s="31">
        <v>46056</v>
      </c>
      <c r="D601" s="32">
        <v>0.42708333333333331</v>
      </c>
      <c r="E601" s="32">
        <v>0.48958333333333331</v>
      </c>
      <c r="F601" s="12">
        <f t="shared" si="144"/>
        <v>1.5</v>
      </c>
      <c r="G601" s="12">
        <v>11</v>
      </c>
      <c r="H601" s="30" t="s">
        <v>33</v>
      </c>
      <c r="I601" s="30" t="s">
        <v>27</v>
      </c>
      <c r="J601" s="30" t="s">
        <v>28</v>
      </c>
      <c r="K601" s="9" t="str">
        <f>IFERROR(VLOOKUP($B601,[1]Kundenübersicht!$E$4:$AC$1003,MATCH(K$3,[1]Kundenübersicht!$E$3:$BA$3,FALSE),FALSE),"")</f>
        <v>Barmer Pflegekasse</v>
      </c>
      <c r="L601" s="13">
        <f>IFERROR(VLOOKUP(B601,[1]Kundenübersicht!$E$4:$AC$1003,MATCH(L$3,[1]Kundenübersicht!$E$3:$BA$3,FALSE),FALSE),"")</f>
        <v>184940005</v>
      </c>
      <c r="M601" s="13" t="str">
        <f>IFERROR(VLOOKUP(B601,[1]Kundenübersicht!$E$4:$AC$1003,MATCH(M$3,[1]Kundenübersicht!$E$3:$BA$3,FALSE),FALSE),"")</f>
        <v>W255296774</v>
      </c>
      <c r="N601" s="13" t="str">
        <f>IFERROR(VLOOKUP(B601,[1]Kundenübersicht!$E$4:$AC$1003,MATCH(N$3,[1]Kundenübersicht!$E$3:$BA$3,FALSE),FALSE),"")</f>
        <v>PG 1</v>
      </c>
      <c r="P601" s="9" t="s">
        <v>29</v>
      </c>
      <c r="R601" s="9" t="str">
        <f t="shared" si="143"/>
        <v>Fehlt</v>
      </c>
      <c r="S601" s="14"/>
      <c r="U601" s="15">
        <f>IF(YEAR(C601)&lt;=2025,IFERROR(IF(I601="Hauswirtschaft",VLOOKUP($B601,[1]Kundenübersicht!$E$4:$BA$1003,MATCH("Hauswirtschaft [€/Stunde]",[1]Kundenübersicht!$E$3:$BA$3,FALSE),FALSE),VLOOKUP($B601,[1]Kundenübersicht!$E$4:$BA$1003,MATCH("Alltagsbegleitung [€/Stunde]",[1]Kundenübersicht!$E$3:$BA$3,FALSE),FALSE)),0),IFERROR(IF(I601="Hauswirtschaft",VLOOKUP($B601,[1]Kundenübersicht!$E$4:$BA$1003,MATCH("HW ab 2026 [€/Stunde]",[1]Kundenübersicht!$E$3:$BA$3,FALSE),FALSE),VLOOKUP($B601,[1]Kundenübersicht!$E$4:$BA$1003,MATCH("Alltagsbegleitung [€/Stunde]",[1]Kundenübersicht!$E$3:$BA$3,FALSE),FALSE)),0))</f>
        <v>38</v>
      </c>
      <c r="V601" s="16">
        <f t="shared" si="145"/>
        <v>57</v>
      </c>
      <c r="W601" s="16">
        <f t="shared" si="152"/>
        <v>3.8499999999999996</v>
      </c>
      <c r="X601" s="16" t="s">
        <v>89</v>
      </c>
      <c r="Z601" s="20" t="str">
        <f t="shared" si="141"/>
        <v>Nein</v>
      </c>
      <c r="AA601" s="19"/>
      <c r="AC601" s="19"/>
      <c r="AE601" s="9">
        <f t="shared" si="149"/>
        <v>2026</v>
      </c>
      <c r="AF601" s="17" t="str">
        <f t="shared" si="150"/>
        <v>02.2026</v>
      </c>
      <c r="AG601" s="17" t="str">
        <f t="shared" si="151"/>
        <v>Christiane Fiebag</v>
      </c>
      <c r="AH601" s="17" t="str">
        <f>IFERROR(VLOOKUP(B601,[1]Kundenübersicht!$E$4:$F$85,2,FALSE),"")</f>
        <v>Renate Schade</v>
      </c>
      <c r="AI601" s="17" t="str">
        <f t="shared" si="142"/>
        <v>Hauswirtschaft</v>
      </c>
      <c r="AJ601" s="17" t="str">
        <f t="shared" si="142"/>
        <v>Entlastungsleistung</v>
      </c>
      <c r="AL601" s="18">
        <f t="shared" si="146"/>
        <v>38</v>
      </c>
      <c r="AM601" s="18">
        <f t="shared" si="147"/>
        <v>57</v>
      </c>
      <c r="AN601" s="18">
        <f t="shared" si="148"/>
        <v>3.8499999999999996</v>
      </c>
    </row>
    <row r="602" spans="1:40" x14ac:dyDescent="0.25">
      <c r="B602" s="30" t="s">
        <v>70</v>
      </c>
      <c r="C602" s="31">
        <v>46069</v>
      </c>
      <c r="D602" s="32">
        <v>0.36458333333333331</v>
      </c>
      <c r="E602" s="32">
        <v>0.42708333333333331</v>
      </c>
      <c r="F602" s="12">
        <f t="shared" si="144"/>
        <v>1.5</v>
      </c>
      <c r="G602" s="12">
        <v>7.3</v>
      </c>
      <c r="H602" s="30" t="s">
        <v>33</v>
      </c>
      <c r="I602" s="30" t="s">
        <v>27</v>
      </c>
      <c r="J602" s="30" t="s">
        <v>28</v>
      </c>
      <c r="K602" s="9" t="str">
        <f>IFERROR(VLOOKUP($B602,[1]Kundenübersicht!$E$4:$AC$1003,MATCH(K$3,[1]Kundenübersicht!$E$3:$BA$3,FALSE),FALSE),"")</f>
        <v>Barmer Pflegekasse</v>
      </c>
      <c r="L602" s="13">
        <f>IFERROR(VLOOKUP(B602,[1]Kundenübersicht!$E$4:$AC$1003,MATCH(L$3,[1]Kundenübersicht!$E$3:$BA$3,FALSE),FALSE),"")</f>
        <v>184940005</v>
      </c>
      <c r="M602" s="13" t="str">
        <f>IFERROR(VLOOKUP(B602,[1]Kundenübersicht!$E$4:$AC$1003,MATCH(M$3,[1]Kundenübersicht!$E$3:$BA$3,FALSE),FALSE),"")</f>
        <v>W255296774</v>
      </c>
      <c r="N602" s="13" t="str">
        <f>IFERROR(VLOOKUP(B602,[1]Kundenübersicht!$E$4:$AC$1003,MATCH(N$3,[1]Kundenübersicht!$E$3:$BA$3,FALSE),FALSE),"")</f>
        <v>PG 1</v>
      </c>
      <c r="P602" s="9" t="s">
        <v>29</v>
      </c>
      <c r="R602" s="9" t="str">
        <f t="shared" si="143"/>
        <v>Fehlt</v>
      </c>
      <c r="S602" s="14"/>
      <c r="U602" s="15">
        <f>IF(YEAR(C602)&lt;=2025,IFERROR(IF(I602="Hauswirtschaft",VLOOKUP($B602,[1]Kundenübersicht!$E$4:$BA$1003,MATCH("Hauswirtschaft [€/Stunde]",[1]Kundenübersicht!$E$3:$BA$3,FALSE),FALSE),VLOOKUP($B602,[1]Kundenübersicht!$E$4:$BA$1003,MATCH("Alltagsbegleitung [€/Stunde]",[1]Kundenübersicht!$E$3:$BA$3,FALSE),FALSE)),0),IFERROR(IF(I602="Hauswirtschaft",VLOOKUP($B602,[1]Kundenübersicht!$E$4:$BA$1003,MATCH("HW ab 2026 [€/Stunde]",[1]Kundenübersicht!$E$3:$BA$3,FALSE),FALSE),VLOOKUP($B602,[1]Kundenübersicht!$E$4:$BA$1003,MATCH("Alltagsbegleitung [€/Stunde]",[1]Kundenübersicht!$E$3:$BA$3,FALSE),FALSE)),0))</f>
        <v>38</v>
      </c>
      <c r="V602" s="16">
        <f t="shared" si="145"/>
        <v>57</v>
      </c>
      <c r="W602" s="16">
        <f t="shared" si="152"/>
        <v>2.5549999999999997</v>
      </c>
      <c r="X602" s="16" t="s">
        <v>89</v>
      </c>
      <c r="Z602" s="20" t="str">
        <f t="shared" si="141"/>
        <v>Nein</v>
      </c>
      <c r="AA602" s="19"/>
      <c r="AC602" s="19"/>
      <c r="AE602" s="9">
        <f t="shared" si="149"/>
        <v>2026</v>
      </c>
      <c r="AF602" s="17" t="str">
        <f t="shared" si="150"/>
        <v>02.2026</v>
      </c>
      <c r="AG602" s="17" t="str">
        <f t="shared" si="151"/>
        <v>Christiane Fiebag</v>
      </c>
      <c r="AH602" s="17" t="str">
        <f>IFERROR(VLOOKUP(B602,[1]Kundenübersicht!$E$4:$F$85,2,FALSE),"")</f>
        <v>Renate Schade</v>
      </c>
      <c r="AI602" s="17" t="str">
        <f t="shared" si="142"/>
        <v>Hauswirtschaft</v>
      </c>
      <c r="AJ602" s="17" t="str">
        <f t="shared" si="142"/>
        <v>Entlastungsleistung</v>
      </c>
      <c r="AL602" s="18">
        <f t="shared" si="146"/>
        <v>38</v>
      </c>
      <c r="AM602" s="18">
        <f t="shared" si="147"/>
        <v>57</v>
      </c>
      <c r="AN602" s="18">
        <f t="shared" si="148"/>
        <v>2.5549999999999997</v>
      </c>
    </row>
    <row r="603" spans="1:40" x14ac:dyDescent="0.25">
      <c r="B603" s="30" t="s">
        <v>25</v>
      </c>
      <c r="C603" s="31">
        <v>46062</v>
      </c>
      <c r="D603" s="32">
        <v>0.5625</v>
      </c>
      <c r="E603" s="32">
        <v>0.625</v>
      </c>
      <c r="F603" s="12">
        <f t="shared" si="144"/>
        <v>1.5</v>
      </c>
      <c r="G603" s="12">
        <v>15</v>
      </c>
      <c r="H603" s="30" t="s">
        <v>85</v>
      </c>
      <c r="I603" s="30" t="s">
        <v>41</v>
      </c>
      <c r="J603" s="30" t="s">
        <v>28</v>
      </c>
      <c r="K603" s="9" t="str">
        <f>IFERROR(VLOOKUP($B603,[1]Kundenübersicht!$E$4:$AC$1003,MATCH(K$3,[1]Kundenübersicht!$E$3:$BA$3,FALSE),FALSE),"")</f>
        <v>Barmer Pflegekasse</v>
      </c>
      <c r="L603" s="13">
        <f>IFERROR(VLOOKUP(B603,[1]Kundenübersicht!$E$4:$AC$1003,MATCH(L$3,[1]Kundenübersicht!$E$3:$BA$3,FALSE),FALSE),"")</f>
        <v>184940005</v>
      </c>
      <c r="M603" s="13" t="str">
        <f>IFERROR(VLOOKUP(B603,[1]Kundenübersicht!$E$4:$AC$1003,MATCH(M$3,[1]Kundenübersicht!$E$3:$BA$3,FALSE),FALSE),"")</f>
        <v>Z817157321</v>
      </c>
      <c r="N603" s="13" t="str">
        <f>IFERROR(VLOOKUP(B603,[1]Kundenübersicht!$E$4:$AC$1003,MATCH(N$3,[1]Kundenübersicht!$E$3:$BA$3,FALSE),FALSE),"")</f>
        <v>PG 1</v>
      </c>
      <c r="P603" s="9" t="s">
        <v>29</v>
      </c>
      <c r="R603" s="9" t="str">
        <f t="shared" si="143"/>
        <v>Fehlt</v>
      </c>
      <c r="S603" s="14"/>
      <c r="U603" s="15">
        <f>IF(YEAR(C603)&lt;=2025,IFERROR(IF(I603="Hauswirtschaft",VLOOKUP($B603,[1]Kundenübersicht!$E$4:$BA$1003,MATCH("Hauswirtschaft [€/Stunde]",[1]Kundenübersicht!$E$3:$BA$3,FALSE),FALSE),VLOOKUP($B603,[1]Kundenübersicht!$E$4:$BA$1003,MATCH("Alltagsbegleitung [€/Stunde]",[1]Kundenübersicht!$E$3:$BA$3,FALSE),FALSE)),0),IFERROR(IF(I603="Hauswirtschaft",VLOOKUP($B603,[1]Kundenübersicht!$E$4:$BA$1003,MATCH("HW ab 2026 [€/Stunde]",[1]Kundenübersicht!$E$3:$BA$3,FALSE),FALSE),VLOOKUP($B603,[1]Kundenübersicht!$E$4:$BA$1003,MATCH("Alltagsbegleitung [€/Stunde]",[1]Kundenübersicht!$E$3:$BA$3,FALSE),FALSE)),0))</f>
        <v>42</v>
      </c>
      <c r="V603" s="16">
        <f t="shared" si="145"/>
        <v>63</v>
      </c>
      <c r="W603" s="16">
        <f t="shared" si="152"/>
        <v>5.25</v>
      </c>
      <c r="X603" s="16" t="s">
        <v>89</v>
      </c>
      <c r="Z603" s="20" t="str">
        <f t="shared" si="141"/>
        <v>Nein</v>
      </c>
      <c r="AA603" s="19"/>
      <c r="AC603" s="19"/>
      <c r="AE603" s="9">
        <f t="shared" si="149"/>
        <v>2026</v>
      </c>
      <c r="AF603" s="17" t="str">
        <f t="shared" si="150"/>
        <v>02.2026</v>
      </c>
      <c r="AG603" s="17" t="str">
        <f t="shared" si="151"/>
        <v>Naji El Ali</v>
      </c>
      <c r="AH603" s="17" t="str">
        <f>IFERROR(VLOOKUP(B603,[1]Kundenübersicht!$E$4:$F$85,2,FALSE),"")</f>
        <v>Rosemarie Schröder</v>
      </c>
      <c r="AI603" s="17" t="str">
        <f t="shared" si="142"/>
        <v>Alltagsbegleitung</v>
      </c>
      <c r="AJ603" s="17" t="str">
        <f t="shared" si="142"/>
        <v>Entlastungsleistung</v>
      </c>
      <c r="AL603" s="18">
        <f t="shared" si="146"/>
        <v>42</v>
      </c>
      <c r="AM603" s="18">
        <f t="shared" si="147"/>
        <v>63</v>
      </c>
      <c r="AN603" s="18">
        <f t="shared" si="148"/>
        <v>5.25</v>
      </c>
    </row>
    <row r="604" spans="1:40" x14ac:dyDescent="0.25">
      <c r="B604" s="30" t="s">
        <v>110</v>
      </c>
      <c r="C604" s="31">
        <v>46079</v>
      </c>
      <c r="D604" s="32">
        <v>0.48958333333333331</v>
      </c>
      <c r="E604" s="32">
        <v>0.54166666666666663</v>
      </c>
      <c r="F604" s="12">
        <f t="shared" si="144"/>
        <v>1.2499999999999996</v>
      </c>
      <c r="G604" s="12">
        <v>21.8</v>
      </c>
      <c r="H604" s="30" t="s">
        <v>111</v>
      </c>
      <c r="I604" s="30" t="s">
        <v>41</v>
      </c>
      <c r="J604" s="30" t="s">
        <v>28</v>
      </c>
      <c r="K604" s="9" t="str">
        <f>IFERROR(VLOOKUP($B604,[1]Kundenübersicht!$E$4:$AC$1003,MATCH(K$3,[1]Kundenübersicht!$E$3:$BA$3,FALSE),FALSE),"")</f>
        <v>AOK PLUS</v>
      </c>
      <c r="L604" s="13">
        <f>IFERROR(VLOOKUP(B604,[1]Kundenübersicht!$E$4:$AC$1003,MATCH(L$3,[1]Kundenübersicht!$E$3:$BA$3,FALSE),FALSE),"")</f>
        <v>107299005</v>
      </c>
      <c r="M604" s="13" t="str">
        <f>IFERROR(VLOOKUP(B604,[1]Kundenübersicht!$E$4:$AC$1003,MATCH(M$3,[1]Kundenübersicht!$E$3:$BA$3,FALSE),FALSE),"")</f>
        <v>R426357628</v>
      </c>
      <c r="N604" s="13" t="str">
        <f>IFERROR(VLOOKUP(B604,[1]Kundenübersicht!$E$4:$AC$1003,MATCH(N$3,[1]Kundenübersicht!$E$3:$BA$3,FALSE),FALSE),"")</f>
        <v>PG 5</v>
      </c>
      <c r="P604" s="9" t="s">
        <v>29</v>
      </c>
      <c r="R604" s="9" t="str">
        <f t="shared" si="143"/>
        <v>Fehlt</v>
      </c>
      <c r="S604" s="14"/>
      <c r="U604" s="15">
        <f>IF(YEAR(C604)&lt;=2025,IFERROR(IF(I604="Hauswirtschaft",VLOOKUP($B604,[1]Kundenübersicht!$E$4:$BA$1003,MATCH("Hauswirtschaft [€/Stunde]",[1]Kundenübersicht!$E$3:$BA$3,FALSE),FALSE),VLOOKUP($B604,[1]Kundenübersicht!$E$4:$BA$1003,MATCH("Alltagsbegleitung [€/Stunde]",[1]Kundenübersicht!$E$3:$BA$3,FALSE),FALSE)),0),IFERROR(IF(I604="Hauswirtschaft",VLOOKUP($B604,[1]Kundenübersicht!$E$4:$BA$1003,MATCH("HW ab 2026 [€/Stunde]",[1]Kundenübersicht!$E$3:$BA$3,FALSE),FALSE),VLOOKUP($B604,[1]Kundenübersicht!$E$4:$BA$1003,MATCH("Alltagsbegleitung [€/Stunde]",[1]Kundenübersicht!$E$3:$BA$3,FALSE),FALSE)),0))</f>
        <v>42</v>
      </c>
      <c r="V604" s="16">
        <f t="shared" si="145"/>
        <v>52.499999999999979</v>
      </c>
      <c r="W604" s="16">
        <f t="shared" si="152"/>
        <v>7.63</v>
      </c>
      <c r="X604" s="16" t="s">
        <v>89</v>
      </c>
      <c r="Z604" s="20" t="str">
        <f t="shared" si="141"/>
        <v>Nein</v>
      </c>
      <c r="AA604" s="19"/>
      <c r="AC604" s="19"/>
      <c r="AE604" s="9">
        <f t="shared" si="149"/>
        <v>2026</v>
      </c>
      <c r="AF604" s="17" t="str">
        <f t="shared" si="150"/>
        <v>02.2026</v>
      </c>
      <c r="AG604" s="17" t="str">
        <f t="shared" si="151"/>
        <v>Marcel Fiebag</v>
      </c>
      <c r="AH604" s="17" t="str">
        <f>IFERROR(VLOOKUP(B604,[1]Kundenübersicht!$E$4:$F$85,2,FALSE),"")</f>
        <v>Rosali Demirer</v>
      </c>
      <c r="AI604" s="17" t="str">
        <f t="shared" si="142"/>
        <v>Alltagsbegleitung</v>
      </c>
      <c r="AJ604" s="17" t="str">
        <f t="shared" si="142"/>
        <v>Entlastungsleistung</v>
      </c>
      <c r="AL604" s="18">
        <f t="shared" si="146"/>
        <v>42</v>
      </c>
      <c r="AM604" s="18">
        <f t="shared" si="147"/>
        <v>52.499999999999979</v>
      </c>
      <c r="AN604" s="18">
        <f t="shared" si="148"/>
        <v>7.63</v>
      </c>
    </row>
    <row r="605" spans="1:40" x14ac:dyDescent="0.25">
      <c r="A605" s="39"/>
      <c r="B605" s="30" t="s">
        <v>101</v>
      </c>
      <c r="C605" s="31">
        <v>46056</v>
      </c>
      <c r="D605" s="32">
        <v>0.64583333333333337</v>
      </c>
      <c r="E605" s="32">
        <v>0.77083333333333337</v>
      </c>
      <c r="F605" s="12">
        <f t="shared" si="144"/>
        <v>3</v>
      </c>
      <c r="G605" s="12">
        <v>3</v>
      </c>
      <c r="H605" s="30" t="s">
        <v>102</v>
      </c>
      <c r="I605" s="30" t="s">
        <v>41</v>
      </c>
      <c r="J605" s="30" t="s">
        <v>28</v>
      </c>
      <c r="K605" s="9" t="str">
        <f>IFERROR(VLOOKUP($B605,[1]Kundenübersicht!$E$4:$AC$1003,MATCH(K$3,[1]Kundenübersicht!$E$3:$BA$3,FALSE),FALSE),"")</f>
        <v>AOK PLUS</v>
      </c>
      <c r="L605" s="13">
        <f>IFERROR(VLOOKUP(B605,[1]Kundenübersicht!$E$4:$AC$1003,MATCH(L$3,[1]Kundenübersicht!$E$3:$BA$3,FALSE),FALSE),"")</f>
        <v>107299005</v>
      </c>
      <c r="M605" s="13" t="str">
        <f>IFERROR(VLOOKUP(B605,[1]Kundenübersicht!$E$4:$AC$1003,MATCH(M$3,[1]Kundenübersicht!$E$3:$BA$3,FALSE),FALSE),"")</f>
        <v>L753069203</v>
      </c>
      <c r="N605" s="13" t="str">
        <f>IFERROR(VLOOKUP(B605,[1]Kundenübersicht!$E$4:$AC$1003,MATCH(N$3,[1]Kundenübersicht!$E$3:$BA$3,FALSE),FALSE),"")</f>
        <v>PG 3</v>
      </c>
      <c r="P605" s="9" t="s">
        <v>29</v>
      </c>
      <c r="R605" s="9" t="str">
        <f t="shared" si="143"/>
        <v>Fehlt</v>
      </c>
      <c r="S605" s="14"/>
      <c r="U605" s="15">
        <f>IF(YEAR(C605)&lt;=2025,IFERROR(IF(I605="Hauswirtschaft",VLOOKUP($B605,[1]Kundenübersicht!$E$4:$BA$1003,MATCH("Hauswirtschaft [€/Stunde]",[1]Kundenübersicht!$E$3:$BA$3,FALSE),FALSE),VLOOKUP($B605,[1]Kundenübersicht!$E$4:$BA$1003,MATCH("Alltagsbegleitung [€/Stunde]",[1]Kundenübersicht!$E$3:$BA$3,FALSE),FALSE)),0),IFERROR(IF(I605="Hauswirtschaft",VLOOKUP($B605,[1]Kundenübersicht!$E$4:$BA$1003,MATCH("HW ab 2026 [€/Stunde]",[1]Kundenübersicht!$E$3:$BA$3,FALSE),FALSE),VLOOKUP($B605,[1]Kundenübersicht!$E$4:$BA$1003,MATCH("Alltagsbegleitung [€/Stunde]",[1]Kundenübersicht!$E$3:$BA$3,FALSE),FALSE)),0))</f>
        <v>42</v>
      </c>
      <c r="V605" s="16">
        <f t="shared" si="145"/>
        <v>126</v>
      </c>
      <c r="W605" s="16">
        <f t="shared" si="152"/>
        <v>1.0499999999999998</v>
      </c>
      <c r="X605" s="16" t="s">
        <v>89</v>
      </c>
      <c r="Z605" s="20" t="str">
        <f t="shared" si="141"/>
        <v>Nein</v>
      </c>
      <c r="AA605" s="19"/>
      <c r="AC605" s="19"/>
      <c r="AE605" s="9">
        <f t="shared" si="149"/>
        <v>2026</v>
      </c>
      <c r="AF605" s="17" t="str">
        <f t="shared" si="150"/>
        <v>02.2026</v>
      </c>
      <c r="AG605" s="17" t="str">
        <f t="shared" si="151"/>
        <v>Monique Geitner</v>
      </c>
      <c r="AH605" s="17" t="str">
        <f>IFERROR(VLOOKUP(B605,[1]Kundenübersicht!$E$4:$F$85,2,FALSE),"")</f>
        <v>Linda Döring</v>
      </c>
      <c r="AI605" s="17" t="str">
        <f t="shared" si="142"/>
        <v>Alltagsbegleitung</v>
      </c>
      <c r="AJ605" s="17" t="str">
        <f t="shared" si="142"/>
        <v>Entlastungsleistung</v>
      </c>
      <c r="AL605" s="18">
        <f t="shared" si="146"/>
        <v>42</v>
      </c>
      <c r="AM605" s="18">
        <f t="shared" si="147"/>
        <v>126</v>
      </c>
      <c r="AN605" s="18">
        <f t="shared" si="148"/>
        <v>1.0499999999999998</v>
      </c>
    </row>
    <row r="606" spans="1:40" x14ac:dyDescent="0.25">
      <c r="A606" s="39"/>
      <c r="B606" s="30" t="s">
        <v>101</v>
      </c>
      <c r="C606" s="31">
        <v>46059</v>
      </c>
      <c r="D606" s="32">
        <v>0.66666666666666663</v>
      </c>
      <c r="E606" s="32">
        <v>0.79166666666666663</v>
      </c>
      <c r="F606" s="12">
        <f t="shared" si="144"/>
        <v>3</v>
      </c>
      <c r="G606" s="12">
        <v>3</v>
      </c>
      <c r="H606" s="30" t="s">
        <v>102</v>
      </c>
      <c r="I606" s="30" t="s">
        <v>41</v>
      </c>
      <c r="J606" s="30" t="s">
        <v>28</v>
      </c>
      <c r="K606" s="9" t="str">
        <f>IFERROR(VLOOKUP($B606,[1]Kundenübersicht!$E$4:$AC$1003,MATCH(K$3,[1]Kundenübersicht!$E$3:$BA$3,FALSE),FALSE),"")</f>
        <v>AOK PLUS</v>
      </c>
      <c r="L606" s="13">
        <f>IFERROR(VLOOKUP(B606,[1]Kundenübersicht!$E$4:$AC$1003,MATCH(L$3,[1]Kundenübersicht!$E$3:$BA$3,FALSE),FALSE),"")</f>
        <v>107299005</v>
      </c>
      <c r="M606" s="13" t="str">
        <f>IFERROR(VLOOKUP(B606,[1]Kundenübersicht!$E$4:$AC$1003,MATCH(M$3,[1]Kundenübersicht!$E$3:$BA$3,FALSE),FALSE),"")</f>
        <v>L753069203</v>
      </c>
      <c r="N606" s="13" t="str">
        <f>IFERROR(VLOOKUP(B606,[1]Kundenübersicht!$E$4:$AC$1003,MATCH(N$3,[1]Kundenübersicht!$E$3:$BA$3,FALSE),FALSE),"")</f>
        <v>PG 3</v>
      </c>
      <c r="P606" s="9" t="s">
        <v>29</v>
      </c>
      <c r="R606" s="9" t="str">
        <f t="shared" si="143"/>
        <v>Fehlt</v>
      </c>
      <c r="S606" s="14"/>
      <c r="U606" s="15">
        <f>IF(YEAR(C606)&lt;=2025,IFERROR(IF(I606="Hauswirtschaft",VLOOKUP($B606,[1]Kundenübersicht!$E$4:$BA$1003,MATCH("Hauswirtschaft [€/Stunde]",[1]Kundenübersicht!$E$3:$BA$3,FALSE),FALSE),VLOOKUP($B606,[1]Kundenübersicht!$E$4:$BA$1003,MATCH("Alltagsbegleitung [€/Stunde]",[1]Kundenübersicht!$E$3:$BA$3,FALSE),FALSE)),0),IFERROR(IF(I606="Hauswirtschaft",VLOOKUP($B606,[1]Kundenübersicht!$E$4:$BA$1003,MATCH("HW ab 2026 [€/Stunde]",[1]Kundenübersicht!$E$3:$BA$3,FALSE),FALSE),VLOOKUP($B606,[1]Kundenübersicht!$E$4:$BA$1003,MATCH("Alltagsbegleitung [€/Stunde]",[1]Kundenübersicht!$E$3:$BA$3,FALSE),FALSE)),0))</f>
        <v>42</v>
      </c>
      <c r="V606" s="16">
        <f t="shared" si="145"/>
        <v>126</v>
      </c>
      <c r="W606" s="16">
        <f t="shared" si="152"/>
        <v>1.0499999999999998</v>
      </c>
      <c r="X606" s="16" t="s">
        <v>89</v>
      </c>
      <c r="Z606" s="20" t="str">
        <f t="shared" si="141"/>
        <v>Nein</v>
      </c>
      <c r="AA606" s="19"/>
      <c r="AC606" s="19"/>
      <c r="AE606" s="9">
        <f t="shared" si="149"/>
        <v>2026</v>
      </c>
      <c r="AF606" s="17" t="str">
        <f t="shared" si="150"/>
        <v>02.2026</v>
      </c>
      <c r="AG606" s="17" t="str">
        <f t="shared" si="151"/>
        <v>Monique Geitner</v>
      </c>
      <c r="AH606" s="17" t="str">
        <f>IFERROR(VLOOKUP(B606,[1]Kundenübersicht!$E$4:$F$85,2,FALSE),"")</f>
        <v>Linda Döring</v>
      </c>
      <c r="AI606" s="17" t="str">
        <f t="shared" si="142"/>
        <v>Alltagsbegleitung</v>
      </c>
      <c r="AJ606" s="17" t="str">
        <f t="shared" si="142"/>
        <v>Entlastungsleistung</v>
      </c>
      <c r="AL606" s="18">
        <f t="shared" si="146"/>
        <v>42</v>
      </c>
      <c r="AM606" s="18">
        <f t="shared" si="147"/>
        <v>126</v>
      </c>
      <c r="AN606" s="18">
        <f t="shared" si="148"/>
        <v>1.0499999999999998</v>
      </c>
    </row>
    <row r="607" spans="1:40" x14ac:dyDescent="0.25">
      <c r="A607" s="39"/>
      <c r="B607" s="30" t="s">
        <v>101</v>
      </c>
      <c r="C607" s="31">
        <v>46063</v>
      </c>
      <c r="D607" s="32">
        <v>0.66666666666666663</v>
      </c>
      <c r="E607" s="32">
        <v>0.79166666666666663</v>
      </c>
      <c r="F607" s="12">
        <f t="shared" si="144"/>
        <v>3</v>
      </c>
      <c r="G607" s="12">
        <v>3</v>
      </c>
      <c r="H607" s="30" t="s">
        <v>102</v>
      </c>
      <c r="I607" s="30" t="s">
        <v>41</v>
      </c>
      <c r="J607" s="30" t="s">
        <v>28</v>
      </c>
      <c r="K607" s="9" t="str">
        <f>IFERROR(VLOOKUP($B607,[1]Kundenübersicht!$E$4:$AC$1003,MATCH(K$3,[1]Kundenübersicht!$E$3:$BA$3,FALSE),FALSE),"")</f>
        <v>AOK PLUS</v>
      </c>
      <c r="L607" s="13">
        <f>IFERROR(VLOOKUP(B607,[1]Kundenübersicht!$E$4:$AC$1003,MATCH(L$3,[1]Kundenübersicht!$E$3:$BA$3,FALSE),FALSE),"")</f>
        <v>107299005</v>
      </c>
      <c r="M607" s="13" t="str">
        <f>IFERROR(VLOOKUP(B607,[1]Kundenübersicht!$E$4:$AC$1003,MATCH(M$3,[1]Kundenübersicht!$E$3:$BA$3,FALSE),FALSE),"")</f>
        <v>L753069203</v>
      </c>
      <c r="N607" s="13" t="str">
        <f>IFERROR(VLOOKUP(B607,[1]Kundenübersicht!$E$4:$AC$1003,MATCH(N$3,[1]Kundenübersicht!$E$3:$BA$3,FALSE),FALSE),"")</f>
        <v>PG 3</v>
      </c>
      <c r="P607" s="9" t="s">
        <v>29</v>
      </c>
      <c r="R607" s="9" t="str">
        <f t="shared" si="143"/>
        <v>Fehlt</v>
      </c>
      <c r="S607" s="14"/>
      <c r="U607" s="15">
        <f>IF(YEAR(C607)&lt;=2025,IFERROR(IF(I607="Hauswirtschaft",VLOOKUP($B607,[1]Kundenübersicht!$E$4:$BA$1003,MATCH("Hauswirtschaft [€/Stunde]",[1]Kundenübersicht!$E$3:$BA$3,FALSE),FALSE),VLOOKUP($B607,[1]Kundenübersicht!$E$4:$BA$1003,MATCH("Alltagsbegleitung [€/Stunde]",[1]Kundenübersicht!$E$3:$BA$3,FALSE),FALSE)),0),IFERROR(IF(I607="Hauswirtschaft",VLOOKUP($B607,[1]Kundenübersicht!$E$4:$BA$1003,MATCH("HW ab 2026 [€/Stunde]",[1]Kundenübersicht!$E$3:$BA$3,FALSE),FALSE),VLOOKUP($B607,[1]Kundenübersicht!$E$4:$BA$1003,MATCH("Alltagsbegleitung [€/Stunde]",[1]Kundenübersicht!$E$3:$BA$3,FALSE),FALSE)),0))</f>
        <v>42</v>
      </c>
      <c r="V607" s="16">
        <f t="shared" si="145"/>
        <v>126</v>
      </c>
      <c r="W607" s="16">
        <f t="shared" si="152"/>
        <v>1.0499999999999998</v>
      </c>
      <c r="X607" s="16" t="s">
        <v>89</v>
      </c>
      <c r="Z607" s="20" t="str">
        <f t="shared" si="141"/>
        <v>Nein</v>
      </c>
      <c r="AA607" s="19"/>
      <c r="AC607" s="19"/>
      <c r="AE607" s="9">
        <f t="shared" si="149"/>
        <v>2026</v>
      </c>
      <c r="AF607" s="17" t="str">
        <f t="shared" si="150"/>
        <v>02.2026</v>
      </c>
      <c r="AG607" s="17" t="str">
        <f t="shared" si="151"/>
        <v>Monique Geitner</v>
      </c>
      <c r="AH607" s="17" t="str">
        <f>IFERROR(VLOOKUP(B607,[1]Kundenübersicht!$E$4:$F$85,2,FALSE),"")</f>
        <v>Linda Döring</v>
      </c>
      <c r="AI607" s="17" t="str">
        <f t="shared" si="142"/>
        <v>Alltagsbegleitung</v>
      </c>
      <c r="AJ607" s="17" t="str">
        <f t="shared" si="142"/>
        <v>Entlastungsleistung</v>
      </c>
      <c r="AL607" s="18">
        <f t="shared" si="146"/>
        <v>42</v>
      </c>
      <c r="AM607" s="18">
        <f t="shared" si="147"/>
        <v>126</v>
      </c>
      <c r="AN607" s="18">
        <f t="shared" si="148"/>
        <v>1.0499999999999998</v>
      </c>
    </row>
    <row r="608" spans="1:40" x14ac:dyDescent="0.25">
      <c r="A608" s="39"/>
      <c r="B608" s="30" t="s">
        <v>101</v>
      </c>
      <c r="C608" s="31">
        <v>46066</v>
      </c>
      <c r="D608" s="32">
        <v>0.54166666666666663</v>
      </c>
      <c r="E608" s="32">
        <v>0.66666666666666663</v>
      </c>
      <c r="F608" s="12">
        <f t="shared" si="144"/>
        <v>3</v>
      </c>
      <c r="G608" s="12">
        <v>3</v>
      </c>
      <c r="H608" s="30" t="s">
        <v>102</v>
      </c>
      <c r="I608" s="30" t="s">
        <v>41</v>
      </c>
      <c r="J608" s="30" t="s">
        <v>28</v>
      </c>
      <c r="K608" s="9" t="str">
        <f>IFERROR(VLOOKUP($B608,[1]Kundenübersicht!$E$4:$AC$1003,MATCH(K$3,[1]Kundenübersicht!$E$3:$BA$3,FALSE),FALSE),"")</f>
        <v>AOK PLUS</v>
      </c>
      <c r="L608" s="13">
        <f>IFERROR(VLOOKUP(B608,[1]Kundenübersicht!$E$4:$AC$1003,MATCH(L$3,[1]Kundenübersicht!$E$3:$BA$3,FALSE),FALSE),"")</f>
        <v>107299005</v>
      </c>
      <c r="M608" s="13" t="str">
        <f>IFERROR(VLOOKUP(B608,[1]Kundenübersicht!$E$4:$AC$1003,MATCH(M$3,[1]Kundenübersicht!$E$3:$BA$3,FALSE),FALSE),"")</f>
        <v>L753069203</v>
      </c>
      <c r="N608" s="13" t="str">
        <f>IFERROR(VLOOKUP(B608,[1]Kundenübersicht!$E$4:$AC$1003,MATCH(N$3,[1]Kundenübersicht!$E$3:$BA$3,FALSE),FALSE),"")</f>
        <v>PG 3</v>
      </c>
      <c r="P608" s="9" t="s">
        <v>29</v>
      </c>
      <c r="R608" s="9" t="str">
        <f t="shared" si="143"/>
        <v>Fehlt</v>
      </c>
      <c r="S608" s="14"/>
      <c r="U608" s="15">
        <f>IF(YEAR(C608)&lt;=2025,IFERROR(IF(I608="Hauswirtschaft",VLOOKUP($B608,[1]Kundenübersicht!$E$4:$BA$1003,MATCH("Hauswirtschaft [€/Stunde]",[1]Kundenübersicht!$E$3:$BA$3,FALSE),FALSE),VLOOKUP($B608,[1]Kundenübersicht!$E$4:$BA$1003,MATCH("Alltagsbegleitung [€/Stunde]",[1]Kundenübersicht!$E$3:$BA$3,FALSE),FALSE)),0),IFERROR(IF(I608="Hauswirtschaft",VLOOKUP($B608,[1]Kundenübersicht!$E$4:$BA$1003,MATCH("HW ab 2026 [€/Stunde]",[1]Kundenübersicht!$E$3:$BA$3,FALSE),FALSE),VLOOKUP($B608,[1]Kundenübersicht!$E$4:$BA$1003,MATCH("Alltagsbegleitung [€/Stunde]",[1]Kundenübersicht!$E$3:$BA$3,FALSE),FALSE)),0))</f>
        <v>42</v>
      </c>
      <c r="V608" s="16">
        <f t="shared" si="145"/>
        <v>126</v>
      </c>
      <c r="W608" s="16">
        <f t="shared" si="152"/>
        <v>1.0499999999999998</v>
      </c>
      <c r="X608" s="16" t="s">
        <v>89</v>
      </c>
      <c r="Z608" s="20" t="str">
        <f t="shared" si="141"/>
        <v>Nein</v>
      </c>
      <c r="AA608" s="19"/>
      <c r="AC608" s="19"/>
      <c r="AE608" s="9">
        <f t="shared" si="149"/>
        <v>2026</v>
      </c>
      <c r="AF608" s="17" t="str">
        <f t="shared" si="150"/>
        <v>02.2026</v>
      </c>
      <c r="AG608" s="17" t="str">
        <f t="shared" si="151"/>
        <v>Monique Geitner</v>
      </c>
      <c r="AH608" s="17" t="str">
        <f>IFERROR(VLOOKUP(B608,[1]Kundenübersicht!$E$4:$F$85,2,FALSE),"")</f>
        <v>Linda Döring</v>
      </c>
      <c r="AI608" s="17" t="str">
        <f t="shared" si="142"/>
        <v>Alltagsbegleitung</v>
      </c>
      <c r="AJ608" s="17" t="str">
        <f t="shared" si="142"/>
        <v>Entlastungsleistung</v>
      </c>
      <c r="AL608" s="18">
        <f t="shared" si="146"/>
        <v>42</v>
      </c>
      <c r="AM608" s="18">
        <f t="shared" si="147"/>
        <v>126</v>
      </c>
      <c r="AN608" s="18">
        <f t="shared" si="148"/>
        <v>1.0499999999999998</v>
      </c>
    </row>
    <row r="609" spans="1:40" x14ac:dyDescent="0.25">
      <c r="A609" s="39"/>
      <c r="B609" s="30" t="s">
        <v>101</v>
      </c>
      <c r="C609" s="31">
        <v>46070</v>
      </c>
      <c r="D609" s="32">
        <v>0.625</v>
      </c>
      <c r="E609" s="32">
        <v>0.75</v>
      </c>
      <c r="F609" s="12">
        <f t="shared" si="144"/>
        <v>3</v>
      </c>
      <c r="G609" s="12">
        <v>3</v>
      </c>
      <c r="H609" s="30" t="s">
        <v>102</v>
      </c>
      <c r="I609" s="30" t="s">
        <v>41</v>
      </c>
      <c r="J609" s="30" t="s">
        <v>28</v>
      </c>
      <c r="K609" s="9" t="str">
        <f>IFERROR(VLOOKUP($B609,[1]Kundenübersicht!$E$4:$AC$1003,MATCH(K$3,[1]Kundenübersicht!$E$3:$BA$3,FALSE),FALSE),"")</f>
        <v>AOK PLUS</v>
      </c>
      <c r="L609" s="13">
        <f>IFERROR(VLOOKUP(B609,[1]Kundenübersicht!$E$4:$AC$1003,MATCH(L$3,[1]Kundenübersicht!$E$3:$BA$3,FALSE),FALSE),"")</f>
        <v>107299005</v>
      </c>
      <c r="M609" s="13" t="str">
        <f>IFERROR(VLOOKUP(B609,[1]Kundenübersicht!$E$4:$AC$1003,MATCH(M$3,[1]Kundenübersicht!$E$3:$BA$3,FALSE),FALSE),"")</f>
        <v>L753069203</v>
      </c>
      <c r="N609" s="13" t="str">
        <f>IFERROR(VLOOKUP(B609,[1]Kundenübersicht!$E$4:$AC$1003,MATCH(N$3,[1]Kundenübersicht!$E$3:$BA$3,FALSE),FALSE),"")</f>
        <v>PG 3</v>
      </c>
      <c r="P609" s="9" t="s">
        <v>29</v>
      </c>
      <c r="R609" s="9" t="str">
        <f t="shared" si="143"/>
        <v>Fehlt</v>
      </c>
      <c r="S609" s="14"/>
      <c r="U609" s="15">
        <f>IF(YEAR(C609)&lt;=2025,IFERROR(IF(I609="Hauswirtschaft",VLOOKUP($B609,[1]Kundenübersicht!$E$4:$BA$1003,MATCH("Hauswirtschaft [€/Stunde]",[1]Kundenübersicht!$E$3:$BA$3,FALSE),FALSE),VLOOKUP($B609,[1]Kundenübersicht!$E$4:$BA$1003,MATCH("Alltagsbegleitung [€/Stunde]",[1]Kundenübersicht!$E$3:$BA$3,FALSE),FALSE)),0),IFERROR(IF(I609="Hauswirtschaft",VLOOKUP($B609,[1]Kundenübersicht!$E$4:$BA$1003,MATCH("HW ab 2026 [€/Stunde]",[1]Kundenübersicht!$E$3:$BA$3,FALSE),FALSE),VLOOKUP($B609,[1]Kundenübersicht!$E$4:$BA$1003,MATCH("Alltagsbegleitung [€/Stunde]",[1]Kundenübersicht!$E$3:$BA$3,FALSE),FALSE)),0))</f>
        <v>42</v>
      </c>
      <c r="V609" s="16">
        <f t="shared" si="145"/>
        <v>126</v>
      </c>
      <c r="W609" s="16">
        <f t="shared" si="152"/>
        <v>1.0499999999999998</v>
      </c>
      <c r="X609" s="16" t="s">
        <v>89</v>
      </c>
      <c r="Z609" s="20" t="str">
        <f t="shared" si="141"/>
        <v>Nein</v>
      </c>
      <c r="AA609" s="19"/>
      <c r="AC609" s="19"/>
      <c r="AE609" s="9">
        <f t="shared" si="149"/>
        <v>2026</v>
      </c>
      <c r="AF609" s="17" t="str">
        <f t="shared" si="150"/>
        <v>02.2026</v>
      </c>
      <c r="AG609" s="17" t="str">
        <f t="shared" si="151"/>
        <v>Monique Geitner</v>
      </c>
      <c r="AH609" s="17" t="str">
        <f>IFERROR(VLOOKUP(B609,[1]Kundenübersicht!$E$4:$F$85,2,FALSE),"")</f>
        <v>Linda Döring</v>
      </c>
      <c r="AI609" s="17" t="str">
        <f t="shared" si="142"/>
        <v>Alltagsbegleitung</v>
      </c>
      <c r="AJ609" s="17" t="str">
        <f t="shared" si="142"/>
        <v>Entlastungsleistung</v>
      </c>
      <c r="AL609" s="18">
        <f t="shared" si="146"/>
        <v>42</v>
      </c>
      <c r="AM609" s="18">
        <f t="shared" si="147"/>
        <v>126</v>
      </c>
      <c r="AN609" s="18">
        <f t="shared" si="148"/>
        <v>1.0499999999999998</v>
      </c>
    </row>
    <row r="610" spans="1:40" x14ac:dyDescent="0.25">
      <c r="A610" s="39"/>
      <c r="B610" s="30" t="s">
        <v>101</v>
      </c>
      <c r="C610" s="31">
        <v>46077</v>
      </c>
      <c r="D610" s="32">
        <v>0.66666666666666663</v>
      </c>
      <c r="E610" s="32">
        <v>0.79166666666666663</v>
      </c>
      <c r="F610" s="12">
        <f t="shared" si="144"/>
        <v>3</v>
      </c>
      <c r="G610" s="12">
        <v>3</v>
      </c>
      <c r="H610" s="30" t="s">
        <v>102</v>
      </c>
      <c r="I610" s="30" t="s">
        <v>41</v>
      </c>
      <c r="J610" s="30" t="s">
        <v>28</v>
      </c>
      <c r="K610" s="9" t="str">
        <f>IFERROR(VLOOKUP($B610,[1]Kundenübersicht!$E$4:$AC$1003,MATCH(K$3,[1]Kundenübersicht!$E$3:$BA$3,FALSE),FALSE),"")</f>
        <v>AOK PLUS</v>
      </c>
      <c r="L610" s="13">
        <f>IFERROR(VLOOKUP(B610,[1]Kundenübersicht!$E$4:$AC$1003,MATCH(L$3,[1]Kundenübersicht!$E$3:$BA$3,FALSE),FALSE),"")</f>
        <v>107299005</v>
      </c>
      <c r="M610" s="13" t="str">
        <f>IFERROR(VLOOKUP(B610,[1]Kundenübersicht!$E$4:$AC$1003,MATCH(M$3,[1]Kundenübersicht!$E$3:$BA$3,FALSE),FALSE),"")</f>
        <v>L753069203</v>
      </c>
      <c r="N610" s="13" t="str">
        <f>IFERROR(VLOOKUP(B610,[1]Kundenübersicht!$E$4:$AC$1003,MATCH(N$3,[1]Kundenübersicht!$E$3:$BA$3,FALSE),FALSE),"")</f>
        <v>PG 3</v>
      </c>
      <c r="P610" s="9" t="s">
        <v>29</v>
      </c>
      <c r="R610" s="9" t="str">
        <f t="shared" si="143"/>
        <v>Fehlt</v>
      </c>
      <c r="S610" s="14"/>
      <c r="U610" s="15">
        <f>IF(YEAR(C610)&lt;=2025,IFERROR(IF(I610="Hauswirtschaft",VLOOKUP($B610,[1]Kundenübersicht!$E$4:$BA$1003,MATCH("Hauswirtschaft [€/Stunde]",[1]Kundenübersicht!$E$3:$BA$3,FALSE),FALSE),VLOOKUP($B610,[1]Kundenübersicht!$E$4:$BA$1003,MATCH("Alltagsbegleitung [€/Stunde]",[1]Kundenübersicht!$E$3:$BA$3,FALSE),FALSE)),0),IFERROR(IF(I610="Hauswirtschaft",VLOOKUP($B610,[1]Kundenübersicht!$E$4:$BA$1003,MATCH("HW ab 2026 [€/Stunde]",[1]Kundenübersicht!$E$3:$BA$3,FALSE),FALSE),VLOOKUP($B610,[1]Kundenübersicht!$E$4:$BA$1003,MATCH("Alltagsbegleitung [€/Stunde]",[1]Kundenübersicht!$E$3:$BA$3,FALSE),FALSE)),0))</f>
        <v>42</v>
      </c>
      <c r="V610" s="16">
        <f t="shared" si="145"/>
        <v>126</v>
      </c>
      <c r="W610" s="16">
        <f t="shared" si="152"/>
        <v>1.0499999999999998</v>
      </c>
      <c r="X610" s="16" t="s">
        <v>89</v>
      </c>
      <c r="Z610" s="20" t="str">
        <f t="shared" si="141"/>
        <v>Nein</v>
      </c>
      <c r="AA610" s="19"/>
      <c r="AC610" s="19"/>
      <c r="AE610" s="9">
        <f t="shared" si="149"/>
        <v>2026</v>
      </c>
      <c r="AF610" s="17" t="str">
        <f t="shared" si="150"/>
        <v>02.2026</v>
      </c>
      <c r="AG610" s="17" t="str">
        <f t="shared" si="151"/>
        <v>Monique Geitner</v>
      </c>
      <c r="AH610" s="17" t="str">
        <f>IFERROR(VLOOKUP(B610,[1]Kundenübersicht!$E$4:$F$85,2,FALSE),"")</f>
        <v>Linda Döring</v>
      </c>
      <c r="AI610" s="17" t="str">
        <f t="shared" ref="AI610:AJ637" si="153">IF(I610="","",I610)</f>
        <v>Alltagsbegleitung</v>
      </c>
      <c r="AJ610" s="17" t="str">
        <f t="shared" si="153"/>
        <v>Entlastungsleistung</v>
      </c>
      <c r="AL610" s="18">
        <f t="shared" si="146"/>
        <v>42</v>
      </c>
      <c r="AM610" s="18">
        <f t="shared" si="147"/>
        <v>126</v>
      </c>
      <c r="AN610" s="18">
        <f t="shared" si="148"/>
        <v>1.0499999999999998</v>
      </c>
    </row>
    <row r="611" spans="1:40" x14ac:dyDescent="0.25">
      <c r="A611" s="39"/>
      <c r="B611" s="30" t="s">
        <v>101</v>
      </c>
      <c r="C611" s="31">
        <v>46079</v>
      </c>
      <c r="D611" s="32">
        <v>0.66666666666666663</v>
      </c>
      <c r="E611" s="32">
        <v>0.75</v>
      </c>
      <c r="F611" s="12">
        <f t="shared" si="144"/>
        <v>2.0000000000000009</v>
      </c>
      <c r="G611" s="12">
        <v>3</v>
      </c>
      <c r="H611" s="30" t="s">
        <v>102</v>
      </c>
      <c r="I611" s="30" t="s">
        <v>41</v>
      </c>
      <c r="J611" s="30" t="s">
        <v>28</v>
      </c>
      <c r="K611" s="9" t="str">
        <f>IFERROR(VLOOKUP($B611,[1]Kundenübersicht!$E$4:$AC$1003,MATCH(K$3,[1]Kundenübersicht!$E$3:$BA$3,FALSE),FALSE),"")</f>
        <v>AOK PLUS</v>
      </c>
      <c r="L611" s="13">
        <f>IFERROR(VLOOKUP(B611,[1]Kundenübersicht!$E$4:$AC$1003,MATCH(L$3,[1]Kundenübersicht!$E$3:$BA$3,FALSE),FALSE),"")</f>
        <v>107299005</v>
      </c>
      <c r="M611" s="13" t="str">
        <f>IFERROR(VLOOKUP(B611,[1]Kundenübersicht!$E$4:$AC$1003,MATCH(M$3,[1]Kundenübersicht!$E$3:$BA$3,FALSE),FALSE),"")</f>
        <v>L753069203</v>
      </c>
      <c r="N611" s="13" t="str">
        <f>IFERROR(VLOOKUP(B611,[1]Kundenübersicht!$E$4:$AC$1003,MATCH(N$3,[1]Kundenübersicht!$E$3:$BA$3,FALSE),FALSE),"")</f>
        <v>PG 3</v>
      </c>
      <c r="P611" s="9" t="s">
        <v>29</v>
      </c>
      <c r="R611" s="9" t="str">
        <f t="shared" si="143"/>
        <v>Fehlt</v>
      </c>
      <c r="S611" s="14"/>
      <c r="U611" s="15">
        <f>IF(YEAR(C611)&lt;=2025,IFERROR(IF(I611="Hauswirtschaft",VLOOKUP($B611,[1]Kundenübersicht!$E$4:$BA$1003,MATCH("Hauswirtschaft [€/Stunde]",[1]Kundenübersicht!$E$3:$BA$3,FALSE),FALSE),VLOOKUP($B611,[1]Kundenübersicht!$E$4:$BA$1003,MATCH("Alltagsbegleitung [€/Stunde]",[1]Kundenübersicht!$E$3:$BA$3,FALSE),FALSE)),0),IFERROR(IF(I611="Hauswirtschaft",VLOOKUP($B611,[1]Kundenübersicht!$E$4:$BA$1003,MATCH("HW ab 2026 [€/Stunde]",[1]Kundenübersicht!$E$3:$BA$3,FALSE),FALSE),VLOOKUP($B611,[1]Kundenübersicht!$E$4:$BA$1003,MATCH("Alltagsbegleitung [€/Stunde]",[1]Kundenübersicht!$E$3:$BA$3,FALSE),FALSE)),0))</f>
        <v>42</v>
      </c>
      <c r="V611" s="16">
        <f t="shared" si="145"/>
        <v>84.000000000000043</v>
      </c>
      <c r="W611" s="16">
        <f t="shared" si="152"/>
        <v>1.0499999999999998</v>
      </c>
      <c r="X611" s="16" t="s">
        <v>89</v>
      </c>
      <c r="Z611" s="20" t="str">
        <f t="shared" si="141"/>
        <v>Nein</v>
      </c>
      <c r="AA611" s="19"/>
      <c r="AC611" s="19"/>
      <c r="AE611" s="9">
        <f t="shared" si="149"/>
        <v>2026</v>
      </c>
      <c r="AF611" s="17" t="str">
        <f t="shared" si="150"/>
        <v>02.2026</v>
      </c>
      <c r="AG611" s="17" t="str">
        <f t="shared" si="151"/>
        <v>Monique Geitner</v>
      </c>
      <c r="AH611" s="17" t="str">
        <f>IFERROR(VLOOKUP(B611,[1]Kundenübersicht!$E$4:$F$85,2,FALSE),"")</f>
        <v>Linda Döring</v>
      </c>
      <c r="AI611" s="17" t="str">
        <f t="shared" si="153"/>
        <v>Alltagsbegleitung</v>
      </c>
      <c r="AJ611" s="17" t="str">
        <f t="shared" si="153"/>
        <v>Entlastungsleistung</v>
      </c>
      <c r="AL611" s="18">
        <f t="shared" si="146"/>
        <v>42</v>
      </c>
      <c r="AM611" s="18">
        <f t="shared" si="147"/>
        <v>84.000000000000043</v>
      </c>
      <c r="AN611" s="18">
        <f t="shared" si="148"/>
        <v>1.0499999999999998</v>
      </c>
    </row>
    <row r="612" spans="1:40" x14ac:dyDescent="0.25">
      <c r="A612" s="39"/>
      <c r="B612" s="30" t="s">
        <v>39</v>
      </c>
      <c r="C612" s="31">
        <v>46056</v>
      </c>
      <c r="D612" s="32">
        <v>0.70833333333333337</v>
      </c>
      <c r="E612" s="32">
        <v>0.75</v>
      </c>
      <c r="F612" s="12">
        <f t="shared" si="144"/>
        <v>0.99999999999999911</v>
      </c>
      <c r="G612" s="12">
        <v>2</v>
      </c>
      <c r="H612" s="30" t="s">
        <v>40</v>
      </c>
      <c r="I612" s="30" t="s">
        <v>41</v>
      </c>
      <c r="J612" s="30" t="s">
        <v>28</v>
      </c>
      <c r="K612" s="9" t="str">
        <f>IFERROR(VLOOKUP($B612,[1]Kundenübersicht!$E$4:$AC$1003,MATCH(K$3,[1]Kundenübersicht!$E$3:$BA$3,FALSE),FALSE),"")</f>
        <v>AOK PLUS</v>
      </c>
      <c r="L612" s="13">
        <f>IFERROR(VLOOKUP(B612,[1]Kundenübersicht!$E$4:$AC$1003,MATCH(L$3,[1]Kundenübersicht!$E$3:$BA$3,FALSE),FALSE),"")</f>
        <v>107299005</v>
      </c>
      <c r="M612" s="13" t="str">
        <f>IFERROR(VLOOKUP(B612,[1]Kundenübersicht!$E$4:$AC$1003,MATCH(M$3,[1]Kundenübersicht!$E$3:$BA$3,FALSE),FALSE),"")</f>
        <v>Q445657677</v>
      </c>
      <c r="N612" s="13" t="str">
        <f>IFERROR(VLOOKUP(B612,[1]Kundenübersicht!$E$4:$AC$1003,MATCH(N$3,[1]Kundenübersicht!$E$3:$BA$3,FALSE),FALSE),"")</f>
        <v>PG 2</v>
      </c>
      <c r="P612" s="9" t="s">
        <v>29</v>
      </c>
      <c r="R612" s="9" t="str">
        <f t="shared" si="143"/>
        <v>Fehlt</v>
      </c>
      <c r="S612" s="14"/>
      <c r="U612" s="15">
        <f>IF(YEAR(C612)&lt;=2025,IFERROR(IF(I612="Hauswirtschaft",VLOOKUP($B612,[1]Kundenübersicht!$E$4:$BA$1003,MATCH("Hauswirtschaft [€/Stunde]",[1]Kundenübersicht!$E$3:$BA$3,FALSE),FALSE),VLOOKUP($B612,[1]Kundenübersicht!$E$4:$BA$1003,MATCH("Alltagsbegleitung [€/Stunde]",[1]Kundenübersicht!$E$3:$BA$3,FALSE),FALSE)),0),IFERROR(IF(I612="Hauswirtschaft",VLOOKUP($B612,[1]Kundenübersicht!$E$4:$BA$1003,MATCH("HW ab 2026 [€/Stunde]",[1]Kundenübersicht!$E$3:$BA$3,FALSE),FALSE),VLOOKUP($B612,[1]Kundenübersicht!$E$4:$BA$1003,MATCH("Alltagsbegleitung [€/Stunde]",[1]Kundenübersicht!$E$3:$BA$3,FALSE),FALSE)),0))</f>
        <v>42</v>
      </c>
      <c r="V612" s="16">
        <f t="shared" si="145"/>
        <v>41.999999999999964</v>
      </c>
      <c r="W612" s="16">
        <f t="shared" si="152"/>
        <v>0.7</v>
      </c>
      <c r="X612" s="16" t="s">
        <v>89</v>
      </c>
      <c r="Z612" s="20" t="str">
        <f t="shared" si="141"/>
        <v>Nein</v>
      </c>
      <c r="AA612" s="19"/>
      <c r="AC612" s="19"/>
      <c r="AE612" s="9">
        <f t="shared" si="149"/>
        <v>2026</v>
      </c>
      <c r="AF612" s="17" t="str">
        <f t="shared" si="150"/>
        <v>02.2026</v>
      </c>
      <c r="AG612" s="17" t="str">
        <f t="shared" si="151"/>
        <v>Franziska Wächtler</v>
      </c>
      <c r="AH612" s="17" t="str">
        <f>IFERROR(VLOOKUP(B612,[1]Kundenübersicht!$E$4:$F$85,2,FALSE),"")</f>
        <v>Helga Dienelt</v>
      </c>
      <c r="AI612" s="17" t="str">
        <f t="shared" si="153"/>
        <v>Alltagsbegleitung</v>
      </c>
      <c r="AJ612" s="17" t="str">
        <f t="shared" si="153"/>
        <v>Entlastungsleistung</v>
      </c>
      <c r="AL612" s="18">
        <f t="shared" si="146"/>
        <v>42</v>
      </c>
      <c r="AM612" s="18">
        <f t="shared" si="147"/>
        <v>41.999999999999964</v>
      </c>
      <c r="AN612" s="18">
        <f t="shared" si="148"/>
        <v>0.7</v>
      </c>
    </row>
    <row r="613" spans="1:40" x14ac:dyDescent="0.25">
      <c r="A613" s="39"/>
      <c r="B613" s="30" t="s">
        <v>39</v>
      </c>
      <c r="C613" s="31">
        <v>46063</v>
      </c>
      <c r="D613" s="32">
        <v>0.66666666666666663</v>
      </c>
      <c r="E613" s="32">
        <v>0.70833333333333337</v>
      </c>
      <c r="F613" s="12">
        <f t="shared" si="144"/>
        <v>1.0000000000000018</v>
      </c>
      <c r="G613" s="12">
        <v>2</v>
      </c>
      <c r="H613" s="30" t="s">
        <v>40</v>
      </c>
      <c r="I613" s="30" t="s">
        <v>41</v>
      </c>
      <c r="J613" s="30" t="s">
        <v>28</v>
      </c>
      <c r="K613" s="9" t="str">
        <f>IFERROR(VLOOKUP($B613,[1]Kundenübersicht!$E$4:$AC$1003,MATCH(K$3,[1]Kundenübersicht!$E$3:$BA$3,FALSE),FALSE),"")</f>
        <v>AOK PLUS</v>
      </c>
      <c r="L613" s="13">
        <f>IFERROR(VLOOKUP(B613,[1]Kundenübersicht!$E$4:$AC$1003,MATCH(L$3,[1]Kundenübersicht!$E$3:$BA$3,FALSE),FALSE),"")</f>
        <v>107299005</v>
      </c>
      <c r="M613" s="13" t="str">
        <f>IFERROR(VLOOKUP(B613,[1]Kundenübersicht!$E$4:$AC$1003,MATCH(M$3,[1]Kundenübersicht!$E$3:$BA$3,FALSE),FALSE),"")</f>
        <v>Q445657677</v>
      </c>
      <c r="N613" s="13" t="str">
        <f>IFERROR(VLOOKUP(B613,[1]Kundenübersicht!$E$4:$AC$1003,MATCH(N$3,[1]Kundenübersicht!$E$3:$BA$3,FALSE),FALSE),"")</f>
        <v>PG 2</v>
      </c>
      <c r="P613" s="9" t="s">
        <v>29</v>
      </c>
      <c r="R613" s="9" t="str">
        <f t="shared" si="143"/>
        <v>Fehlt</v>
      </c>
      <c r="S613" s="14"/>
      <c r="U613" s="15">
        <f>IF(YEAR(C613)&lt;=2025,IFERROR(IF(I613="Hauswirtschaft",VLOOKUP($B613,[1]Kundenübersicht!$E$4:$BA$1003,MATCH("Hauswirtschaft [€/Stunde]",[1]Kundenübersicht!$E$3:$BA$3,FALSE),FALSE),VLOOKUP($B613,[1]Kundenübersicht!$E$4:$BA$1003,MATCH("Alltagsbegleitung [€/Stunde]",[1]Kundenübersicht!$E$3:$BA$3,FALSE),FALSE)),0),IFERROR(IF(I613="Hauswirtschaft",VLOOKUP($B613,[1]Kundenübersicht!$E$4:$BA$1003,MATCH("HW ab 2026 [€/Stunde]",[1]Kundenübersicht!$E$3:$BA$3,FALSE),FALSE),VLOOKUP($B613,[1]Kundenübersicht!$E$4:$BA$1003,MATCH("Alltagsbegleitung [€/Stunde]",[1]Kundenübersicht!$E$3:$BA$3,FALSE),FALSE)),0))</f>
        <v>42</v>
      </c>
      <c r="V613" s="16">
        <f t="shared" si="145"/>
        <v>42.000000000000071</v>
      </c>
      <c r="W613" s="16">
        <f t="shared" si="152"/>
        <v>0.7</v>
      </c>
      <c r="X613" s="16" t="s">
        <v>89</v>
      </c>
      <c r="Z613" s="20" t="str">
        <f t="shared" si="141"/>
        <v>Nein</v>
      </c>
      <c r="AA613" s="19"/>
      <c r="AC613" s="19"/>
      <c r="AE613" s="9">
        <f t="shared" si="149"/>
        <v>2026</v>
      </c>
      <c r="AF613" s="17" t="str">
        <f t="shared" si="150"/>
        <v>02.2026</v>
      </c>
      <c r="AG613" s="17" t="str">
        <f t="shared" si="151"/>
        <v>Franziska Wächtler</v>
      </c>
      <c r="AH613" s="17" t="str">
        <f>IFERROR(VLOOKUP(B613,[1]Kundenübersicht!$E$4:$F$85,2,FALSE),"")</f>
        <v>Helga Dienelt</v>
      </c>
      <c r="AI613" s="17" t="str">
        <f t="shared" si="153"/>
        <v>Alltagsbegleitung</v>
      </c>
      <c r="AJ613" s="17" t="str">
        <f t="shared" si="153"/>
        <v>Entlastungsleistung</v>
      </c>
      <c r="AL613" s="18">
        <f t="shared" si="146"/>
        <v>42</v>
      </c>
      <c r="AM613" s="18">
        <f t="shared" si="147"/>
        <v>42.000000000000071</v>
      </c>
      <c r="AN613" s="18">
        <f t="shared" si="148"/>
        <v>0.7</v>
      </c>
    </row>
    <row r="614" spans="1:40" x14ac:dyDescent="0.25">
      <c r="A614" s="39"/>
      <c r="B614" s="30" t="s">
        <v>39</v>
      </c>
      <c r="C614" s="31">
        <v>46070</v>
      </c>
      <c r="D614" s="32">
        <v>0.64583333333333337</v>
      </c>
      <c r="E614" s="32">
        <v>0.6875</v>
      </c>
      <c r="F614" s="12">
        <f t="shared" si="144"/>
        <v>0.99999999999999911</v>
      </c>
      <c r="G614" s="12">
        <v>2</v>
      </c>
      <c r="H614" s="30" t="s">
        <v>40</v>
      </c>
      <c r="I614" s="30" t="s">
        <v>41</v>
      </c>
      <c r="J614" s="30" t="s">
        <v>28</v>
      </c>
      <c r="K614" s="9" t="str">
        <f>IFERROR(VLOOKUP($B614,[1]Kundenübersicht!$E$4:$AC$1003,MATCH(K$3,[1]Kundenübersicht!$E$3:$BA$3,FALSE),FALSE),"")</f>
        <v>AOK PLUS</v>
      </c>
      <c r="L614" s="13">
        <f>IFERROR(VLOOKUP(B614,[1]Kundenübersicht!$E$4:$AC$1003,MATCH(L$3,[1]Kundenübersicht!$E$3:$BA$3,FALSE),FALSE),"")</f>
        <v>107299005</v>
      </c>
      <c r="M614" s="13" t="str">
        <f>IFERROR(VLOOKUP(B614,[1]Kundenübersicht!$E$4:$AC$1003,MATCH(M$3,[1]Kundenübersicht!$E$3:$BA$3,FALSE),FALSE),"")</f>
        <v>Q445657677</v>
      </c>
      <c r="N614" s="13" t="str">
        <f>IFERROR(VLOOKUP(B614,[1]Kundenübersicht!$E$4:$AC$1003,MATCH(N$3,[1]Kundenübersicht!$E$3:$BA$3,FALSE),FALSE),"")</f>
        <v>PG 2</v>
      </c>
      <c r="P614" s="9" t="s">
        <v>29</v>
      </c>
      <c r="R614" s="9" t="str">
        <f t="shared" si="143"/>
        <v>Fehlt</v>
      </c>
      <c r="S614" s="14"/>
      <c r="U614" s="15">
        <f>IF(YEAR(C614)&lt;=2025,IFERROR(IF(I614="Hauswirtschaft",VLOOKUP($B614,[1]Kundenübersicht!$E$4:$BA$1003,MATCH("Hauswirtschaft [€/Stunde]",[1]Kundenübersicht!$E$3:$BA$3,FALSE),FALSE),VLOOKUP($B614,[1]Kundenübersicht!$E$4:$BA$1003,MATCH("Alltagsbegleitung [€/Stunde]",[1]Kundenübersicht!$E$3:$BA$3,FALSE),FALSE)),0),IFERROR(IF(I614="Hauswirtschaft",VLOOKUP($B614,[1]Kundenübersicht!$E$4:$BA$1003,MATCH("HW ab 2026 [€/Stunde]",[1]Kundenübersicht!$E$3:$BA$3,FALSE),FALSE),VLOOKUP($B614,[1]Kundenübersicht!$E$4:$BA$1003,MATCH("Alltagsbegleitung [€/Stunde]",[1]Kundenübersicht!$E$3:$BA$3,FALSE),FALSE)),0))</f>
        <v>42</v>
      </c>
      <c r="V614" s="16">
        <f t="shared" si="145"/>
        <v>41.999999999999964</v>
      </c>
      <c r="W614" s="16">
        <f t="shared" si="152"/>
        <v>0.7</v>
      </c>
      <c r="X614" s="16" t="s">
        <v>89</v>
      </c>
      <c r="Z614" s="20" t="str">
        <f t="shared" si="141"/>
        <v>Nein</v>
      </c>
      <c r="AA614" s="19"/>
      <c r="AC614" s="19"/>
      <c r="AE614" s="9">
        <f t="shared" si="149"/>
        <v>2026</v>
      </c>
      <c r="AF614" s="17" t="str">
        <f t="shared" si="150"/>
        <v>02.2026</v>
      </c>
      <c r="AG614" s="17" t="str">
        <f t="shared" si="151"/>
        <v>Franziska Wächtler</v>
      </c>
      <c r="AH614" s="17" t="str">
        <f>IFERROR(VLOOKUP(B614,[1]Kundenübersicht!$E$4:$F$85,2,FALSE),"")</f>
        <v>Helga Dienelt</v>
      </c>
      <c r="AI614" s="17" t="str">
        <f t="shared" si="153"/>
        <v>Alltagsbegleitung</v>
      </c>
      <c r="AJ614" s="17" t="str">
        <f t="shared" si="153"/>
        <v>Entlastungsleistung</v>
      </c>
      <c r="AL614" s="18">
        <f t="shared" si="146"/>
        <v>42</v>
      </c>
      <c r="AM614" s="18">
        <f t="shared" si="147"/>
        <v>41.999999999999964</v>
      </c>
      <c r="AN614" s="18">
        <f t="shared" si="148"/>
        <v>0.7</v>
      </c>
    </row>
    <row r="615" spans="1:40" x14ac:dyDescent="0.25">
      <c r="A615" s="39"/>
      <c r="B615" s="30" t="s">
        <v>39</v>
      </c>
      <c r="C615" s="31">
        <v>46077</v>
      </c>
      <c r="D615" s="32">
        <v>0.64583333333333337</v>
      </c>
      <c r="E615" s="32">
        <v>0.6875</v>
      </c>
      <c r="F615" s="12">
        <f t="shared" si="144"/>
        <v>0.99999999999999911</v>
      </c>
      <c r="G615" s="12">
        <v>2</v>
      </c>
      <c r="H615" s="30" t="s">
        <v>40</v>
      </c>
      <c r="I615" s="30" t="s">
        <v>41</v>
      </c>
      <c r="J615" s="30" t="s">
        <v>28</v>
      </c>
      <c r="K615" s="9" t="str">
        <f>IFERROR(VLOOKUP($B615,[1]Kundenübersicht!$E$4:$AC$1003,MATCH(K$3,[1]Kundenübersicht!$E$3:$BA$3,FALSE),FALSE),"")</f>
        <v>AOK PLUS</v>
      </c>
      <c r="L615" s="13">
        <f>IFERROR(VLOOKUP(B615,[1]Kundenübersicht!$E$4:$AC$1003,MATCH(L$3,[1]Kundenübersicht!$E$3:$BA$3,FALSE),FALSE),"")</f>
        <v>107299005</v>
      </c>
      <c r="M615" s="13" t="str">
        <f>IFERROR(VLOOKUP(B615,[1]Kundenübersicht!$E$4:$AC$1003,MATCH(M$3,[1]Kundenübersicht!$E$3:$BA$3,FALSE),FALSE),"")</f>
        <v>Q445657677</v>
      </c>
      <c r="N615" s="13" t="str">
        <f>IFERROR(VLOOKUP(B615,[1]Kundenübersicht!$E$4:$AC$1003,MATCH(N$3,[1]Kundenübersicht!$E$3:$BA$3,FALSE),FALSE),"")</f>
        <v>PG 2</v>
      </c>
      <c r="P615" s="9" t="s">
        <v>29</v>
      </c>
      <c r="R615" s="9" t="str">
        <f t="shared" si="143"/>
        <v>Fehlt</v>
      </c>
      <c r="S615" s="14"/>
      <c r="U615" s="15">
        <f>IF(YEAR(C615)&lt;=2025,IFERROR(IF(I615="Hauswirtschaft",VLOOKUP($B615,[1]Kundenübersicht!$E$4:$BA$1003,MATCH("Hauswirtschaft [€/Stunde]",[1]Kundenübersicht!$E$3:$BA$3,FALSE),FALSE),VLOOKUP($B615,[1]Kundenübersicht!$E$4:$BA$1003,MATCH("Alltagsbegleitung [€/Stunde]",[1]Kundenübersicht!$E$3:$BA$3,FALSE),FALSE)),0),IFERROR(IF(I615="Hauswirtschaft",VLOOKUP($B615,[1]Kundenübersicht!$E$4:$BA$1003,MATCH("HW ab 2026 [€/Stunde]",[1]Kundenübersicht!$E$3:$BA$3,FALSE),FALSE),VLOOKUP($B615,[1]Kundenübersicht!$E$4:$BA$1003,MATCH("Alltagsbegleitung [€/Stunde]",[1]Kundenübersicht!$E$3:$BA$3,FALSE),FALSE)),0))</f>
        <v>42</v>
      </c>
      <c r="V615" s="16">
        <f t="shared" si="145"/>
        <v>41.999999999999964</v>
      </c>
      <c r="W615" s="16">
        <f t="shared" si="152"/>
        <v>0.7</v>
      </c>
      <c r="X615" s="16" t="s">
        <v>89</v>
      </c>
      <c r="Z615" s="20" t="str">
        <f t="shared" si="141"/>
        <v>Nein</v>
      </c>
      <c r="AA615" s="19"/>
      <c r="AC615" s="19"/>
      <c r="AE615" s="9">
        <f t="shared" si="149"/>
        <v>2026</v>
      </c>
      <c r="AF615" s="17" t="str">
        <f t="shared" si="150"/>
        <v>02.2026</v>
      </c>
      <c r="AG615" s="17" t="str">
        <f t="shared" si="151"/>
        <v>Franziska Wächtler</v>
      </c>
      <c r="AH615" s="17" t="str">
        <f>IFERROR(VLOOKUP(B615,[1]Kundenübersicht!$E$4:$F$85,2,FALSE),"")</f>
        <v>Helga Dienelt</v>
      </c>
      <c r="AI615" s="17" t="str">
        <f t="shared" si="153"/>
        <v>Alltagsbegleitung</v>
      </c>
      <c r="AJ615" s="17" t="str">
        <f t="shared" si="153"/>
        <v>Entlastungsleistung</v>
      </c>
      <c r="AL615" s="18">
        <f t="shared" si="146"/>
        <v>42</v>
      </c>
      <c r="AM615" s="18">
        <f t="shared" si="147"/>
        <v>41.999999999999964</v>
      </c>
      <c r="AN615" s="18">
        <f t="shared" si="148"/>
        <v>0.7</v>
      </c>
    </row>
    <row r="616" spans="1:40" x14ac:dyDescent="0.25">
      <c r="B616" s="30" t="s">
        <v>112</v>
      </c>
      <c r="C616" s="31">
        <v>46079</v>
      </c>
      <c r="D616" s="32">
        <v>0.58333333333333337</v>
      </c>
      <c r="E616" s="32">
        <v>0.64583333333333337</v>
      </c>
      <c r="F616" s="12">
        <f t="shared" si="144"/>
        <v>1.5</v>
      </c>
      <c r="G616" s="12">
        <v>4.0999999999999996</v>
      </c>
      <c r="H616" s="30" t="s">
        <v>113</v>
      </c>
      <c r="I616" s="30" t="s">
        <v>27</v>
      </c>
      <c r="J616" s="30" t="s">
        <v>28</v>
      </c>
      <c r="K616" s="9" t="str">
        <f>IFERROR(VLOOKUP($B616,[1]Kundenübersicht!$E$4:$AC$1003,MATCH(K$3,[1]Kundenübersicht!$E$3:$BA$3,FALSE),FALSE),"")</f>
        <v>KKH</v>
      </c>
      <c r="L616" s="13">
        <f>IFERROR(VLOOKUP(B616,[1]Kundenübersicht!$E$4:$AC$1003,MATCH(L$3,[1]Kundenübersicht!$E$3:$BA$3,FALSE),FALSE),"")</f>
        <v>102171012</v>
      </c>
      <c r="M616" s="13" t="str">
        <f>IFERROR(VLOOKUP(B616,[1]Kundenübersicht!$E$4:$AC$1003,MATCH(M$3,[1]Kundenübersicht!$E$3:$BA$3,FALSE),FALSE),"")</f>
        <v>E586290596</v>
      </c>
      <c r="N616" s="13" t="str">
        <f>IFERROR(VLOOKUP(B616,[1]Kundenübersicht!$E$4:$AC$1003,MATCH(N$3,[1]Kundenübersicht!$E$3:$BA$3,FALSE),FALSE),"")</f>
        <v>PG 2</v>
      </c>
      <c r="P616" s="9" t="s">
        <v>29</v>
      </c>
      <c r="R616" s="9" t="str">
        <f t="shared" si="143"/>
        <v>Fehlt</v>
      </c>
      <c r="S616" s="14"/>
      <c r="U616" s="15">
        <f>IF(YEAR(C616)&lt;=2025,IFERROR(IF(I616="Hauswirtschaft",VLOOKUP($B616,[1]Kundenübersicht!$E$4:$BA$1003,MATCH("Hauswirtschaft [€/Stunde]",[1]Kundenübersicht!$E$3:$BA$3,FALSE),FALSE),VLOOKUP($B616,[1]Kundenübersicht!$E$4:$BA$1003,MATCH("Alltagsbegleitung [€/Stunde]",[1]Kundenübersicht!$E$3:$BA$3,FALSE),FALSE)),0),IFERROR(IF(I616="Hauswirtschaft",VLOOKUP($B616,[1]Kundenübersicht!$E$4:$BA$1003,MATCH("HW ab 2026 [€/Stunde]",[1]Kundenübersicht!$E$3:$BA$3,FALSE),FALSE),VLOOKUP($B616,[1]Kundenübersicht!$E$4:$BA$1003,MATCH("Alltagsbegleitung [€/Stunde]",[1]Kundenübersicht!$E$3:$BA$3,FALSE),FALSE)),0))</f>
        <v>38</v>
      </c>
      <c r="V616" s="16">
        <f t="shared" si="145"/>
        <v>57</v>
      </c>
      <c r="W616" s="16">
        <f t="shared" si="152"/>
        <v>1.4349999999999998</v>
      </c>
      <c r="X616" s="16" t="s">
        <v>89</v>
      </c>
      <c r="Z616" s="20" t="str">
        <f t="shared" si="141"/>
        <v>Nein</v>
      </c>
      <c r="AA616" s="19"/>
      <c r="AC616" s="19"/>
      <c r="AE616" s="9">
        <f t="shared" si="149"/>
        <v>2026</v>
      </c>
      <c r="AF616" s="17" t="str">
        <f t="shared" si="150"/>
        <v>02.2026</v>
      </c>
      <c r="AG616" s="17" t="str">
        <f t="shared" si="151"/>
        <v>Anja Schäfer</v>
      </c>
      <c r="AH616" s="17" t="str">
        <f>IFERROR(VLOOKUP(B616,[1]Kundenübersicht!$E$4:$F$85,2,FALSE),"")</f>
        <v>Gabriele Schmuck</v>
      </c>
      <c r="AI616" s="17" t="str">
        <f t="shared" si="153"/>
        <v>Hauswirtschaft</v>
      </c>
      <c r="AJ616" s="17" t="str">
        <f t="shared" si="153"/>
        <v>Entlastungsleistung</v>
      </c>
      <c r="AL616" s="18">
        <f t="shared" si="146"/>
        <v>38</v>
      </c>
      <c r="AM616" s="18">
        <f t="shared" si="147"/>
        <v>57</v>
      </c>
      <c r="AN616" s="18">
        <f t="shared" si="148"/>
        <v>1.4349999999999998</v>
      </c>
    </row>
    <row r="617" spans="1:40" x14ac:dyDescent="0.25">
      <c r="B617" s="40" t="s">
        <v>110</v>
      </c>
      <c r="C617" s="31">
        <v>46054</v>
      </c>
      <c r="D617" s="32"/>
      <c r="E617" s="32"/>
      <c r="F617" s="35">
        <v>31.5</v>
      </c>
      <c r="G617" s="35">
        <v>100</v>
      </c>
      <c r="H617" s="30" t="s">
        <v>64</v>
      </c>
      <c r="I617" s="30" t="s">
        <v>27</v>
      </c>
      <c r="J617" s="30" t="s">
        <v>28</v>
      </c>
      <c r="K617" s="9" t="str">
        <f>IFERROR(VLOOKUP($B617,[1]Kundenübersicht!$E$4:$AC$1003,MATCH(K$3,[1]Kundenübersicht!$E$3:$BA$3,FALSE),FALSE),"")</f>
        <v>AOK PLUS</v>
      </c>
      <c r="L617" s="13">
        <f>IFERROR(VLOOKUP(B617,[1]Kundenübersicht!$E$4:$AC$1003,MATCH(L$3,[1]Kundenübersicht!$E$3:$BA$3,FALSE),FALSE),"")</f>
        <v>107299005</v>
      </c>
      <c r="M617" s="13" t="str">
        <f>IFERROR(VLOOKUP(B617,[1]Kundenübersicht!$E$4:$AC$1003,MATCH(M$3,[1]Kundenübersicht!$E$3:$BA$3,FALSE),FALSE),"")</f>
        <v>R426357628</v>
      </c>
      <c r="N617" s="13" t="str">
        <f>IFERROR(VLOOKUP(B617,[1]Kundenübersicht!$E$4:$AC$1003,MATCH(N$3,[1]Kundenübersicht!$E$3:$BA$3,FALSE),FALSE),"")</f>
        <v>PG 5</v>
      </c>
      <c r="P617" s="9" t="s">
        <v>29</v>
      </c>
      <c r="R617" s="9" t="str">
        <f t="shared" si="143"/>
        <v>Fehlt</v>
      </c>
      <c r="S617" s="14"/>
      <c r="U617" s="15">
        <f>IF(YEAR(C617)&lt;=2025,IFERROR(IF(I617="Hauswirtschaft",VLOOKUP($B617,[1]Kundenübersicht!$E$4:$BA$1003,MATCH("Hauswirtschaft [€/Stunde]",[1]Kundenübersicht!$E$3:$BA$3,FALSE),FALSE),VLOOKUP($B617,[1]Kundenübersicht!$E$4:$BA$1003,MATCH("Alltagsbegleitung [€/Stunde]",[1]Kundenübersicht!$E$3:$BA$3,FALSE),FALSE)),0),IFERROR(IF(I617="Hauswirtschaft",VLOOKUP($B617,[1]Kundenübersicht!$E$4:$BA$1003,MATCH("HW ab 2026 [€/Stunde]",[1]Kundenübersicht!$E$3:$BA$3,FALSE),FALSE),VLOOKUP($B617,[1]Kundenübersicht!$E$4:$BA$1003,MATCH("Alltagsbegleitung [€/Stunde]",[1]Kundenübersicht!$E$3:$BA$3,FALSE),FALSE)),0))</f>
        <v>38</v>
      </c>
      <c r="V617" s="16">
        <f t="shared" si="145"/>
        <v>1197</v>
      </c>
      <c r="W617" s="16">
        <f t="shared" si="152"/>
        <v>35</v>
      </c>
      <c r="X617" s="16" t="s">
        <v>89</v>
      </c>
      <c r="Z617" s="20" t="str">
        <f t="shared" si="141"/>
        <v>Nein</v>
      </c>
      <c r="AA617" s="19"/>
      <c r="AC617" s="19"/>
      <c r="AE617" s="9">
        <f t="shared" si="149"/>
        <v>2026</v>
      </c>
      <c r="AF617" s="17" t="str">
        <f t="shared" si="150"/>
        <v>02.2026</v>
      </c>
      <c r="AG617" s="17" t="str">
        <f t="shared" si="151"/>
        <v>Ursula Ullmann</v>
      </c>
      <c r="AH617" s="17" t="str">
        <f>IFERROR(VLOOKUP(B617,[1]Kundenübersicht!$E$4:$F$85,2,FALSE),"")</f>
        <v>Rosali Demirer</v>
      </c>
      <c r="AI617" s="17" t="str">
        <f t="shared" si="153"/>
        <v>Hauswirtschaft</v>
      </c>
      <c r="AJ617" s="17" t="str">
        <f t="shared" si="153"/>
        <v>Entlastungsleistung</v>
      </c>
      <c r="AL617" s="18">
        <f t="shared" si="146"/>
        <v>38</v>
      </c>
      <c r="AM617" s="18">
        <f t="shared" si="147"/>
        <v>1197</v>
      </c>
      <c r="AN617" s="18">
        <f t="shared" si="148"/>
        <v>35</v>
      </c>
    </row>
    <row r="618" spans="1:40" x14ac:dyDescent="0.25">
      <c r="B618" s="40" t="s">
        <v>110</v>
      </c>
      <c r="C618" s="31">
        <v>46054</v>
      </c>
      <c r="D618" s="32"/>
      <c r="E618" s="32"/>
      <c r="F618" s="35">
        <v>15.5</v>
      </c>
      <c r="G618" s="35">
        <v>100</v>
      </c>
      <c r="H618" s="30" t="s">
        <v>64</v>
      </c>
      <c r="I618" s="30" t="s">
        <v>41</v>
      </c>
      <c r="J618" s="30" t="s">
        <v>28</v>
      </c>
      <c r="K618" s="9" t="str">
        <f>IFERROR(VLOOKUP($B618,[1]Kundenübersicht!$E$4:$AC$1003,MATCH(K$3,[1]Kundenübersicht!$E$3:$BA$3,FALSE),FALSE),"")</f>
        <v>AOK PLUS</v>
      </c>
      <c r="L618" s="13">
        <f>IFERROR(VLOOKUP(B618,[1]Kundenübersicht!$E$4:$AC$1003,MATCH(L$3,[1]Kundenübersicht!$E$3:$BA$3,FALSE),FALSE),"")</f>
        <v>107299005</v>
      </c>
      <c r="M618" s="13" t="str">
        <f>IFERROR(VLOOKUP(B618,[1]Kundenübersicht!$E$4:$AC$1003,MATCH(M$3,[1]Kundenübersicht!$E$3:$BA$3,FALSE),FALSE),"")</f>
        <v>R426357628</v>
      </c>
      <c r="N618" s="13" t="str">
        <f>IFERROR(VLOOKUP(B618,[1]Kundenübersicht!$E$4:$AC$1003,MATCH(N$3,[1]Kundenübersicht!$E$3:$BA$3,FALSE),FALSE),"")</f>
        <v>PG 5</v>
      </c>
      <c r="P618" s="9" t="s">
        <v>29</v>
      </c>
      <c r="R618" s="9" t="str">
        <f t="shared" si="143"/>
        <v>Fehlt</v>
      </c>
      <c r="S618" s="14"/>
      <c r="U618" s="15">
        <f>IF(YEAR(C618)&lt;=2025,IFERROR(IF(I618="Hauswirtschaft",VLOOKUP($B618,[1]Kundenübersicht!$E$4:$BA$1003,MATCH("Hauswirtschaft [€/Stunde]",[1]Kundenübersicht!$E$3:$BA$3,FALSE),FALSE),VLOOKUP($B618,[1]Kundenübersicht!$E$4:$BA$1003,MATCH("Alltagsbegleitung [€/Stunde]",[1]Kundenübersicht!$E$3:$BA$3,FALSE),FALSE)),0),IFERROR(IF(I618="Hauswirtschaft",VLOOKUP($B618,[1]Kundenübersicht!$E$4:$BA$1003,MATCH("HW ab 2026 [€/Stunde]",[1]Kundenübersicht!$E$3:$BA$3,FALSE),FALSE),VLOOKUP($B618,[1]Kundenübersicht!$E$4:$BA$1003,MATCH("Alltagsbegleitung [€/Stunde]",[1]Kundenübersicht!$E$3:$BA$3,FALSE),FALSE)),0))</f>
        <v>42</v>
      </c>
      <c r="V618" s="16">
        <f t="shared" si="145"/>
        <v>651</v>
      </c>
      <c r="W618" s="16">
        <f t="shared" si="152"/>
        <v>35</v>
      </c>
      <c r="X618" s="16" t="s">
        <v>89</v>
      </c>
      <c r="Z618" s="20" t="str">
        <f t="shared" si="141"/>
        <v>Nein</v>
      </c>
      <c r="AA618" s="19"/>
      <c r="AC618" s="19"/>
      <c r="AE618" s="9">
        <f t="shared" si="149"/>
        <v>2026</v>
      </c>
      <c r="AF618" s="17" t="str">
        <f t="shared" si="150"/>
        <v>02.2026</v>
      </c>
      <c r="AG618" s="17" t="str">
        <f t="shared" si="151"/>
        <v>Ursula Ullmann</v>
      </c>
      <c r="AH618" s="17" t="str">
        <f>IFERROR(VLOOKUP(B618,[1]Kundenübersicht!$E$4:$F$85,2,FALSE),"")</f>
        <v>Rosali Demirer</v>
      </c>
      <c r="AI618" s="17" t="str">
        <f t="shared" si="153"/>
        <v>Alltagsbegleitung</v>
      </c>
      <c r="AJ618" s="17" t="str">
        <f t="shared" si="153"/>
        <v>Entlastungsleistung</v>
      </c>
      <c r="AL618" s="18">
        <f t="shared" si="146"/>
        <v>42</v>
      </c>
      <c r="AM618" s="18">
        <f t="shared" si="147"/>
        <v>651</v>
      </c>
      <c r="AN618" s="18">
        <f t="shared" si="148"/>
        <v>35</v>
      </c>
    </row>
    <row r="619" spans="1:40" x14ac:dyDescent="0.25">
      <c r="B619" s="40" t="s">
        <v>110</v>
      </c>
      <c r="C619" s="31">
        <v>46054</v>
      </c>
      <c r="D619" s="32"/>
      <c r="E619" s="32"/>
      <c r="F619" s="35">
        <v>3</v>
      </c>
      <c r="G619" s="35"/>
      <c r="H619" s="30" t="s">
        <v>33</v>
      </c>
      <c r="I619" s="30" t="s">
        <v>41</v>
      </c>
      <c r="J619" s="30" t="s">
        <v>28</v>
      </c>
      <c r="K619" s="9" t="str">
        <f>IFERROR(VLOOKUP($B619,[1]Kundenübersicht!$E$4:$AC$1003,MATCH(K$3,[1]Kundenübersicht!$E$3:$BA$3,FALSE),FALSE),"")</f>
        <v>AOK PLUS</v>
      </c>
      <c r="L619" s="13">
        <f>IFERROR(VLOOKUP(B619,[1]Kundenübersicht!$E$4:$AC$1003,MATCH(L$3,[1]Kundenübersicht!$E$3:$BA$3,FALSE),FALSE),"")</f>
        <v>107299005</v>
      </c>
      <c r="M619" s="13" t="str">
        <f>IFERROR(VLOOKUP(B619,[1]Kundenübersicht!$E$4:$AC$1003,MATCH(M$3,[1]Kundenübersicht!$E$3:$BA$3,FALSE),FALSE),"")</f>
        <v>R426357628</v>
      </c>
      <c r="N619" s="13" t="str">
        <f>IFERROR(VLOOKUP(B619,[1]Kundenübersicht!$E$4:$AC$1003,MATCH(N$3,[1]Kundenübersicht!$E$3:$BA$3,FALSE),FALSE),"")</f>
        <v>PG 5</v>
      </c>
      <c r="P619" s="9" t="s">
        <v>29</v>
      </c>
      <c r="R619" s="9" t="str">
        <f t="shared" si="143"/>
        <v>Fehlt</v>
      </c>
      <c r="S619" s="14"/>
      <c r="U619" s="15">
        <f>IF(YEAR(C619)&lt;=2025,IFERROR(IF(I619="Hauswirtschaft",VLOOKUP($B619,[1]Kundenübersicht!$E$4:$BA$1003,MATCH("Hauswirtschaft [€/Stunde]",[1]Kundenübersicht!$E$3:$BA$3,FALSE),FALSE),VLOOKUP($B619,[1]Kundenübersicht!$E$4:$BA$1003,MATCH("Alltagsbegleitung [€/Stunde]",[1]Kundenübersicht!$E$3:$BA$3,FALSE),FALSE)),0),IFERROR(IF(I619="Hauswirtschaft",VLOOKUP($B619,[1]Kundenübersicht!$E$4:$BA$1003,MATCH("HW ab 2026 [€/Stunde]",[1]Kundenübersicht!$E$3:$BA$3,FALSE),FALSE),VLOOKUP($B619,[1]Kundenübersicht!$E$4:$BA$1003,MATCH("Alltagsbegleitung [€/Stunde]",[1]Kundenübersicht!$E$3:$BA$3,FALSE),FALSE)),0))</f>
        <v>42</v>
      </c>
      <c r="V619" s="16">
        <f t="shared" si="145"/>
        <v>126</v>
      </c>
      <c r="W619" s="16">
        <f t="shared" si="152"/>
        <v>0</v>
      </c>
      <c r="X619" s="16" t="s">
        <v>89</v>
      </c>
      <c r="Z619" s="20" t="str">
        <f t="shared" si="141"/>
        <v>Nein</v>
      </c>
      <c r="AA619" s="19"/>
      <c r="AC619" s="19"/>
      <c r="AE619" s="9">
        <f t="shared" si="149"/>
        <v>2026</v>
      </c>
      <c r="AF619" s="17" t="str">
        <f t="shared" si="150"/>
        <v>02.2026</v>
      </c>
      <c r="AG619" s="17" t="str">
        <f t="shared" si="151"/>
        <v>Christiane Fiebag</v>
      </c>
      <c r="AH619" s="17" t="str">
        <f>IFERROR(VLOOKUP(B619,[1]Kundenübersicht!$E$4:$F$85,2,FALSE),"")</f>
        <v>Rosali Demirer</v>
      </c>
      <c r="AI619" s="17" t="str">
        <f t="shared" si="153"/>
        <v>Alltagsbegleitung</v>
      </c>
      <c r="AJ619" s="17" t="str">
        <f t="shared" si="153"/>
        <v>Entlastungsleistung</v>
      </c>
      <c r="AL619" s="18">
        <f t="shared" si="146"/>
        <v>42</v>
      </c>
      <c r="AM619" s="18">
        <f t="shared" si="147"/>
        <v>126</v>
      </c>
      <c r="AN619" s="18">
        <f t="shared" si="148"/>
        <v>0</v>
      </c>
    </row>
    <row r="620" spans="1:40" x14ac:dyDescent="0.25">
      <c r="B620" s="40" t="s">
        <v>110</v>
      </c>
      <c r="C620" s="31">
        <v>46054</v>
      </c>
      <c r="D620" s="32"/>
      <c r="E620" s="32"/>
      <c r="F620" s="35">
        <v>12.5</v>
      </c>
      <c r="G620" s="35"/>
      <c r="H620" s="30" t="s">
        <v>33</v>
      </c>
      <c r="I620" s="30" t="s">
        <v>27</v>
      </c>
      <c r="J620" s="30" t="s">
        <v>28</v>
      </c>
      <c r="K620" s="9" t="str">
        <f>IFERROR(VLOOKUP($B620,[1]Kundenübersicht!$E$4:$AC$1003,MATCH(K$3,[1]Kundenübersicht!$E$3:$BA$3,FALSE),FALSE),"")</f>
        <v>AOK PLUS</v>
      </c>
      <c r="L620" s="13">
        <f>IFERROR(VLOOKUP(B620,[1]Kundenübersicht!$E$4:$AC$1003,MATCH(L$3,[1]Kundenübersicht!$E$3:$BA$3,FALSE),FALSE),"")</f>
        <v>107299005</v>
      </c>
      <c r="M620" s="13" t="str">
        <f>IFERROR(VLOOKUP(B620,[1]Kundenübersicht!$E$4:$AC$1003,MATCH(M$3,[1]Kundenübersicht!$E$3:$BA$3,FALSE),FALSE),"")</f>
        <v>R426357628</v>
      </c>
      <c r="N620" s="13" t="str">
        <f>IFERROR(VLOOKUP(B620,[1]Kundenübersicht!$E$4:$AC$1003,MATCH(N$3,[1]Kundenübersicht!$E$3:$BA$3,FALSE),FALSE),"")</f>
        <v>PG 5</v>
      </c>
      <c r="P620" s="9" t="s">
        <v>29</v>
      </c>
      <c r="R620" s="9" t="str">
        <f t="shared" si="143"/>
        <v>Fehlt</v>
      </c>
      <c r="S620" s="14"/>
      <c r="U620" s="15">
        <f>IF(YEAR(C620)&lt;=2025,IFERROR(IF(I620="Hauswirtschaft",VLOOKUP($B620,[1]Kundenübersicht!$E$4:$BA$1003,MATCH("Hauswirtschaft [€/Stunde]",[1]Kundenübersicht!$E$3:$BA$3,FALSE),FALSE),VLOOKUP($B620,[1]Kundenübersicht!$E$4:$BA$1003,MATCH("Alltagsbegleitung [€/Stunde]",[1]Kundenübersicht!$E$3:$BA$3,FALSE),FALSE)),0),IFERROR(IF(I620="Hauswirtschaft",VLOOKUP($B620,[1]Kundenübersicht!$E$4:$BA$1003,MATCH("HW ab 2026 [€/Stunde]",[1]Kundenübersicht!$E$3:$BA$3,FALSE),FALSE),VLOOKUP($B620,[1]Kundenübersicht!$E$4:$BA$1003,MATCH("Alltagsbegleitung [€/Stunde]",[1]Kundenübersicht!$E$3:$BA$3,FALSE),FALSE)),0))</f>
        <v>38</v>
      </c>
      <c r="V620" s="16">
        <f t="shared" si="145"/>
        <v>475</v>
      </c>
      <c r="W620" s="16">
        <f t="shared" si="152"/>
        <v>0</v>
      </c>
      <c r="X620" s="16" t="s">
        <v>89</v>
      </c>
      <c r="Z620" s="20" t="str">
        <f t="shared" si="141"/>
        <v>Nein</v>
      </c>
      <c r="AA620" s="19"/>
      <c r="AC620" s="19"/>
      <c r="AE620" s="9">
        <f t="shared" si="149"/>
        <v>2026</v>
      </c>
      <c r="AF620" s="17" t="str">
        <f t="shared" si="150"/>
        <v>02.2026</v>
      </c>
      <c r="AG620" s="17" t="str">
        <f t="shared" si="151"/>
        <v>Christiane Fiebag</v>
      </c>
      <c r="AH620" s="17" t="str">
        <f>IFERROR(VLOOKUP(B620,[1]Kundenübersicht!$E$4:$F$85,2,FALSE),"")</f>
        <v>Rosali Demirer</v>
      </c>
      <c r="AI620" s="17" t="str">
        <f t="shared" si="153"/>
        <v>Hauswirtschaft</v>
      </c>
      <c r="AJ620" s="17" t="str">
        <f t="shared" si="153"/>
        <v>Entlastungsleistung</v>
      </c>
      <c r="AL620" s="18">
        <f t="shared" si="146"/>
        <v>38</v>
      </c>
      <c r="AM620" s="18">
        <f t="shared" si="147"/>
        <v>475</v>
      </c>
      <c r="AN620" s="18">
        <f t="shared" si="148"/>
        <v>0</v>
      </c>
    </row>
    <row r="621" spans="1:40" x14ac:dyDescent="0.25">
      <c r="B621" s="30"/>
      <c r="C621" s="31"/>
      <c r="D621" s="32"/>
      <c r="E621" s="32"/>
      <c r="F621" s="12">
        <f t="shared" si="144"/>
        <v>0</v>
      </c>
      <c r="G621" s="12"/>
      <c r="H621" s="30"/>
      <c r="I621" s="30"/>
      <c r="J621" s="30"/>
      <c r="K621" s="9" t="str">
        <f>IFERROR(VLOOKUP($B621,[1]Kundenübersicht!$E$4:$AC$1003,MATCH(K$3,[1]Kundenübersicht!$E$3:$BA$3,FALSE),FALSE),"")</f>
        <v/>
      </c>
      <c r="L621" s="13" t="str">
        <f>IFERROR(VLOOKUP(B621,[1]Kundenübersicht!$E$4:$AC$1003,MATCH(L$3,[1]Kundenübersicht!$E$3:$BA$3,FALSE),FALSE),"")</f>
        <v/>
      </c>
      <c r="M621" s="13" t="str">
        <f>IFERROR(VLOOKUP(B621,[1]Kundenübersicht!$E$4:$AC$1003,MATCH(M$3,[1]Kundenübersicht!$E$3:$BA$3,FALSE),FALSE),"")</f>
        <v/>
      </c>
      <c r="N621" s="13" t="str">
        <f>IFERROR(VLOOKUP(B621,[1]Kundenübersicht!$E$4:$AC$1003,MATCH(N$3,[1]Kundenübersicht!$E$3:$BA$3,FALSE),FALSE),"")</f>
        <v/>
      </c>
      <c r="P621" s="9" t="s">
        <v>29</v>
      </c>
      <c r="R621" s="9" t="str">
        <f t="shared" si="143"/>
        <v>Fehlt</v>
      </c>
      <c r="S621" s="14"/>
      <c r="U621" s="15">
        <f>IF(YEAR(C621)&lt;=2025,IFERROR(IF(I621="Hauswirtschaft",VLOOKUP($B621,[1]Kundenübersicht!$E$4:$BA$1003,MATCH("Hauswirtschaft [€/Stunde]",[1]Kundenübersicht!$E$3:$BA$3,FALSE),FALSE),VLOOKUP($B621,[1]Kundenübersicht!$E$4:$BA$1003,MATCH("Alltagsbegleitung [€/Stunde]",[1]Kundenübersicht!$E$3:$BA$3,FALSE),FALSE)),0),IFERROR(IF(I621="Hauswirtschaft",VLOOKUP($B621,[1]Kundenübersicht!$E$4:$BA$1003,MATCH("HW ab 2026 [€/Stunde]",[1]Kundenübersicht!$E$3:$BA$3,FALSE),FALSE),VLOOKUP($B621,[1]Kundenübersicht!$E$4:$BA$1003,MATCH("Alltagsbegleitung [€/Stunde]",[1]Kundenübersicht!$E$3:$BA$3,FALSE),FALSE)),0))</f>
        <v>0</v>
      </c>
      <c r="V621" s="16">
        <f t="shared" si="145"/>
        <v>0</v>
      </c>
      <c r="W621" s="16">
        <f t="shared" si="152"/>
        <v>0</v>
      </c>
      <c r="X621" s="16" t="s">
        <v>89</v>
      </c>
      <c r="Z621" s="20" t="str">
        <f t="shared" si="141"/>
        <v>Nein</v>
      </c>
      <c r="AA621" s="19"/>
      <c r="AC621" s="19"/>
      <c r="AE621" s="9">
        <f t="shared" si="149"/>
        <v>1900</v>
      </c>
      <c r="AF621" s="17" t="str">
        <f t="shared" si="150"/>
        <v>01.1900</v>
      </c>
      <c r="AG621" s="17" t="str">
        <f t="shared" si="151"/>
        <v/>
      </c>
      <c r="AH621" s="17" t="str">
        <f>IFERROR(VLOOKUP(B621,[1]Kundenübersicht!$E$4:$F$85,2,FALSE),"")</f>
        <v/>
      </c>
      <c r="AI621" s="17" t="str">
        <f t="shared" si="153"/>
        <v/>
      </c>
      <c r="AJ621" s="17" t="str">
        <f t="shared" si="153"/>
        <v/>
      </c>
      <c r="AL621" s="18">
        <f t="shared" si="146"/>
        <v>42</v>
      </c>
      <c r="AM621" s="18">
        <f t="shared" si="147"/>
        <v>0</v>
      </c>
      <c r="AN621" s="18">
        <f t="shared" si="148"/>
        <v>0</v>
      </c>
    </row>
    <row r="622" spans="1:40" x14ac:dyDescent="0.25">
      <c r="B622" s="30"/>
      <c r="C622" s="31"/>
      <c r="D622" s="32"/>
      <c r="E622" s="32"/>
      <c r="F622" s="12">
        <f t="shared" si="144"/>
        <v>0</v>
      </c>
      <c r="G622" s="12"/>
      <c r="H622" s="30"/>
      <c r="I622" s="30"/>
      <c r="J622" s="30"/>
      <c r="K622" s="9" t="str">
        <f>IFERROR(VLOOKUP($B622,[1]Kundenübersicht!$E$4:$AC$1003,MATCH(K$3,[1]Kundenübersicht!$E$3:$BA$3,FALSE),FALSE),"")</f>
        <v/>
      </c>
      <c r="L622" s="13" t="str">
        <f>IFERROR(VLOOKUP(B622,[1]Kundenübersicht!$E$4:$AC$1003,MATCH(L$3,[1]Kundenübersicht!$E$3:$BA$3,FALSE),FALSE),"")</f>
        <v/>
      </c>
      <c r="M622" s="13" t="str">
        <f>IFERROR(VLOOKUP(B622,[1]Kundenübersicht!$E$4:$AC$1003,MATCH(M$3,[1]Kundenübersicht!$E$3:$BA$3,FALSE),FALSE),"")</f>
        <v/>
      </c>
      <c r="N622" s="13" t="str">
        <f>IFERROR(VLOOKUP(B622,[1]Kundenübersicht!$E$4:$AC$1003,MATCH(N$3,[1]Kundenübersicht!$E$3:$BA$3,FALSE),FALSE),"")</f>
        <v/>
      </c>
      <c r="P622" s="9" t="s">
        <v>29</v>
      </c>
      <c r="R622" s="9" t="str">
        <f t="shared" si="143"/>
        <v>Fehlt</v>
      </c>
      <c r="S622" s="14"/>
      <c r="U622" s="15">
        <f>IF(YEAR(C622)&lt;=2025,IFERROR(IF(I622="Hauswirtschaft",VLOOKUP($B622,[1]Kundenübersicht!$E$4:$BA$1003,MATCH("Hauswirtschaft [€/Stunde]",[1]Kundenübersicht!$E$3:$BA$3,FALSE),FALSE),VLOOKUP($B622,[1]Kundenübersicht!$E$4:$BA$1003,MATCH("Alltagsbegleitung [€/Stunde]",[1]Kundenübersicht!$E$3:$BA$3,FALSE),FALSE)),0),IFERROR(IF(I622="Hauswirtschaft",VLOOKUP($B622,[1]Kundenübersicht!$E$4:$BA$1003,MATCH("HW ab 2026 [€/Stunde]",[1]Kundenübersicht!$E$3:$BA$3,FALSE),FALSE),VLOOKUP($B622,[1]Kundenübersicht!$E$4:$BA$1003,MATCH("Alltagsbegleitung [€/Stunde]",[1]Kundenübersicht!$E$3:$BA$3,FALSE),FALSE)),0))</f>
        <v>0</v>
      </c>
      <c r="V622" s="16">
        <f t="shared" si="145"/>
        <v>0</v>
      </c>
      <c r="W622" s="16">
        <f t="shared" si="152"/>
        <v>0</v>
      </c>
      <c r="X622" s="16" t="s">
        <v>89</v>
      </c>
      <c r="Z622" s="20" t="str">
        <f t="shared" si="141"/>
        <v>Nein</v>
      </c>
      <c r="AA622" s="19"/>
      <c r="AC622" s="19"/>
      <c r="AE622" s="9">
        <f t="shared" si="149"/>
        <v>1900</v>
      </c>
      <c r="AF622" s="17" t="str">
        <f t="shared" si="150"/>
        <v>01.1900</v>
      </c>
      <c r="AG622" s="17" t="str">
        <f t="shared" si="151"/>
        <v/>
      </c>
      <c r="AH622" s="17" t="str">
        <f>IFERROR(VLOOKUP(B622,[1]Kundenübersicht!$E$4:$F$85,2,FALSE),"")</f>
        <v/>
      </c>
      <c r="AI622" s="17" t="str">
        <f t="shared" si="153"/>
        <v/>
      </c>
      <c r="AJ622" s="17" t="str">
        <f t="shared" si="153"/>
        <v/>
      </c>
      <c r="AL622" s="18">
        <f t="shared" si="146"/>
        <v>42</v>
      </c>
      <c r="AM622" s="18">
        <f t="shared" si="147"/>
        <v>0</v>
      </c>
      <c r="AN622" s="18">
        <f t="shared" si="148"/>
        <v>0</v>
      </c>
    </row>
    <row r="623" spans="1:40" x14ac:dyDescent="0.25">
      <c r="B623" s="30"/>
      <c r="C623" s="31"/>
      <c r="D623" s="32"/>
      <c r="E623" s="32"/>
      <c r="F623" s="12">
        <f t="shared" si="144"/>
        <v>0</v>
      </c>
      <c r="G623" s="12"/>
      <c r="H623" s="30"/>
      <c r="I623" s="30"/>
      <c r="J623" s="30"/>
      <c r="K623" s="9" t="str">
        <f>IFERROR(VLOOKUP($B623,[1]Kundenübersicht!$E$4:$AC$1003,MATCH(K$3,[1]Kundenübersicht!$E$3:$BA$3,FALSE),FALSE),"")</f>
        <v/>
      </c>
      <c r="L623" s="13" t="str">
        <f>IFERROR(VLOOKUP(B623,[1]Kundenübersicht!$E$4:$AC$1003,MATCH(L$3,[1]Kundenübersicht!$E$3:$BA$3,FALSE),FALSE),"")</f>
        <v/>
      </c>
      <c r="M623" s="13" t="str">
        <f>IFERROR(VLOOKUP(B623,[1]Kundenübersicht!$E$4:$AC$1003,MATCH(M$3,[1]Kundenübersicht!$E$3:$BA$3,FALSE),FALSE),"")</f>
        <v/>
      </c>
      <c r="N623" s="13" t="str">
        <f>IFERROR(VLOOKUP(B623,[1]Kundenübersicht!$E$4:$AC$1003,MATCH(N$3,[1]Kundenübersicht!$E$3:$BA$3,FALSE),FALSE),"")</f>
        <v/>
      </c>
      <c r="P623" s="9" t="s">
        <v>29</v>
      </c>
      <c r="R623" s="9" t="str">
        <f t="shared" si="143"/>
        <v>Fehlt</v>
      </c>
      <c r="S623" s="14"/>
      <c r="U623" s="15">
        <f>IF(YEAR(C623)&lt;=2025,IFERROR(IF(I623="Hauswirtschaft",VLOOKUP($B623,[1]Kundenübersicht!$E$4:$BA$1003,MATCH("Hauswirtschaft [€/Stunde]",[1]Kundenübersicht!$E$3:$BA$3,FALSE),FALSE),VLOOKUP($B623,[1]Kundenübersicht!$E$4:$BA$1003,MATCH("Alltagsbegleitung [€/Stunde]",[1]Kundenübersicht!$E$3:$BA$3,FALSE),FALSE)),0),IFERROR(IF(I623="Hauswirtschaft",VLOOKUP($B623,[1]Kundenübersicht!$E$4:$BA$1003,MATCH("HW ab 2026 [€/Stunde]",[1]Kundenübersicht!$E$3:$BA$3,FALSE),FALSE),VLOOKUP($B623,[1]Kundenübersicht!$E$4:$BA$1003,MATCH("Alltagsbegleitung [€/Stunde]",[1]Kundenübersicht!$E$3:$BA$3,FALSE),FALSE)),0))</f>
        <v>0</v>
      </c>
      <c r="V623" s="16">
        <f t="shared" si="145"/>
        <v>0</v>
      </c>
      <c r="W623" s="16">
        <f t="shared" si="152"/>
        <v>0</v>
      </c>
      <c r="X623" s="16" t="s">
        <v>89</v>
      </c>
      <c r="Z623" s="20" t="str">
        <f t="shared" si="141"/>
        <v>Nein</v>
      </c>
      <c r="AA623" s="19"/>
      <c r="AC623" s="19"/>
      <c r="AE623" s="9">
        <f t="shared" si="149"/>
        <v>1900</v>
      </c>
      <c r="AF623" s="17" t="str">
        <f t="shared" si="150"/>
        <v>01.1900</v>
      </c>
      <c r="AG623" s="17" t="str">
        <f t="shared" si="151"/>
        <v/>
      </c>
      <c r="AH623" s="17" t="str">
        <f>IFERROR(VLOOKUP(B623,[1]Kundenübersicht!$E$4:$F$85,2,FALSE),"")</f>
        <v/>
      </c>
      <c r="AI623" s="17" t="str">
        <f t="shared" si="153"/>
        <v/>
      </c>
      <c r="AJ623" s="17" t="str">
        <f t="shared" si="153"/>
        <v/>
      </c>
      <c r="AL623" s="18">
        <f t="shared" si="146"/>
        <v>42</v>
      </c>
      <c r="AM623" s="18">
        <f t="shared" si="147"/>
        <v>0</v>
      </c>
      <c r="AN623" s="18">
        <f t="shared" si="148"/>
        <v>0</v>
      </c>
    </row>
    <row r="624" spans="1:40" x14ac:dyDescent="0.25">
      <c r="B624" s="30"/>
      <c r="C624" s="31"/>
      <c r="D624" s="32"/>
      <c r="E624" s="32"/>
      <c r="F624" s="12">
        <f t="shared" si="144"/>
        <v>0</v>
      </c>
      <c r="G624" s="12"/>
      <c r="H624" s="30"/>
      <c r="I624" s="30"/>
      <c r="J624" s="30"/>
      <c r="K624" s="9" t="str">
        <f>IFERROR(VLOOKUP($B624,[1]Kundenübersicht!$E$4:$AC$1003,MATCH(K$3,[1]Kundenübersicht!$E$3:$BA$3,FALSE),FALSE),"")</f>
        <v/>
      </c>
      <c r="L624" s="13" t="str">
        <f>IFERROR(VLOOKUP(B624,[1]Kundenübersicht!$E$4:$AC$1003,MATCH(L$3,[1]Kundenübersicht!$E$3:$BA$3,FALSE),FALSE),"")</f>
        <v/>
      </c>
      <c r="M624" s="13" t="str">
        <f>IFERROR(VLOOKUP(B624,[1]Kundenübersicht!$E$4:$AC$1003,MATCH(M$3,[1]Kundenübersicht!$E$3:$BA$3,FALSE),FALSE),"")</f>
        <v/>
      </c>
      <c r="N624" s="13" t="str">
        <f>IFERROR(VLOOKUP(B624,[1]Kundenübersicht!$E$4:$AC$1003,MATCH(N$3,[1]Kundenübersicht!$E$3:$BA$3,FALSE),FALSE),"")</f>
        <v/>
      </c>
      <c r="P624" s="9" t="s">
        <v>29</v>
      </c>
      <c r="R624" s="9" t="str">
        <f t="shared" si="143"/>
        <v>Fehlt</v>
      </c>
      <c r="S624" s="14"/>
      <c r="U624" s="15">
        <f>IF(YEAR(C624)&lt;=2025,IFERROR(IF(I624="Hauswirtschaft",VLOOKUP($B624,[1]Kundenübersicht!$E$4:$BA$1003,MATCH("Hauswirtschaft [€/Stunde]",[1]Kundenübersicht!$E$3:$BA$3,FALSE),FALSE),VLOOKUP($B624,[1]Kundenübersicht!$E$4:$BA$1003,MATCH("Alltagsbegleitung [€/Stunde]",[1]Kundenübersicht!$E$3:$BA$3,FALSE),FALSE)),0),IFERROR(IF(I624="Hauswirtschaft",VLOOKUP($B624,[1]Kundenübersicht!$E$4:$BA$1003,MATCH("HW ab 2026 [€/Stunde]",[1]Kundenübersicht!$E$3:$BA$3,FALSE),FALSE),VLOOKUP($B624,[1]Kundenübersicht!$E$4:$BA$1003,MATCH("Alltagsbegleitung [€/Stunde]",[1]Kundenübersicht!$E$3:$BA$3,FALSE),FALSE)),0))</f>
        <v>0</v>
      </c>
      <c r="V624" s="16">
        <f t="shared" si="145"/>
        <v>0</v>
      </c>
      <c r="W624" s="16">
        <f t="shared" si="152"/>
        <v>0</v>
      </c>
      <c r="X624" s="16" t="s">
        <v>89</v>
      </c>
      <c r="Z624" s="20" t="str">
        <f t="shared" si="141"/>
        <v>Nein</v>
      </c>
      <c r="AA624" s="19"/>
      <c r="AC624" s="19"/>
      <c r="AE624" s="9">
        <f t="shared" si="149"/>
        <v>1900</v>
      </c>
      <c r="AF624" s="17" t="str">
        <f t="shared" si="150"/>
        <v>01.1900</v>
      </c>
      <c r="AG624" s="17" t="str">
        <f t="shared" si="151"/>
        <v/>
      </c>
      <c r="AH624" s="17" t="str">
        <f>IFERROR(VLOOKUP(B624,[1]Kundenübersicht!$E$4:$F$85,2,FALSE),"")</f>
        <v/>
      </c>
      <c r="AI624" s="17" t="str">
        <f t="shared" si="153"/>
        <v/>
      </c>
      <c r="AJ624" s="17" t="str">
        <f t="shared" si="153"/>
        <v/>
      </c>
      <c r="AL624" s="18">
        <f t="shared" si="146"/>
        <v>42</v>
      </c>
      <c r="AM624" s="18">
        <f t="shared" si="147"/>
        <v>0</v>
      </c>
      <c r="AN624" s="18">
        <f t="shared" si="148"/>
        <v>0</v>
      </c>
    </row>
    <row r="625" spans="1:40" x14ac:dyDescent="0.25">
      <c r="B625" s="30"/>
      <c r="C625" s="31"/>
      <c r="D625" s="32"/>
      <c r="E625" s="32"/>
      <c r="F625" s="12">
        <f t="shared" si="144"/>
        <v>0</v>
      </c>
      <c r="G625" s="12"/>
      <c r="H625" s="30"/>
      <c r="I625" s="30"/>
      <c r="J625" s="30"/>
      <c r="K625" s="9" t="str">
        <f>IFERROR(VLOOKUP($B625,[1]Kundenübersicht!$E$4:$AC$1003,MATCH(K$3,[1]Kundenübersicht!$E$3:$BA$3,FALSE),FALSE),"")</f>
        <v/>
      </c>
      <c r="L625" s="13" t="str">
        <f>IFERROR(VLOOKUP(B625,[1]Kundenübersicht!$E$4:$AC$1003,MATCH(L$3,[1]Kundenübersicht!$E$3:$BA$3,FALSE),FALSE),"")</f>
        <v/>
      </c>
      <c r="M625" s="13" t="str">
        <f>IFERROR(VLOOKUP(B625,[1]Kundenübersicht!$E$4:$AC$1003,MATCH(M$3,[1]Kundenübersicht!$E$3:$BA$3,FALSE),FALSE),"")</f>
        <v/>
      </c>
      <c r="N625" s="13" t="str">
        <f>IFERROR(VLOOKUP(B625,[1]Kundenübersicht!$E$4:$AC$1003,MATCH(N$3,[1]Kundenübersicht!$E$3:$BA$3,FALSE),FALSE),"")</f>
        <v/>
      </c>
      <c r="P625" s="9" t="s">
        <v>29</v>
      </c>
      <c r="R625" s="9" t="str">
        <f t="shared" si="143"/>
        <v>Fehlt</v>
      </c>
      <c r="S625" s="14"/>
      <c r="U625" s="15">
        <f>IF(YEAR(C625)&lt;=2025,IFERROR(IF(I625="Hauswirtschaft",VLOOKUP($B625,[1]Kundenübersicht!$E$4:$BA$1003,MATCH("Hauswirtschaft [€/Stunde]",[1]Kundenübersicht!$E$3:$BA$3,FALSE),FALSE),VLOOKUP($B625,[1]Kundenübersicht!$E$4:$BA$1003,MATCH("Alltagsbegleitung [€/Stunde]",[1]Kundenübersicht!$E$3:$BA$3,FALSE),FALSE)),0),IFERROR(IF(I625="Hauswirtschaft",VLOOKUP($B625,[1]Kundenübersicht!$E$4:$BA$1003,MATCH("HW ab 2026 [€/Stunde]",[1]Kundenübersicht!$E$3:$BA$3,FALSE),FALSE),VLOOKUP($B625,[1]Kundenübersicht!$E$4:$BA$1003,MATCH("Alltagsbegleitung [€/Stunde]",[1]Kundenübersicht!$E$3:$BA$3,FALSE),FALSE)),0))</f>
        <v>0</v>
      </c>
      <c r="V625" s="16">
        <f t="shared" si="145"/>
        <v>0</v>
      </c>
      <c r="W625" s="16">
        <f t="shared" si="152"/>
        <v>0</v>
      </c>
      <c r="X625" s="16" t="s">
        <v>89</v>
      </c>
      <c r="Z625" s="20" t="str">
        <f t="shared" si="141"/>
        <v>Nein</v>
      </c>
      <c r="AA625" s="19"/>
      <c r="AC625" s="19"/>
      <c r="AE625" s="9">
        <f t="shared" si="149"/>
        <v>1900</v>
      </c>
      <c r="AF625" s="17" t="str">
        <f t="shared" si="150"/>
        <v>01.1900</v>
      </c>
      <c r="AG625" s="17" t="str">
        <f t="shared" si="151"/>
        <v/>
      </c>
      <c r="AH625" s="17" t="str">
        <f>IFERROR(VLOOKUP(B625,[1]Kundenübersicht!$E$4:$F$85,2,FALSE),"")</f>
        <v/>
      </c>
      <c r="AI625" s="17" t="str">
        <f t="shared" si="153"/>
        <v/>
      </c>
      <c r="AJ625" s="17" t="str">
        <f t="shared" si="153"/>
        <v/>
      </c>
      <c r="AL625" s="18">
        <f t="shared" si="146"/>
        <v>42</v>
      </c>
      <c r="AM625" s="18">
        <f t="shared" si="147"/>
        <v>0</v>
      </c>
      <c r="AN625" s="18">
        <f t="shared" si="148"/>
        <v>0</v>
      </c>
    </row>
    <row r="626" spans="1:40" x14ac:dyDescent="0.25">
      <c r="B626" s="30"/>
      <c r="C626" s="31"/>
      <c r="D626" s="32"/>
      <c r="E626" s="32"/>
      <c r="F626" s="12">
        <f t="shared" si="144"/>
        <v>0</v>
      </c>
      <c r="G626" s="12"/>
      <c r="H626" s="30"/>
      <c r="I626" s="30"/>
      <c r="J626" s="30"/>
      <c r="K626" s="9" t="str">
        <f>IFERROR(VLOOKUP($B626,[1]Kundenübersicht!$E$4:$AC$1003,MATCH(K$3,[1]Kundenübersicht!$E$3:$BA$3,FALSE),FALSE),"")</f>
        <v/>
      </c>
      <c r="L626" s="13" t="str">
        <f>IFERROR(VLOOKUP(B626,[1]Kundenübersicht!$E$4:$AC$1003,MATCH(L$3,[1]Kundenübersicht!$E$3:$BA$3,FALSE),FALSE),"")</f>
        <v/>
      </c>
      <c r="M626" s="13" t="str">
        <f>IFERROR(VLOOKUP(B626,[1]Kundenübersicht!$E$4:$AC$1003,MATCH(M$3,[1]Kundenübersicht!$E$3:$BA$3,FALSE),FALSE),"")</f>
        <v/>
      </c>
      <c r="N626" s="13" t="str">
        <f>IFERROR(VLOOKUP(B626,[1]Kundenübersicht!$E$4:$AC$1003,MATCH(N$3,[1]Kundenübersicht!$E$3:$BA$3,FALSE),FALSE),"")</f>
        <v/>
      </c>
      <c r="P626" s="9" t="s">
        <v>29</v>
      </c>
      <c r="R626" s="9" t="str">
        <f t="shared" si="143"/>
        <v>Fehlt</v>
      </c>
      <c r="S626" s="14"/>
      <c r="U626" s="15">
        <f>IF(YEAR(C626)&lt;=2025,IFERROR(IF(I626="Hauswirtschaft",VLOOKUP($B626,[1]Kundenübersicht!$E$4:$BA$1003,MATCH("Hauswirtschaft [€/Stunde]",[1]Kundenübersicht!$E$3:$BA$3,FALSE),FALSE),VLOOKUP($B626,[1]Kundenübersicht!$E$4:$BA$1003,MATCH("Alltagsbegleitung [€/Stunde]",[1]Kundenübersicht!$E$3:$BA$3,FALSE),FALSE)),0),IFERROR(IF(I626="Hauswirtschaft",VLOOKUP($B626,[1]Kundenübersicht!$E$4:$BA$1003,MATCH("HW ab 2026 [€/Stunde]",[1]Kundenübersicht!$E$3:$BA$3,FALSE),FALSE),VLOOKUP($B626,[1]Kundenübersicht!$E$4:$BA$1003,MATCH("Alltagsbegleitung [€/Stunde]",[1]Kundenübersicht!$E$3:$BA$3,FALSE),FALSE)),0))</f>
        <v>0</v>
      </c>
      <c r="V626" s="16">
        <f t="shared" si="145"/>
        <v>0</v>
      </c>
      <c r="W626" s="16">
        <f t="shared" si="152"/>
        <v>0</v>
      </c>
      <c r="X626" s="16" t="s">
        <v>89</v>
      </c>
      <c r="Z626" s="20" t="str">
        <f t="shared" ref="Z626:Z653" si="154">IF(AA626="","Nein","Ja")</f>
        <v>Nein</v>
      </c>
      <c r="AA626" s="19"/>
      <c r="AC626" s="19"/>
      <c r="AE626" s="9">
        <f t="shared" si="149"/>
        <v>1900</v>
      </c>
      <c r="AF626" s="17" t="str">
        <f t="shared" si="150"/>
        <v>01.1900</v>
      </c>
      <c r="AG626" s="17" t="str">
        <f t="shared" si="151"/>
        <v/>
      </c>
      <c r="AH626" s="17" t="str">
        <f>IFERROR(VLOOKUP(B626,[1]Kundenübersicht!$E$4:$F$85,2,FALSE),"")</f>
        <v/>
      </c>
      <c r="AI626" s="17" t="str">
        <f t="shared" si="153"/>
        <v/>
      </c>
      <c r="AJ626" s="17" t="str">
        <f t="shared" si="153"/>
        <v/>
      </c>
      <c r="AL626" s="18">
        <f t="shared" si="146"/>
        <v>42</v>
      </c>
      <c r="AM626" s="18">
        <f t="shared" si="147"/>
        <v>0</v>
      </c>
      <c r="AN626" s="18">
        <f t="shared" si="148"/>
        <v>0</v>
      </c>
    </row>
    <row r="627" spans="1:40" x14ac:dyDescent="0.25">
      <c r="B627" s="30"/>
      <c r="C627" s="31"/>
      <c r="D627" s="32"/>
      <c r="E627" s="32"/>
      <c r="F627" s="12">
        <f t="shared" si="144"/>
        <v>0</v>
      </c>
      <c r="G627" s="12"/>
      <c r="H627" s="30"/>
      <c r="I627" s="30"/>
      <c r="J627" s="30"/>
      <c r="K627" s="9" t="str">
        <f>IFERROR(VLOOKUP($B627,[1]Kundenübersicht!$E$4:$AC$1003,MATCH(K$3,[1]Kundenübersicht!$E$3:$BA$3,FALSE),FALSE),"")</f>
        <v/>
      </c>
      <c r="L627" s="13" t="str">
        <f>IFERROR(VLOOKUP(B627,[1]Kundenübersicht!$E$4:$AC$1003,MATCH(L$3,[1]Kundenübersicht!$E$3:$BA$3,FALSE),FALSE),"")</f>
        <v/>
      </c>
      <c r="M627" s="13" t="str">
        <f>IFERROR(VLOOKUP(B627,[1]Kundenübersicht!$E$4:$AC$1003,MATCH(M$3,[1]Kundenübersicht!$E$3:$BA$3,FALSE),FALSE),"")</f>
        <v/>
      </c>
      <c r="N627" s="13" t="str">
        <f>IFERROR(VLOOKUP(B627,[1]Kundenübersicht!$E$4:$AC$1003,MATCH(N$3,[1]Kundenübersicht!$E$3:$BA$3,FALSE),FALSE),"")</f>
        <v/>
      </c>
      <c r="P627" s="9" t="s">
        <v>29</v>
      </c>
      <c r="R627" s="9" t="str">
        <f t="shared" si="143"/>
        <v>Fehlt</v>
      </c>
      <c r="S627" s="14"/>
      <c r="U627" s="15">
        <f>IF(YEAR(C627)&lt;=2025,IFERROR(IF(I627="Hauswirtschaft",VLOOKUP($B627,[1]Kundenübersicht!$E$4:$BA$1003,MATCH("Hauswirtschaft [€/Stunde]",[1]Kundenübersicht!$E$3:$BA$3,FALSE),FALSE),VLOOKUP($B627,[1]Kundenübersicht!$E$4:$BA$1003,MATCH("Alltagsbegleitung [€/Stunde]",[1]Kundenübersicht!$E$3:$BA$3,FALSE),FALSE)),0),IFERROR(IF(I627="Hauswirtschaft",VLOOKUP($B627,[1]Kundenübersicht!$E$4:$BA$1003,MATCH("HW ab 2026 [€/Stunde]",[1]Kundenübersicht!$E$3:$BA$3,FALSE),FALSE),VLOOKUP($B627,[1]Kundenübersicht!$E$4:$BA$1003,MATCH("Alltagsbegleitung [€/Stunde]",[1]Kundenübersicht!$E$3:$BA$3,FALSE),FALSE)),0))</f>
        <v>0</v>
      </c>
      <c r="V627" s="16">
        <f t="shared" si="145"/>
        <v>0</v>
      </c>
      <c r="W627" s="16">
        <f t="shared" si="152"/>
        <v>0</v>
      </c>
      <c r="X627" s="16" t="s">
        <v>89</v>
      </c>
      <c r="Z627" s="20" t="str">
        <f t="shared" si="154"/>
        <v>Nein</v>
      </c>
      <c r="AA627" s="19"/>
      <c r="AC627" s="19"/>
      <c r="AE627" s="9">
        <f t="shared" si="149"/>
        <v>1900</v>
      </c>
      <c r="AF627" s="17" t="str">
        <f t="shared" si="150"/>
        <v>01.1900</v>
      </c>
      <c r="AG627" s="17" t="str">
        <f t="shared" si="151"/>
        <v/>
      </c>
      <c r="AH627" s="17" t="str">
        <f>IFERROR(VLOOKUP(B627,[1]Kundenübersicht!$E$4:$F$85,2,FALSE),"")</f>
        <v/>
      </c>
      <c r="AI627" s="17" t="str">
        <f t="shared" si="153"/>
        <v/>
      </c>
      <c r="AJ627" s="17" t="str">
        <f t="shared" si="153"/>
        <v/>
      </c>
      <c r="AL627" s="18">
        <f t="shared" si="146"/>
        <v>42</v>
      </c>
      <c r="AM627" s="18">
        <f t="shared" si="147"/>
        <v>0</v>
      </c>
      <c r="AN627" s="18">
        <f t="shared" si="148"/>
        <v>0</v>
      </c>
    </row>
    <row r="628" spans="1:40" x14ac:dyDescent="0.25">
      <c r="B628" s="30"/>
      <c r="C628" s="31"/>
      <c r="D628" s="32"/>
      <c r="E628" s="32"/>
      <c r="F628" s="12">
        <f t="shared" si="144"/>
        <v>0</v>
      </c>
      <c r="G628" s="12"/>
      <c r="H628" s="30"/>
      <c r="I628" s="30"/>
      <c r="J628" s="30"/>
      <c r="K628" s="9" t="str">
        <f>IFERROR(VLOOKUP($B628,[1]Kundenübersicht!$E$4:$AC$1003,MATCH(K$3,[1]Kundenübersicht!$E$3:$BA$3,FALSE),FALSE),"")</f>
        <v/>
      </c>
      <c r="L628" s="13" t="str">
        <f>IFERROR(VLOOKUP(B628,[1]Kundenübersicht!$E$4:$AC$1003,MATCH(L$3,[1]Kundenübersicht!$E$3:$BA$3,FALSE),FALSE),"")</f>
        <v/>
      </c>
      <c r="M628" s="13" t="str">
        <f>IFERROR(VLOOKUP(B628,[1]Kundenübersicht!$E$4:$AC$1003,MATCH(M$3,[1]Kundenübersicht!$E$3:$BA$3,FALSE),FALSE),"")</f>
        <v/>
      </c>
      <c r="N628" s="13" t="str">
        <f>IFERROR(VLOOKUP(B628,[1]Kundenübersicht!$E$4:$AC$1003,MATCH(N$3,[1]Kundenübersicht!$E$3:$BA$3,FALSE),FALSE),"")</f>
        <v/>
      </c>
      <c r="P628" s="9" t="s">
        <v>29</v>
      </c>
      <c r="R628" s="9" t="str">
        <f t="shared" si="143"/>
        <v>Fehlt</v>
      </c>
      <c r="S628" s="14"/>
      <c r="U628" s="15">
        <f>IF(YEAR(C628)&lt;=2025,IFERROR(IF(I628="Hauswirtschaft",VLOOKUP($B628,[1]Kundenübersicht!$E$4:$BA$1003,MATCH("Hauswirtschaft [€/Stunde]",[1]Kundenübersicht!$E$3:$BA$3,FALSE),FALSE),VLOOKUP($B628,[1]Kundenübersicht!$E$4:$BA$1003,MATCH("Alltagsbegleitung [€/Stunde]",[1]Kundenübersicht!$E$3:$BA$3,FALSE),FALSE)),0),IFERROR(IF(I628="Hauswirtschaft",VLOOKUP($B628,[1]Kundenübersicht!$E$4:$BA$1003,MATCH("HW ab 2026 [€/Stunde]",[1]Kundenübersicht!$E$3:$BA$3,FALSE),FALSE),VLOOKUP($B628,[1]Kundenübersicht!$E$4:$BA$1003,MATCH("Alltagsbegleitung [€/Stunde]",[1]Kundenübersicht!$E$3:$BA$3,FALSE),FALSE)),0))</f>
        <v>0</v>
      </c>
      <c r="V628" s="16">
        <f t="shared" si="145"/>
        <v>0</v>
      </c>
      <c r="W628" s="16">
        <f t="shared" si="152"/>
        <v>0</v>
      </c>
      <c r="X628" s="16" t="s">
        <v>89</v>
      </c>
      <c r="Z628" s="20" t="str">
        <f t="shared" si="154"/>
        <v>Nein</v>
      </c>
      <c r="AA628" s="19"/>
      <c r="AC628" s="19"/>
      <c r="AE628" s="9">
        <f t="shared" si="149"/>
        <v>1900</v>
      </c>
      <c r="AF628" s="17" t="str">
        <f t="shared" si="150"/>
        <v>01.1900</v>
      </c>
      <c r="AG628" s="17" t="str">
        <f t="shared" si="151"/>
        <v/>
      </c>
      <c r="AH628" s="17" t="str">
        <f>IFERROR(VLOOKUP(B628,[1]Kundenübersicht!$E$4:$F$85,2,FALSE),"")</f>
        <v/>
      </c>
      <c r="AI628" s="17" t="str">
        <f t="shared" si="153"/>
        <v/>
      </c>
      <c r="AJ628" s="17" t="str">
        <f t="shared" si="153"/>
        <v/>
      </c>
      <c r="AL628" s="18">
        <f t="shared" si="146"/>
        <v>42</v>
      </c>
      <c r="AM628" s="18">
        <f t="shared" si="147"/>
        <v>0</v>
      </c>
      <c r="AN628" s="18">
        <f t="shared" si="148"/>
        <v>0</v>
      </c>
    </row>
    <row r="629" spans="1:40" x14ac:dyDescent="0.25">
      <c r="B629" s="30"/>
      <c r="C629" s="31"/>
      <c r="D629" s="32"/>
      <c r="E629" s="32"/>
      <c r="F629" s="12">
        <f t="shared" si="144"/>
        <v>0</v>
      </c>
      <c r="G629" s="12"/>
      <c r="H629" s="30"/>
      <c r="I629" s="30"/>
      <c r="J629" s="30"/>
      <c r="K629" s="9" t="str">
        <f>IFERROR(VLOOKUP($B629,[1]Kundenübersicht!$E$4:$AC$1003,MATCH(K$3,[1]Kundenübersicht!$E$3:$BA$3,FALSE),FALSE),"")</f>
        <v/>
      </c>
      <c r="L629" s="13" t="str">
        <f>IFERROR(VLOOKUP(B629,[1]Kundenübersicht!$E$4:$AC$1003,MATCH(L$3,[1]Kundenübersicht!$E$3:$BA$3,FALSE),FALSE),"")</f>
        <v/>
      </c>
      <c r="M629" s="13" t="str">
        <f>IFERROR(VLOOKUP(B629,[1]Kundenübersicht!$E$4:$AC$1003,MATCH(M$3,[1]Kundenübersicht!$E$3:$BA$3,FALSE),FALSE),"")</f>
        <v/>
      </c>
      <c r="N629" s="13" t="str">
        <f>IFERROR(VLOOKUP(B629,[1]Kundenübersicht!$E$4:$AC$1003,MATCH(N$3,[1]Kundenübersicht!$E$3:$BA$3,FALSE),FALSE),"")</f>
        <v/>
      </c>
      <c r="P629" s="9" t="s">
        <v>29</v>
      </c>
      <c r="R629" s="9" t="str">
        <f t="shared" si="143"/>
        <v>Fehlt</v>
      </c>
      <c r="S629" s="14"/>
      <c r="U629" s="15">
        <f>IF(YEAR(C629)&lt;=2025,IFERROR(IF(I629="Hauswirtschaft",VLOOKUP($B629,[1]Kundenübersicht!$E$4:$BA$1003,MATCH("Hauswirtschaft [€/Stunde]",[1]Kundenübersicht!$E$3:$BA$3,FALSE),FALSE),VLOOKUP($B629,[1]Kundenübersicht!$E$4:$BA$1003,MATCH("Alltagsbegleitung [€/Stunde]",[1]Kundenübersicht!$E$3:$BA$3,FALSE),FALSE)),0),IFERROR(IF(I629="Hauswirtschaft",VLOOKUP($B629,[1]Kundenübersicht!$E$4:$BA$1003,MATCH("HW ab 2026 [€/Stunde]",[1]Kundenübersicht!$E$3:$BA$3,FALSE),FALSE),VLOOKUP($B629,[1]Kundenübersicht!$E$4:$BA$1003,MATCH("Alltagsbegleitung [€/Stunde]",[1]Kundenübersicht!$E$3:$BA$3,FALSE),FALSE)),0))</f>
        <v>0</v>
      </c>
      <c r="V629" s="16">
        <f t="shared" si="145"/>
        <v>0</v>
      </c>
      <c r="W629" s="16">
        <f t="shared" si="152"/>
        <v>0</v>
      </c>
      <c r="X629" s="16" t="s">
        <v>89</v>
      </c>
      <c r="Z629" s="20" t="str">
        <f t="shared" si="154"/>
        <v>Nein</v>
      </c>
      <c r="AA629" s="19"/>
      <c r="AC629" s="19"/>
      <c r="AE629" s="9">
        <f t="shared" si="149"/>
        <v>1900</v>
      </c>
      <c r="AF629" s="17" t="str">
        <f t="shared" si="150"/>
        <v>01.1900</v>
      </c>
      <c r="AG629" s="17" t="str">
        <f t="shared" si="151"/>
        <v/>
      </c>
      <c r="AH629" s="17" t="str">
        <f>IFERROR(VLOOKUP(B629,[1]Kundenübersicht!$E$4:$F$85,2,FALSE),"")</f>
        <v/>
      </c>
      <c r="AI629" s="17" t="str">
        <f t="shared" si="153"/>
        <v/>
      </c>
      <c r="AJ629" s="17" t="str">
        <f t="shared" si="153"/>
        <v/>
      </c>
      <c r="AL629" s="18">
        <f t="shared" si="146"/>
        <v>42</v>
      </c>
      <c r="AM629" s="18">
        <f t="shared" si="147"/>
        <v>0</v>
      </c>
      <c r="AN629" s="18">
        <f t="shared" si="148"/>
        <v>0</v>
      </c>
    </row>
    <row r="630" spans="1:40" x14ac:dyDescent="0.25">
      <c r="B630" s="30"/>
      <c r="C630" s="31"/>
      <c r="D630" s="32"/>
      <c r="E630" s="32"/>
      <c r="F630" s="12">
        <f t="shared" si="144"/>
        <v>0</v>
      </c>
      <c r="G630" s="12"/>
      <c r="H630" s="30"/>
      <c r="I630" s="30"/>
      <c r="J630" s="30"/>
      <c r="K630" s="9" t="str">
        <f>IFERROR(VLOOKUP($B630,[1]Kundenübersicht!$E$4:$AC$1003,MATCH(K$3,[1]Kundenübersicht!$E$3:$BA$3,FALSE),FALSE),"")</f>
        <v/>
      </c>
      <c r="L630" s="13" t="str">
        <f>IFERROR(VLOOKUP(B630,[1]Kundenübersicht!$E$4:$AC$1003,MATCH(L$3,[1]Kundenübersicht!$E$3:$BA$3,FALSE),FALSE),"")</f>
        <v/>
      </c>
      <c r="M630" s="13" t="str">
        <f>IFERROR(VLOOKUP(B630,[1]Kundenübersicht!$E$4:$AC$1003,MATCH(M$3,[1]Kundenübersicht!$E$3:$BA$3,FALSE),FALSE),"")</f>
        <v/>
      </c>
      <c r="N630" s="13" t="str">
        <f>IFERROR(VLOOKUP(B630,[1]Kundenübersicht!$E$4:$AC$1003,MATCH(N$3,[1]Kundenübersicht!$E$3:$BA$3,FALSE),FALSE),"")</f>
        <v/>
      </c>
      <c r="P630" s="9" t="s">
        <v>29</v>
      </c>
      <c r="R630" s="9" t="str">
        <f t="shared" ref="R630:R657" si="155">IF(S630="Link","Unterschrieben","Fehlt")</f>
        <v>Fehlt</v>
      </c>
      <c r="S630" s="14"/>
      <c r="U630" s="15">
        <f>IF(YEAR(C630)&lt;=2025,IFERROR(IF(I630="Hauswirtschaft",VLOOKUP($B630,[1]Kundenübersicht!$E$4:$BA$1003,MATCH("Hauswirtschaft [€/Stunde]",[1]Kundenübersicht!$E$3:$BA$3,FALSE),FALSE),VLOOKUP($B630,[1]Kundenübersicht!$E$4:$BA$1003,MATCH("Alltagsbegleitung [€/Stunde]",[1]Kundenübersicht!$E$3:$BA$3,FALSE),FALSE)),0),IFERROR(IF(I630="Hauswirtschaft",VLOOKUP($B630,[1]Kundenübersicht!$E$4:$BA$1003,MATCH("HW ab 2026 [€/Stunde]",[1]Kundenübersicht!$E$3:$BA$3,FALSE),FALSE),VLOOKUP($B630,[1]Kundenübersicht!$E$4:$BA$1003,MATCH("Alltagsbegleitung [€/Stunde]",[1]Kundenübersicht!$E$3:$BA$3,FALSE),FALSE)),0))</f>
        <v>0</v>
      </c>
      <c r="V630" s="16">
        <f t="shared" si="145"/>
        <v>0</v>
      </c>
      <c r="W630" s="16">
        <f t="shared" si="152"/>
        <v>0</v>
      </c>
      <c r="X630" s="16" t="s">
        <v>89</v>
      </c>
      <c r="Z630" s="20" t="str">
        <f t="shared" si="154"/>
        <v>Nein</v>
      </c>
      <c r="AA630" s="19"/>
      <c r="AC630" s="19"/>
      <c r="AE630" s="9">
        <f t="shared" si="149"/>
        <v>1900</v>
      </c>
      <c r="AF630" s="17" t="str">
        <f t="shared" si="150"/>
        <v>01.1900</v>
      </c>
      <c r="AG630" s="17" t="str">
        <f t="shared" si="151"/>
        <v/>
      </c>
      <c r="AH630" s="17" t="str">
        <f>IFERROR(VLOOKUP(B630,[1]Kundenübersicht!$E$4:$F$85,2,FALSE),"")</f>
        <v/>
      </c>
      <c r="AI630" s="17" t="str">
        <f t="shared" si="153"/>
        <v/>
      </c>
      <c r="AJ630" s="17" t="str">
        <f t="shared" si="153"/>
        <v/>
      </c>
      <c r="AL630" s="18">
        <f t="shared" si="146"/>
        <v>42</v>
      </c>
      <c r="AM630" s="18">
        <f t="shared" si="147"/>
        <v>0</v>
      </c>
      <c r="AN630" s="18">
        <f t="shared" si="148"/>
        <v>0</v>
      </c>
    </row>
    <row r="631" spans="1:40" x14ac:dyDescent="0.25">
      <c r="B631" s="30"/>
      <c r="C631" s="31"/>
      <c r="D631" s="32"/>
      <c r="E631" s="32"/>
      <c r="F631" s="12">
        <f t="shared" si="144"/>
        <v>0</v>
      </c>
      <c r="G631" s="12"/>
      <c r="H631" s="30"/>
      <c r="I631" s="30"/>
      <c r="J631" s="30"/>
      <c r="K631" s="9" t="str">
        <f>IFERROR(VLOOKUP($B631,[1]Kundenübersicht!$E$4:$AC$1003,MATCH(K$3,[1]Kundenübersicht!$E$3:$BA$3,FALSE),FALSE),"")</f>
        <v/>
      </c>
      <c r="L631" s="13" t="str">
        <f>IFERROR(VLOOKUP(B631,[1]Kundenübersicht!$E$4:$AC$1003,MATCH(L$3,[1]Kundenübersicht!$E$3:$BA$3,FALSE),FALSE),"")</f>
        <v/>
      </c>
      <c r="M631" s="13" t="str">
        <f>IFERROR(VLOOKUP(B631,[1]Kundenübersicht!$E$4:$AC$1003,MATCH(M$3,[1]Kundenübersicht!$E$3:$BA$3,FALSE),FALSE),"")</f>
        <v/>
      </c>
      <c r="N631" s="13" t="str">
        <f>IFERROR(VLOOKUP(B631,[1]Kundenübersicht!$E$4:$AC$1003,MATCH(N$3,[1]Kundenübersicht!$E$3:$BA$3,FALSE),FALSE),"")</f>
        <v/>
      </c>
      <c r="P631" s="9" t="s">
        <v>29</v>
      </c>
      <c r="R631" s="9" t="str">
        <f t="shared" si="155"/>
        <v>Fehlt</v>
      </c>
      <c r="S631" s="14"/>
      <c r="U631" s="15">
        <f>IF(YEAR(C631)&lt;=2025,IFERROR(IF(I631="Hauswirtschaft",VLOOKUP($B631,[1]Kundenübersicht!$E$4:$BA$1003,MATCH("Hauswirtschaft [€/Stunde]",[1]Kundenübersicht!$E$3:$BA$3,FALSE),FALSE),VLOOKUP($B631,[1]Kundenübersicht!$E$4:$BA$1003,MATCH("Alltagsbegleitung [€/Stunde]",[1]Kundenübersicht!$E$3:$BA$3,FALSE),FALSE)),0),IFERROR(IF(I631="Hauswirtschaft",VLOOKUP($B631,[1]Kundenübersicht!$E$4:$BA$1003,MATCH("HW ab 2026 [€/Stunde]",[1]Kundenübersicht!$E$3:$BA$3,FALSE),FALSE),VLOOKUP($B631,[1]Kundenübersicht!$E$4:$BA$1003,MATCH("Alltagsbegleitung [€/Stunde]",[1]Kundenübersicht!$E$3:$BA$3,FALSE),FALSE)),0))</f>
        <v>0</v>
      </c>
      <c r="V631" s="16">
        <f t="shared" si="145"/>
        <v>0</v>
      </c>
      <c r="W631" s="16">
        <f t="shared" si="152"/>
        <v>0</v>
      </c>
      <c r="X631" s="16" t="s">
        <v>89</v>
      </c>
      <c r="Z631" s="20" t="str">
        <f t="shared" si="154"/>
        <v>Nein</v>
      </c>
      <c r="AA631" s="19"/>
      <c r="AC631" s="19"/>
      <c r="AE631" s="9">
        <f t="shared" si="149"/>
        <v>1900</v>
      </c>
      <c r="AF631" s="17" t="str">
        <f t="shared" si="150"/>
        <v>01.1900</v>
      </c>
      <c r="AG631" s="17" t="str">
        <f t="shared" si="151"/>
        <v/>
      </c>
      <c r="AH631" s="17" t="str">
        <f>IFERROR(VLOOKUP(B631,[1]Kundenübersicht!$E$4:$F$85,2,FALSE),"")</f>
        <v/>
      </c>
      <c r="AI631" s="17" t="str">
        <f t="shared" si="153"/>
        <v/>
      </c>
      <c r="AJ631" s="17" t="str">
        <f t="shared" si="153"/>
        <v/>
      </c>
      <c r="AL631" s="18">
        <f t="shared" si="146"/>
        <v>42</v>
      </c>
      <c r="AM631" s="18">
        <f t="shared" si="147"/>
        <v>0</v>
      </c>
      <c r="AN631" s="18">
        <f t="shared" si="148"/>
        <v>0</v>
      </c>
    </row>
    <row r="632" spans="1:40" x14ac:dyDescent="0.25">
      <c r="A632" s="39"/>
      <c r="B632" s="30" t="s">
        <v>97</v>
      </c>
      <c r="C632" s="31">
        <v>46057</v>
      </c>
      <c r="D632" s="32">
        <v>0.5</v>
      </c>
      <c r="E632" s="32">
        <v>0.58333333333333337</v>
      </c>
      <c r="F632" s="12">
        <f t="shared" ref="F632:F651" si="156">(E632-D632)*24</f>
        <v>2.0000000000000009</v>
      </c>
      <c r="G632" s="12">
        <v>6</v>
      </c>
      <c r="H632" s="30" t="s">
        <v>92</v>
      </c>
      <c r="I632" s="30" t="s">
        <v>27</v>
      </c>
      <c r="J632" s="30" t="s">
        <v>28</v>
      </c>
      <c r="K632" s="9" t="str">
        <f>IFERROR(VLOOKUP($B632,[1]Kundenübersicht!$E$4:$AC$1003,MATCH(K$3,[1]Kundenübersicht!$E$3:$BA$3,FALSE),FALSE),"")</f>
        <v>AOK PLUS</v>
      </c>
      <c r="L632" s="13">
        <f>IFERROR(VLOOKUP(B632,[1]Kundenübersicht!$E$4:$AC$1003,MATCH(L$3,[1]Kundenübersicht!$E$3:$BA$3,FALSE),FALSE),"")</f>
        <v>107299005</v>
      </c>
      <c r="M632" s="13" t="str">
        <f>IFERROR(VLOOKUP(B632,[1]Kundenübersicht!$E$4:$AC$1003,MATCH(M$3,[1]Kundenübersicht!$E$3:$BA$3,FALSE),FALSE),"")</f>
        <v>P681268688</v>
      </c>
      <c r="N632" s="13" t="str">
        <f>IFERROR(VLOOKUP(B632,[1]Kundenübersicht!$E$4:$AC$1003,MATCH(N$3,[1]Kundenübersicht!$E$3:$BA$3,FALSE),FALSE),"")</f>
        <v>PG 3</v>
      </c>
      <c r="P632" s="9" t="s">
        <v>29</v>
      </c>
      <c r="R632" s="9" t="str">
        <f t="shared" si="155"/>
        <v>Fehlt</v>
      </c>
      <c r="S632" s="14"/>
      <c r="U632" s="15">
        <f>IF(YEAR(C632)&lt;=2025,IFERROR(IF(I632="Hauswirtschaft",VLOOKUP($B632,[1]Kundenübersicht!$E$4:$BA$1003,MATCH("Hauswirtschaft [€/Stunde]",[1]Kundenübersicht!$E$3:$BA$3,FALSE),FALSE),VLOOKUP($B632,[1]Kundenübersicht!$E$4:$BA$1003,MATCH("Alltagsbegleitung [€/Stunde]",[1]Kundenübersicht!$E$3:$BA$3,FALSE),FALSE)),0),IFERROR(IF(I632="Hauswirtschaft",VLOOKUP($B632,[1]Kundenübersicht!$E$4:$BA$1003,MATCH("HW ab 2026 [€/Stunde]",[1]Kundenübersicht!$E$3:$BA$3,FALSE),FALSE),VLOOKUP($B632,[1]Kundenübersicht!$E$4:$BA$1003,MATCH("Alltagsbegleitung [€/Stunde]",[1]Kundenübersicht!$E$3:$BA$3,FALSE),FALSE)),0))</f>
        <v>38</v>
      </c>
      <c r="V632" s="16">
        <f t="shared" ref="V632:V651" si="157">U632*F632</f>
        <v>76.000000000000028</v>
      </c>
      <c r="W632" s="16">
        <f t="shared" si="152"/>
        <v>2.0999999999999996</v>
      </c>
      <c r="X632" s="16" t="s">
        <v>89</v>
      </c>
      <c r="Z632" s="20" t="str">
        <f t="shared" si="154"/>
        <v>Nein</v>
      </c>
      <c r="AA632" s="19"/>
      <c r="AC632" s="19"/>
      <c r="AE632" s="9">
        <f t="shared" si="149"/>
        <v>2026</v>
      </c>
      <c r="AF632" s="17" t="str">
        <f t="shared" si="150"/>
        <v>02.2026</v>
      </c>
      <c r="AG632" s="17" t="str">
        <f t="shared" si="151"/>
        <v>Ute Ahnert</v>
      </c>
      <c r="AH632" s="17" t="str">
        <f>IFERROR(VLOOKUP(B632,[1]Kundenübersicht!$E$4:$F$85,2,FALSE),"")</f>
        <v>Bernd Funke</v>
      </c>
      <c r="AI632" s="17" t="str">
        <f t="shared" si="153"/>
        <v>Hauswirtschaft</v>
      </c>
      <c r="AJ632" s="17" t="str">
        <f t="shared" si="153"/>
        <v>Entlastungsleistung</v>
      </c>
      <c r="AL632" s="18">
        <f t="shared" si="146"/>
        <v>38</v>
      </c>
      <c r="AM632" s="18">
        <f t="shared" si="147"/>
        <v>76.000000000000028</v>
      </c>
      <c r="AN632" s="18">
        <f t="shared" si="148"/>
        <v>2.0999999999999996</v>
      </c>
    </row>
    <row r="633" spans="1:40" x14ac:dyDescent="0.25">
      <c r="A633" s="39"/>
      <c r="B633" s="30" t="s">
        <v>97</v>
      </c>
      <c r="C633" s="31">
        <v>46064</v>
      </c>
      <c r="D633" s="32">
        <v>0.5</v>
      </c>
      <c r="E633" s="32">
        <v>0.58333333333333337</v>
      </c>
      <c r="F633" s="12">
        <f t="shared" si="156"/>
        <v>2.0000000000000009</v>
      </c>
      <c r="G633" s="12">
        <v>6</v>
      </c>
      <c r="H633" s="30" t="s">
        <v>92</v>
      </c>
      <c r="I633" s="30" t="s">
        <v>27</v>
      </c>
      <c r="J633" s="30" t="s">
        <v>28</v>
      </c>
      <c r="K633" s="9" t="str">
        <f>IFERROR(VLOOKUP($B633,[1]Kundenübersicht!$E$4:$AC$1003,MATCH(K$3,[1]Kundenübersicht!$E$3:$BA$3,FALSE),FALSE),"")</f>
        <v>AOK PLUS</v>
      </c>
      <c r="L633" s="13">
        <f>IFERROR(VLOOKUP(B633,[1]Kundenübersicht!$E$4:$AC$1003,MATCH(L$3,[1]Kundenübersicht!$E$3:$BA$3,FALSE),FALSE),"")</f>
        <v>107299005</v>
      </c>
      <c r="M633" s="13" t="str">
        <f>IFERROR(VLOOKUP(B633,[1]Kundenübersicht!$E$4:$AC$1003,MATCH(M$3,[1]Kundenübersicht!$E$3:$BA$3,FALSE),FALSE),"")</f>
        <v>P681268688</v>
      </c>
      <c r="N633" s="13" t="str">
        <f>IFERROR(VLOOKUP(B633,[1]Kundenübersicht!$E$4:$AC$1003,MATCH(N$3,[1]Kundenübersicht!$E$3:$BA$3,FALSE),FALSE),"")</f>
        <v>PG 3</v>
      </c>
      <c r="P633" s="9" t="s">
        <v>29</v>
      </c>
      <c r="R633" s="9" t="str">
        <f t="shared" si="155"/>
        <v>Fehlt</v>
      </c>
      <c r="S633" s="14"/>
      <c r="U633" s="15">
        <f>IF(YEAR(C633)&lt;=2025,IFERROR(IF(I633="Hauswirtschaft",VLOOKUP($B633,[1]Kundenübersicht!$E$4:$BA$1003,MATCH("Hauswirtschaft [€/Stunde]",[1]Kundenübersicht!$E$3:$BA$3,FALSE),FALSE),VLOOKUP($B633,[1]Kundenübersicht!$E$4:$BA$1003,MATCH("Alltagsbegleitung [€/Stunde]",[1]Kundenübersicht!$E$3:$BA$3,FALSE),FALSE)),0),IFERROR(IF(I633="Hauswirtschaft",VLOOKUP($B633,[1]Kundenübersicht!$E$4:$BA$1003,MATCH("HW ab 2026 [€/Stunde]",[1]Kundenübersicht!$E$3:$BA$3,FALSE),FALSE),VLOOKUP($B633,[1]Kundenübersicht!$E$4:$BA$1003,MATCH("Alltagsbegleitung [€/Stunde]",[1]Kundenübersicht!$E$3:$BA$3,FALSE),FALSE)),0))</f>
        <v>38</v>
      </c>
      <c r="V633" s="16">
        <f t="shared" si="157"/>
        <v>76.000000000000028</v>
      </c>
      <c r="W633" s="16">
        <f t="shared" si="152"/>
        <v>2.0999999999999996</v>
      </c>
      <c r="X633" s="16" t="s">
        <v>89</v>
      </c>
      <c r="Z633" s="20" t="str">
        <f t="shared" si="154"/>
        <v>Nein</v>
      </c>
      <c r="AA633" s="19"/>
      <c r="AC633" s="19"/>
      <c r="AE633" s="9">
        <f t="shared" si="149"/>
        <v>2026</v>
      </c>
      <c r="AF633" s="17" t="str">
        <f t="shared" si="150"/>
        <v>02.2026</v>
      </c>
      <c r="AG633" s="17" t="str">
        <f t="shared" si="151"/>
        <v>Ute Ahnert</v>
      </c>
      <c r="AH633" s="17" t="str">
        <f>IFERROR(VLOOKUP(B633,[1]Kundenübersicht!$E$4:$F$85,2,FALSE),"")</f>
        <v>Bernd Funke</v>
      </c>
      <c r="AI633" s="17" t="str">
        <f t="shared" si="153"/>
        <v>Hauswirtschaft</v>
      </c>
      <c r="AJ633" s="17" t="str">
        <f t="shared" si="153"/>
        <v>Entlastungsleistung</v>
      </c>
      <c r="AL633" s="18">
        <f t="shared" si="146"/>
        <v>38</v>
      </c>
      <c r="AM633" s="18">
        <f t="shared" si="147"/>
        <v>76.000000000000028</v>
      </c>
      <c r="AN633" s="18">
        <f t="shared" si="148"/>
        <v>2.0999999999999996</v>
      </c>
    </row>
    <row r="634" spans="1:40" x14ac:dyDescent="0.25">
      <c r="A634" s="39"/>
      <c r="B634" s="30" t="s">
        <v>97</v>
      </c>
      <c r="C634" s="31">
        <v>46071</v>
      </c>
      <c r="D634" s="32">
        <v>0.5</v>
      </c>
      <c r="E634" s="32">
        <v>0.58333333333333337</v>
      </c>
      <c r="F634" s="12">
        <f t="shared" si="156"/>
        <v>2.0000000000000009</v>
      </c>
      <c r="G634" s="12">
        <v>6</v>
      </c>
      <c r="H634" s="30" t="s">
        <v>92</v>
      </c>
      <c r="I634" s="30" t="s">
        <v>27</v>
      </c>
      <c r="J634" s="30" t="s">
        <v>28</v>
      </c>
      <c r="K634" s="9" t="str">
        <f>IFERROR(VLOOKUP($B634,[1]Kundenübersicht!$E$4:$AC$1003,MATCH(K$3,[1]Kundenübersicht!$E$3:$BA$3,FALSE),FALSE),"")</f>
        <v>AOK PLUS</v>
      </c>
      <c r="L634" s="13">
        <f>IFERROR(VLOOKUP(B634,[1]Kundenübersicht!$E$4:$AC$1003,MATCH(L$3,[1]Kundenübersicht!$E$3:$BA$3,FALSE),FALSE),"")</f>
        <v>107299005</v>
      </c>
      <c r="M634" s="13" t="str">
        <f>IFERROR(VLOOKUP(B634,[1]Kundenübersicht!$E$4:$AC$1003,MATCH(M$3,[1]Kundenübersicht!$E$3:$BA$3,FALSE),FALSE),"")</f>
        <v>P681268688</v>
      </c>
      <c r="N634" s="13" t="str">
        <f>IFERROR(VLOOKUP(B634,[1]Kundenübersicht!$E$4:$AC$1003,MATCH(N$3,[1]Kundenübersicht!$E$3:$BA$3,FALSE),FALSE),"")</f>
        <v>PG 3</v>
      </c>
      <c r="P634" s="9" t="s">
        <v>29</v>
      </c>
      <c r="R634" s="9" t="str">
        <f t="shared" si="155"/>
        <v>Fehlt</v>
      </c>
      <c r="S634" s="14"/>
      <c r="U634" s="15">
        <f>IF(YEAR(C634)&lt;=2025,IFERROR(IF(I634="Hauswirtschaft",VLOOKUP($B634,[1]Kundenübersicht!$E$4:$BA$1003,MATCH("Hauswirtschaft [€/Stunde]",[1]Kundenübersicht!$E$3:$BA$3,FALSE),FALSE),VLOOKUP($B634,[1]Kundenübersicht!$E$4:$BA$1003,MATCH("Alltagsbegleitung [€/Stunde]",[1]Kundenübersicht!$E$3:$BA$3,FALSE),FALSE)),0),IFERROR(IF(I634="Hauswirtschaft",VLOOKUP($B634,[1]Kundenübersicht!$E$4:$BA$1003,MATCH("HW ab 2026 [€/Stunde]",[1]Kundenübersicht!$E$3:$BA$3,FALSE),FALSE),VLOOKUP($B634,[1]Kundenübersicht!$E$4:$BA$1003,MATCH("Alltagsbegleitung [€/Stunde]",[1]Kundenübersicht!$E$3:$BA$3,FALSE),FALSE)),0))</f>
        <v>38</v>
      </c>
      <c r="V634" s="16">
        <f t="shared" si="157"/>
        <v>76.000000000000028</v>
      </c>
      <c r="W634" s="16">
        <f t="shared" si="152"/>
        <v>2.0999999999999996</v>
      </c>
      <c r="X634" s="16" t="s">
        <v>89</v>
      </c>
      <c r="Z634" s="20" t="str">
        <f t="shared" si="154"/>
        <v>Nein</v>
      </c>
      <c r="AA634" s="19"/>
      <c r="AC634" s="19"/>
      <c r="AE634" s="9">
        <f t="shared" si="149"/>
        <v>2026</v>
      </c>
      <c r="AF634" s="17" t="str">
        <f t="shared" si="150"/>
        <v>02.2026</v>
      </c>
      <c r="AG634" s="17" t="str">
        <f t="shared" si="151"/>
        <v>Ute Ahnert</v>
      </c>
      <c r="AH634" s="17" t="str">
        <f>IFERROR(VLOOKUP(B634,[1]Kundenübersicht!$E$4:$F$85,2,FALSE),"")</f>
        <v>Bernd Funke</v>
      </c>
      <c r="AI634" s="17" t="str">
        <f t="shared" si="153"/>
        <v>Hauswirtschaft</v>
      </c>
      <c r="AJ634" s="17" t="str">
        <f t="shared" si="153"/>
        <v>Entlastungsleistung</v>
      </c>
      <c r="AL634" s="18">
        <f t="shared" si="146"/>
        <v>38</v>
      </c>
      <c r="AM634" s="18">
        <f t="shared" si="147"/>
        <v>76.000000000000028</v>
      </c>
      <c r="AN634" s="18">
        <f t="shared" si="148"/>
        <v>2.0999999999999996</v>
      </c>
    </row>
    <row r="635" spans="1:40" x14ac:dyDescent="0.25">
      <c r="A635" s="39"/>
      <c r="B635" s="30" t="s">
        <v>97</v>
      </c>
      <c r="C635" s="31">
        <v>46078</v>
      </c>
      <c r="D635" s="32">
        <v>0.5</v>
      </c>
      <c r="E635" s="32">
        <v>0.58333333333333337</v>
      </c>
      <c r="F635" s="12">
        <f t="shared" si="156"/>
        <v>2.0000000000000009</v>
      </c>
      <c r="G635" s="12">
        <v>6</v>
      </c>
      <c r="H635" s="30" t="s">
        <v>92</v>
      </c>
      <c r="I635" s="30" t="s">
        <v>27</v>
      </c>
      <c r="J635" s="30" t="s">
        <v>28</v>
      </c>
      <c r="K635" s="9" t="str">
        <f>IFERROR(VLOOKUP($B635,[1]Kundenübersicht!$E$4:$AC$1003,MATCH(K$3,[1]Kundenübersicht!$E$3:$BA$3,FALSE),FALSE),"")</f>
        <v>AOK PLUS</v>
      </c>
      <c r="L635" s="13">
        <f>IFERROR(VLOOKUP(B635,[1]Kundenübersicht!$E$4:$AC$1003,MATCH(L$3,[1]Kundenübersicht!$E$3:$BA$3,FALSE),FALSE),"")</f>
        <v>107299005</v>
      </c>
      <c r="M635" s="13" t="str">
        <f>IFERROR(VLOOKUP(B635,[1]Kundenübersicht!$E$4:$AC$1003,MATCH(M$3,[1]Kundenübersicht!$E$3:$BA$3,FALSE),FALSE),"")</f>
        <v>P681268688</v>
      </c>
      <c r="N635" s="13" t="str">
        <f>IFERROR(VLOOKUP(B635,[1]Kundenübersicht!$E$4:$AC$1003,MATCH(N$3,[1]Kundenübersicht!$E$3:$BA$3,FALSE),FALSE),"")</f>
        <v>PG 3</v>
      </c>
      <c r="P635" s="9" t="s">
        <v>29</v>
      </c>
      <c r="R635" s="9" t="str">
        <f t="shared" si="155"/>
        <v>Fehlt</v>
      </c>
      <c r="S635" s="14"/>
      <c r="U635" s="15">
        <f>IF(YEAR(C635)&lt;=2025,IFERROR(IF(I635="Hauswirtschaft",VLOOKUP($B635,[1]Kundenübersicht!$E$4:$BA$1003,MATCH("Hauswirtschaft [€/Stunde]",[1]Kundenübersicht!$E$3:$BA$3,FALSE),FALSE),VLOOKUP($B635,[1]Kundenübersicht!$E$4:$BA$1003,MATCH("Alltagsbegleitung [€/Stunde]",[1]Kundenübersicht!$E$3:$BA$3,FALSE),FALSE)),0),IFERROR(IF(I635="Hauswirtschaft",VLOOKUP($B635,[1]Kundenübersicht!$E$4:$BA$1003,MATCH("HW ab 2026 [€/Stunde]",[1]Kundenübersicht!$E$3:$BA$3,FALSE),FALSE),VLOOKUP($B635,[1]Kundenübersicht!$E$4:$BA$1003,MATCH("Alltagsbegleitung [€/Stunde]",[1]Kundenübersicht!$E$3:$BA$3,FALSE),FALSE)),0))</f>
        <v>38</v>
      </c>
      <c r="V635" s="16">
        <f t="shared" si="157"/>
        <v>76.000000000000028</v>
      </c>
      <c r="W635" s="16">
        <f t="shared" si="152"/>
        <v>2.0999999999999996</v>
      </c>
      <c r="X635" s="16" t="s">
        <v>89</v>
      </c>
      <c r="Z635" s="20" t="str">
        <f t="shared" si="154"/>
        <v>Nein</v>
      </c>
      <c r="AA635" s="19"/>
      <c r="AC635" s="19"/>
      <c r="AE635" s="9">
        <f t="shared" si="149"/>
        <v>2026</v>
      </c>
      <c r="AF635" s="17" t="str">
        <f t="shared" si="150"/>
        <v>02.2026</v>
      </c>
      <c r="AG635" s="17" t="str">
        <f t="shared" si="151"/>
        <v>Ute Ahnert</v>
      </c>
      <c r="AH635" s="17" t="str">
        <f>IFERROR(VLOOKUP(B635,[1]Kundenübersicht!$E$4:$F$85,2,FALSE),"")</f>
        <v>Bernd Funke</v>
      </c>
      <c r="AI635" s="17" t="str">
        <f t="shared" si="153"/>
        <v>Hauswirtschaft</v>
      </c>
      <c r="AJ635" s="17" t="str">
        <f t="shared" si="153"/>
        <v>Entlastungsleistung</v>
      </c>
      <c r="AL635" s="18">
        <f t="shared" si="146"/>
        <v>38</v>
      </c>
      <c r="AM635" s="18">
        <f t="shared" si="147"/>
        <v>76.000000000000028</v>
      </c>
      <c r="AN635" s="18">
        <f t="shared" si="148"/>
        <v>2.0999999999999996</v>
      </c>
    </row>
    <row r="636" spans="1:40" x14ac:dyDescent="0.25">
      <c r="A636" s="39"/>
      <c r="B636" s="30" t="s">
        <v>96</v>
      </c>
      <c r="C636" s="31">
        <v>46058</v>
      </c>
      <c r="D636" s="32">
        <v>0.41666666666666669</v>
      </c>
      <c r="E636" s="32">
        <v>0.5</v>
      </c>
      <c r="F636" s="12">
        <f t="shared" si="156"/>
        <v>1.9999999999999996</v>
      </c>
      <c r="G636" s="12"/>
      <c r="H636" s="30" t="s">
        <v>92</v>
      </c>
      <c r="I636" s="30" t="s">
        <v>27</v>
      </c>
      <c r="J636" s="30" t="s">
        <v>28</v>
      </c>
      <c r="K636" s="9" t="str">
        <f>IFERROR(VLOOKUP($B636,[1]Kundenübersicht!$E$4:$AC$1003,MATCH(K$3,[1]Kundenübersicht!$E$3:$BA$3,FALSE),FALSE),"")</f>
        <v>Siemens Betriebskrankenkasse</v>
      </c>
      <c r="L636" s="13" t="str">
        <f>IFERROR(VLOOKUP(B636,[1]Kundenübersicht!$E$4:$AC$1003,MATCH(L$3,[1]Kundenübersicht!$E$3:$BA$3,FALSE),FALSE),"")</f>
        <v>108833505</v>
      </c>
      <c r="M636" s="13" t="str">
        <f>IFERROR(VLOOKUP(B636,[1]Kundenübersicht!$E$4:$AC$1003,MATCH(M$3,[1]Kundenübersicht!$E$3:$BA$3,FALSE),FALSE),"")</f>
        <v>K638875010</v>
      </c>
      <c r="N636" s="13" t="str">
        <f>IFERROR(VLOOKUP(B636,[1]Kundenübersicht!$E$4:$AC$1003,MATCH(N$3,[1]Kundenübersicht!$E$3:$BA$3,FALSE),FALSE),"")</f>
        <v>PG 2</v>
      </c>
      <c r="P636" s="9" t="s">
        <v>29</v>
      </c>
      <c r="R636" s="9" t="str">
        <f t="shared" si="155"/>
        <v>Fehlt</v>
      </c>
      <c r="S636" s="14"/>
      <c r="U636" s="15">
        <f>IF(YEAR(C636)&lt;=2025,IFERROR(IF(I636="Hauswirtschaft",VLOOKUP($B636,[1]Kundenübersicht!$E$4:$BA$1003,MATCH("Hauswirtschaft [€/Stunde]",[1]Kundenübersicht!$E$3:$BA$3,FALSE),FALSE),VLOOKUP($B636,[1]Kundenübersicht!$E$4:$BA$1003,MATCH("Alltagsbegleitung [€/Stunde]",[1]Kundenübersicht!$E$3:$BA$3,FALSE),FALSE)),0),IFERROR(IF(I636="Hauswirtschaft",VLOOKUP($B636,[1]Kundenübersicht!$E$4:$BA$1003,MATCH("HW ab 2026 [€/Stunde]",[1]Kundenübersicht!$E$3:$BA$3,FALSE),FALSE),VLOOKUP($B636,[1]Kundenübersicht!$E$4:$BA$1003,MATCH("Alltagsbegleitung [€/Stunde]",[1]Kundenübersicht!$E$3:$BA$3,FALSE),FALSE)),0))</f>
        <v>38</v>
      </c>
      <c r="V636" s="16">
        <f t="shared" si="157"/>
        <v>75.999999999999986</v>
      </c>
      <c r="W636" s="16">
        <f t="shared" si="152"/>
        <v>0</v>
      </c>
      <c r="X636" s="16" t="s">
        <v>89</v>
      </c>
      <c r="Z636" s="20" t="str">
        <f t="shared" si="154"/>
        <v>Nein</v>
      </c>
      <c r="AA636" s="19"/>
      <c r="AC636" s="19"/>
      <c r="AE636" s="9">
        <f t="shared" si="149"/>
        <v>2026</v>
      </c>
      <c r="AF636" s="17" t="str">
        <f t="shared" si="150"/>
        <v>02.2026</v>
      </c>
      <c r="AG636" s="17" t="str">
        <f t="shared" si="151"/>
        <v>Ute Ahnert</v>
      </c>
      <c r="AH636" s="17" t="str">
        <f>IFERROR(VLOOKUP(B636,[1]Kundenübersicht!$E$4:$F$85,2,FALSE),"")</f>
        <v>Ursula Neuber</v>
      </c>
      <c r="AI636" s="17" t="str">
        <f t="shared" si="153"/>
        <v>Hauswirtschaft</v>
      </c>
      <c r="AJ636" s="17" t="str">
        <f t="shared" si="153"/>
        <v>Entlastungsleistung</v>
      </c>
      <c r="AL636" s="18">
        <f t="shared" si="146"/>
        <v>38</v>
      </c>
      <c r="AM636" s="18">
        <f t="shared" si="147"/>
        <v>75.999999999999986</v>
      </c>
      <c r="AN636" s="18">
        <f t="shared" si="148"/>
        <v>0</v>
      </c>
    </row>
    <row r="637" spans="1:40" x14ac:dyDescent="0.25">
      <c r="A637" s="39"/>
      <c r="B637" s="30" t="s">
        <v>96</v>
      </c>
      <c r="C637" s="31">
        <v>46065</v>
      </c>
      <c r="D637" s="32">
        <v>0.41666666666666669</v>
      </c>
      <c r="E637" s="32">
        <v>0.5</v>
      </c>
      <c r="F637" s="12">
        <f t="shared" si="156"/>
        <v>1.9999999999999996</v>
      </c>
      <c r="G637" s="12"/>
      <c r="H637" s="30" t="s">
        <v>92</v>
      </c>
      <c r="I637" s="30" t="s">
        <v>27</v>
      </c>
      <c r="J637" s="30" t="s">
        <v>28</v>
      </c>
      <c r="K637" s="9" t="str">
        <f>IFERROR(VLOOKUP($B637,[1]Kundenübersicht!$E$4:$AC$1003,MATCH(K$3,[1]Kundenübersicht!$E$3:$BA$3,FALSE),FALSE),"")</f>
        <v>Siemens Betriebskrankenkasse</v>
      </c>
      <c r="L637" s="13" t="str">
        <f>IFERROR(VLOOKUP(B637,[1]Kundenübersicht!$E$4:$AC$1003,MATCH(L$3,[1]Kundenübersicht!$E$3:$BA$3,FALSE),FALSE),"")</f>
        <v>108833505</v>
      </c>
      <c r="M637" s="13" t="str">
        <f>IFERROR(VLOOKUP(B637,[1]Kundenübersicht!$E$4:$AC$1003,MATCH(M$3,[1]Kundenübersicht!$E$3:$BA$3,FALSE),FALSE),"")</f>
        <v>K638875010</v>
      </c>
      <c r="N637" s="13" t="str">
        <f>IFERROR(VLOOKUP(B637,[1]Kundenübersicht!$E$4:$AC$1003,MATCH(N$3,[1]Kundenübersicht!$E$3:$BA$3,FALSE),FALSE),"")</f>
        <v>PG 2</v>
      </c>
      <c r="P637" s="9" t="s">
        <v>29</v>
      </c>
      <c r="R637" s="9" t="str">
        <f t="shared" si="155"/>
        <v>Fehlt</v>
      </c>
      <c r="S637" s="14"/>
      <c r="U637" s="15">
        <f>IF(YEAR(C637)&lt;=2025,IFERROR(IF(I637="Hauswirtschaft",VLOOKUP($B637,[1]Kundenübersicht!$E$4:$BA$1003,MATCH("Hauswirtschaft [€/Stunde]",[1]Kundenübersicht!$E$3:$BA$3,FALSE),FALSE),VLOOKUP($B637,[1]Kundenübersicht!$E$4:$BA$1003,MATCH("Alltagsbegleitung [€/Stunde]",[1]Kundenübersicht!$E$3:$BA$3,FALSE),FALSE)),0),IFERROR(IF(I637="Hauswirtschaft",VLOOKUP($B637,[1]Kundenübersicht!$E$4:$BA$1003,MATCH("HW ab 2026 [€/Stunde]",[1]Kundenübersicht!$E$3:$BA$3,FALSE),FALSE),VLOOKUP($B637,[1]Kundenübersicht!$E$4:$BA$1003,MATCH("Alltagsbegleitung [€/Stunde]",[1]Kundenübersicht!$E$3:$BA$3,FALSE),FALSE)),0))</f>
        <v>38</v>
      </c>
      <c r="V637" s="16">
        <f t="shared" si="157"/>
        <v>75.999999999999986</v>
      </c>
      <c r="W637" s="16">
        <f t="shared" si="152"/>
        <v>0</v>
      </c>
      <c r="X637" s="16" t="s">
        <v>89</v>
      </c>
      <c r="Z637" s="20" t="str">
        <f t="shared" si="154"/>
        <v>Nein</v>
      </c>
      <c r="AA637" s="19"/>
      <c r="AC637" s="19"/>
      <c r="AE637" s="9">
        <f t="shared" si="149"/>
        <v>2026</v>
      </c>
      <c r="AF637" s="17" t="str">
        <f t="shared" si="150"/>
        <v>02.2026</v>
      </c>
      <c r="AG637" s="17" t="str">
        <f t="shared" si="151"/>
        <v>Ute Ahnert</v>
      </c>
      <c r="AH637" s="17" t="str">
        <f>IFERROR(VLOOKUP(B637,[1]Kundenübersicht!$E$4:$F$85,2,FALSE),"")</f>
        <v>Ursula Neuber</v>
      </c>
      <c r="AI637" s="17" t="str">
        <f t="shared" si="153"/>
        <v>Hauswirtschaft</v>
      </c>
      <c r="AJ637" s="17" t="str">
        <f t="shared" si="153"/>
        <v>Entlastungsleistung</v>
      </c>
      <c r="AL637" s="18">
        <f t="shared" si="146"/>
        <v>38</v>
      </c>
      <c r="AM637" s="18">
        <f t="shared" si="147"/>
        <v>75.999999999999986</v>
      </c>
      <c r="AN637" s="18">
        <f t="shared" si="148"/>
        <v>0</v>
      </c>
    </row>
    <row r="638" spans="1:40" x14ac:dyDescent="0.25">
      <c r="A638" s="39"/>
      <c r="B638" s="30" t="s">
        <v>96</v>
      </c>
      <c r="C638" s="31">
        <v>46072</v>
      </c>
      <c r="D638" s="32">
        <v>0.41666666666666669</v>
      </c>
      <c r="E638" s="32">
        <v>0.5</v>
      </c>
      <c r="F638" s="12">
        <f t="shared" si="156"/>
        <v>1.9999999999999996</v>
      </c>
      <c r="G638" s="12"/>
      <c r="H638" s="30" t="s">
        <v>92</v>
      </c>
      <c r="I638" s="30" t="s">
        <v>27</v>
      </c>
      <c r="J638" s="30" t="s">
        <v>28</v>
      </c>
      <c r="K638" s="9" t="str">
        <f>IFERROR(VLOOKUP($B638,[1]Kundenübersicht!$E$4:$AC$1003,MATCH(K$3,[1]Kundenübersicht!$E$3:$BA$3,FALSE),FALSE),"")</f>
        <v>Siemens Betriebskrankenkasse</v>
      </c>
      <c r="L638" s="13" t="str">
        <f>IFERROR(VLOOKUP(B638,[1]Kundenübersicht!$E$4:$AC$1003,MATCH(L$3,[1]Kundenübersicht!$E$3:$BA$3,FALSE),FALSE),"")</f>
        <v>108833505</v>
      </c>
      <c r="M638" s="13" t="str">
        <f>IFERROR(VLOOKUP(B638,[1]Kundenübersicht!$E$4:$AC$1003,MATCH(M$3,[1]Kundenübersicht!$E$3:$BA$3,FALSE),FALSE),"")</f>
        <v>K638875010</v>
      </c>
      <c r="N638" s="13" t="str">
        <f>IFERROR(VLOOKUP(B638,[1]Kundenübersicht!$E$4:$AC$1003,MATCH(N$3,[1]Kundenübersicht!$E$3:$BA$3,FALSE),FALSE),"")</f>
        <v>PG 2</v>
      </c>
      <c r="P638" s="9" t="s">
        <v>29</v>
      </c>
      <c r="R638" s="9" t="str">
        <f t="shared" si="155"/>
        <v>Fehlt</v>
      </c>
      <c r="S638" s="14"/>
      <c r="U638" s="15">
        <f>IF(YEAR(C638)&lt;=2025,IFERROR(IF(I638="Hauswirtschaft",VLOOKUP($B638,[1]Kundenübersicht!$E$4:$BA$1003,MATCH("Hauswirtschaft [€/Stunde]",[1]Kundenübersicht!$E$3:$BA$3,FALSE),FALSE),VLOOKUP($B638,[1]Kundenübersicht!$E$4:$BA$1003,MATCH("Alltagsbegleitung [€/Stunde]",[1]Kundenübersicht!$E$3:$BA$3,FALSE),FALSE)),0),IFERROR(IF(I638="Hauswirtschaft",VLOOKUP($B638,[1]Kundenübersicht!$E$4:$BA$1003,MATCH("HW ab 2026 [€/Stunde]",[1]Kundenübersicht!$E$3:$BA$3,FALSE),FALSE),VLOOKUP($B638,[1]Kundenübersicht!$E$4:$BA$1003,MATCH("Alltagsbegleitung [€/Stunde]",[1]Kundenübersicht!$E$3:$BA$3,FALSE),FALSE)),0))</f>
        <v>38</v>
      </c>
      <c r="V638" s="16">
        <f t="shared" si="157"/>
        <v>75.999999999999986</v>
      </c>
      <c r="W638" s="16">
        <f t="shared" si="152"/>
        <v>0</v>
      </c>
      <c r="X638" s="16" t="s">
        <v>89</v>
      </c>
      <c r="Z638" s="20" t="str">
        <f t="shared" si="154"/>
        <v>Nein</v>
      </c>
      <c r="AA638" s="19"/>
      <c r="AC638" s="19"/>
      <c r="AE638" s="9">
        <f t="shared" si="149"/>
        <v>2026</v>
      </c>
      <c r="AF638" s="17" t="str">
        <f t="shared" si="150"/>
        <v>02.2026</v>
      </c>
      <c r="AG638" s="17" t="str">
        <f t="shared" si="151"/>
        <v>Ute Ahnert</v>
      </c>
      <c r="AH638" s="17" t="str">
        <f>IFERROR(VLOOKUP(B638,[1]Kundenübersicht!$E$4:$F$85,2,FALSE),"")</f>
        <v>Ursula Neuber</v>
      </c>
      <c r="AI638" s="17" t="str">
        <f t="shared" ref="AI638:AJ651" si="158">IF(I638="","",I638)</f>
        <v>Hauswirtschaft</v>
      </c>
      <c r="AJ638" s="17" t="str">
        <f t="shared" si="158"/>
        <v>Entlastungsleistung</v>
      </c>
      <c r="AL638" s="18">
        <f t="shared" si="146"/>
        <v>38</v>
      </c>
      <c r="AM638" s="18">
        <f t="shared" si="147"/>
        <v>75.999999999999986</v>
      </c>
      <c r="AN638" s="18">
        <f t="shared" si="148"/>
        <v>0</v>
      </c>
    </row>
    <row r="639" spans="1:40" x14ac:dyDescent="0.25">
      <c r="A639" s="39"/>
      <c r="B639" s="30" t="s">
        <v>96</v>
      </c>
      <c r="C639" s="31">
        <v>46079</v>
      </c>
      <c r="D639" s="32">
        <v>0.41666666666666669</v>
      </c>
      <c r="E639" s="32">
        <v>0.5</v>
      </c>
      <c r="F639" s="12">
        <f t="shared" si="156"/>
        <v>1.9999999999999996</v>
      </c>
      <c r="G639" s="12"/>
      <c r="H639" s="30" t="s">
        <v>92</v>
      </c>
      <c r="I639" s="30" t="s">
        <v>27</v>
      </c>
      <c r="J639" s="30" t="s">
        <v>28</v>
      </c>
      <c r="K639" s="9" t="str">
        <f>IFERROR(VLOOKUP($B639,[1]Kundenübersicht!$E$4:$AC$1003,MATCH(K$3,[1]Kundenübersicht!$E$3:$BA$3,FALSE),FALSE),"")</f>
        <v>Siemens Betriebskrankenkasse</v>
      </c>
      <c r="L639" s="13" t="str">
        <f>IFERROR(VLOOKUP(B639,[1]Kundenübersicht!$E$4:$AC$1003,MATCH(L$3,[1]Kundenübersicht!$E$3:$BA$3,FALSE),FALSE),"")</f>
        <v>108833505</v>
      </c>
      <c r="M639" s="13" t="str">
        <f>IFERROR(VLOOKUP(B639,[1]Kundenübersicht!$E$4:$AC$1003,MATCH(M$3,[1]Kundenübersicht!$E$3:$BA$3,FALSE),FALSE),"")</f>
        <v>K638875010</v>
      </c>
      <c r="N639" s="13" t="str">
        <f>IFERROR(VLOOKUP(B639,[1]Kundenübersicht!$E$4:$AC$1003,MATCH(N$3,[1]Kundenübersicht!$E$3:$BA$3,FALSE),FALSE),"")</f>
        <v>PG 2</v>
      </c>
      <c r="P639" s="9" t="s">
        <v>29</v>
      </c>
      <c r="R639" s="9" t="str">
        <f t="shared" si="155"/>
        <v>Fehlt</v>
      </c>
      <c r="S639" s="14"/>
      <c r="U639" s="15">
        <f>IF(YEAR(C639)&lt;=2025,IFERROR(IF(I639="Hauswirtschaft",VLOOKUP($B639,[1]Kundenübersicht!$E$4:$BA$1003,MATCH("Hauswirtschaft [€/Stunde]",[1]Kundenübersicht!$E$3:$BA$3,FALSE),FALSE),VLOOKUP($B639,[1]Kundenübersicht!$E$4:$BA$1003,MATCH("Alltagsbegleitung [€/Stunde]",[1]Kundenübersicht!$E$3:$BA$3,FALSE),FALSE)),0),IFERROR(IF(I639="Hauswirtschaft",VLOOKUP($B639,[1]Kundenübersicht!$E$4:$BA$1003,MATCH("HW ab 2026 [€/Stunde]",[1]Kundenübersicht!$E$3:$BA$3,FALSE),FALSE),VLOOKUP($B639,[1]Kundenübersicht!$E$4:$BA$1003,MATCH("Alltagsbegleitung [€/Stunde]",[1]Kundenübersicht!$E$3:$BA$3,FALSE),FALSE)),0))</f>
        <v>38</v>
      </c>
      <c r="V639" s="16">
        <f t="shared" si="157"/>
        <v>75.999999999999986</v>
      </c>
      <c r="W639" s="16">
        <f t="shared" si="152"/>
        <v>0</v>
      </c>
      <c r="X639" s="16" t="s">
        <v>89</v>
      </c>
      <c r="Z639" s="20" t="str">
        <f t="shared" si="154"/>
        <v>Nein</v>
      </c>
      <c r="AA639" s="19"/>
      <c r="AC639" s="19"/>
      <c r="AE639" s="9">
        <f t="shared" si="149"/>
        <v>2026</v>
      </c>
      <c r="AF639" s="17" t="str">
        <f t="shared" si="150"/>
        <v>02.2026</v>
      </c>
      <c r="AG639" s="17" t="str">
        <f t="shared" si="151"/>
        <v>Ute Ahnert</v>
      </c>
      <c r="AH639" s="17" t="str">
        <f>IFERROR(VLOOKUP(B639,[1]Kundenübersicht!$E$4:$F$85,2,FALSE),"")</f>
        <v>Ursula Neuber</v>
      </c>
      <c r="AI639" s="17" t="str">
        <f t="shared" si="158"/>
        <v>Hauswirtschaft</v>
      </c>
      <c r="AJ639" s="17" t="str">
        <f t="shared" si="158"/>
        <v>Entlastungsleistung</v>
      </c>
      <c r="AL639" s="18">
        <f t="shared" si="146"/>
        <v>38</v>
      </c>
      <c r="AM639" s="18">
        <f t="shared" si="147"/>
        <v>75.999999999999986</v>
      </c>
      <c r="AN639" s="18">
        <f t="shared" si="148"/>
        <v>0</v>
      </c>
    </row>
    <row r="640" spans="1:40" x14ac:dyDescent="0.25">
      <c r="A640" s="39"/>
      <c r="B640" s="30" t="s">
        <v>91</v>
      </c>
      <c r="C640" s="31">
        <v>46055</v>
      </c>
      <c r="D640" s="32">
        <v>0.5625</v>
      </c>
      <c r="E640" s="32">
        <v>0.60416666666666663</v>
      </c>
      <c r="F640" s="12">
        <f t="shared" si="156"/>
        <v>0.99999999999999911</v>
      </c>
      <c r="G640" s="12">
        <v>4</v>
      </c>
      <c r="H640" s="30" t="s">
        <v>92</v>
      </c>
      <c r="I640" s="30" t="s">
        <v>27</v>
      </c>
      <c r="J640" s="30" t="s">
        <v>28</v>
      </c>
      <c r="K640" s="9" t="str">
        <f>IFERROR(VLOOKUP($B640,[1]Kundenübersicht!$E$4:$AC$1003,MATCH(K$3,[1]Kundenübersicht!$E$3:$BA$3,FALSE),FALSE),"")</f>
        <v>IKK Classic</v>
      </c>
      <c r="L640" s="13">
        <f>IFERROR(VLOOKUP(B640,[1]Kundenübersicht!$E$4:$AC$1003,MATCH(L$3,[1]Kundenübersicht!$E$3:$BA$3,FALSE),FALSE),"")</f>
        <v>187202793</v>
      </c>
      <c r="M640" s="13" t="str">
        <f>IFERROR(VLOOKUP(B640,[1]Kundenübersicht!$E$4:$AC$1003,MATCH(M$3,[1]Kundenübersicht!$E$3:$BA$3,FALSE),FALSE),"")</f>
        <v>Z291375506</v>
      </c>
      <c r="N640" s="13" t="str">
        <f>IFERROR(VLOOKUP(B640,[1]Kundenübersicht!$E$4:$AC$1003,MATCH(N$3,[1]Kundenübersicht!$E$3:$BA$3,FALSE),FALSE),"")</f>
        <v>PG 3</v>
      </c>
      <c r="P640" s="9" t="s">
        <v>29</v>
      </c>
      <c r="R640" s="9" t="str">
        <f t="shared" si="155"/>
        <v>Fehlt</v>
      </c>
      <c r="S640" s="14"/>
      <c r="U640" s="15">
        <f>IF(YEAR(C640)&lt;=2025,IFERROR(IF(I640="Hauswirtschaft",VLOOKUP($B640,[1]Kundenübersicht!$E$4:$BA$1003,MATCH("Hauswirtschaft [€/Stunde]",[1]Kundenübersicht!$E$3:$BA$3,FALSE),FALSE),VLOOKUP($B640,[1]Kundenübersicht!$E$4:$BA$1003,MATCH("Alltagsbegleitung [€/Stunde]",[1]Kundenübersicht!$E$3:$BA$3,FALSE),FALSE)),0),IFERROR(IF(I640="Hauswirtschaft",VLOOKUP($B640,[1]Kundenübersicht!$E$4:$BA$1003,MATCH("HW ab 2026 [€/Stunde]",[1]Kundenübersicht!$E$3:$BA$3,FALSE),FALSE),VLOOKUP($B640,[1]Kundenübersicht!$E$4:$BA$1003,MATCH("Alltagsbegleitung [€/Stunde]",[1]Kundenübersicht!$E$3:$BA$3,FALSE),FALSE)),0))</f>
        <v>38</v>
      </c>
      <c r="V640" s="16">
        <f t="shared" si="157"/>
        <v>37.999999999999964</v>
      </c>
      <c r="W640" s="16">
        <f t="shared" si="152"/>
        <v>1.4</v>
      </c>
      <c r="X640" s="16" t="s">
        <v>89</v>
      </c>
      <c r="Z640" s="20" t="str">
        <f t="shared" si="154"/>
        <v>Nein</v>
      </c>
      <c r="AA640" s="19"/>
      <c r="AC640" s="19"/>
      <c r="AE640" s="9">
        <f t="shared" si="149"/>
        <v>2026</v>
      </c>
      <c r="AF640" s="17" t="str">
        <f t="shared" si="150"/>
        <v>02.2026</v>
      </c>
      <c r="AG640" s="17" t="str">
        <f t="shared" si="151"/>
        <v>Ute Ahnert</v>
      </c>
      <c r="AH640" s="17" t="str">
        <f>IFERROR(VLOOKUP(B640,[1]Kundenübersicht!$E$4:$F$85,2,FALSE),"")</f>
        <v>Maria Löscher</v>
      </c>
      <c r="AI640" s="17" t="str">
        <f t="shared" si="158"/>
        <v>Hauswirtschaft</v>
      </c>
      <c r="AJ640" s="17" t="str">
        <f t="shared" si="158"/>
        <v>Entlastungsleistung</v>
      </c>
      <c r="AL640" s="18">
        <f t="shared" si="146"/>
        <v>38</v>
      </c>
      <c r="AM640" s="18">
        <f t="shared" si="147"/>
        <v>37.999999999999964</v>
      </c>
      <c r="AN640" s="18">
        <f t="shared" si="148"/>
        <v>1.4</v>
      </c>
    </row>
    <row r="641" spans="1:40" x14ac:dyDescent="0.25">
      <c r="A641" s="39"/>
      <c r="B641" s="30" t="s">
        <v>91</v>
      </c>
      <c r="C641" s="31">
        <v>46062</v>
      </c>
      <c r="D641" s="32">
        <v>0.5625</v>
      </c>
      <c r="E641" s="32">
        <v>0.60416666666666663</v>
      </c>
      <c r="F641" s="12">
        <f t="shared" si="156"/>
        <v>0.99999999999999911</v>
      </c>
      <c r="G641" s="12">
        <v>4</v>
      </c>
      <c r="H641" s="30" t="s">
        <v>92</v>
      </c>
      <c r="I641" s="30" t="s">
        <v>27</v>
      </c>
      <c r="J641" s="30" t="s">
        <v>28</v>
      </c>
      <c r="K641" s="9" t="str">
        <f>IFERROR(VLOOKUP($B641,[1]Kundenübersicht!$E$4:$AC$1003,MATCH(K$3,[1]Kundenübersicht!$E$3:$BA$3,FALSE),FALSE),"")</f>
        <v>IKK Classic</v>
      </c>
      <c r="L641" s="13">
        <f>IFERROR(VLOOKUP(B641,[1]Kundenübersicht!$E$4:$AC$1003,MATCH(L$3,[1]Kundenübersicht!$E$3:$BA$3,FALSE),FALSE),"")</f>
        <v>187202793</v>
      </c>
      <c r="M641" s="13" t="str">
        <f>IFERROR(VLOOKUP(B641,[1]Kundenübersicht!$E$4:$AC$1003,MATCH(M$3,[1]Kundenübersicht!$E$3:$BA$3,FALSE),FALSE),"")</f>
        <v>Z291375506</v>
      </c>
      <c r="N641" s="13" t="str">
        <f>IFERROR(VLOOKUP(B641,[1]Kundenübersicht!$E$4:$AC$1003,MATCH(N$3,[1]Kundenübersicht!$E$3:$BA$3,FALSE),FALSE),"")</f>
        <v>PG 3</v>
      </c>
      <c r="P641" s="9" t="s">
        <v>29</v>
      </c>
      <c r="R641" s="9" t="str">
        <f t="shared" si="155"/>
        <v>Fehlt</v>
      </c>
      <c r="S641" s="14"/>
      <c r="U641" s="15">
        <f>IF(YEAR(C641)&lt;=2025,IFERROR(IF(I641="Hauswirtschaft",VLOOKUP($B641,[1]Kundenübersicht!$E$4:$BA$1003,MATCH("Hauswirtschaft [€/Stunde]",[1]Kundenübersicht!$E$3:$BA$3,FALSE),FALSE),VLOOKUP($B641,[1]Kundenübersicht!$E$4:$BA$1003,MATCH("Alltagsbegleitung [€/Stunde]",[1]Kundenübersicht!$E$3:$BA$3,FALSE),FALSE)),0),IFERROR(IF(I641="Hauswirtschaft",VLOOKUP($B641,[1]Kundenübersicht!$E$4:$BA$1003,MATCH("HW ab 2026 [€/Stunde]",[1]Kundenübersicht!$E$3:$BA$3,FALSE),FALSE),VLOOKUP($B641,[1]Kundenübersicht!$E$4:$BA$1003,MATCH("Alltagsbegleitung [€/Stunde]",[1]Kundenübersicht!$E$3:$BA$3,FALSE),FALSE)),0))</f>
        <v>38</v>
      </c>
      <c r="V641" s="16">
        <f t="shared" si="157"/>
        <v>37.999999999999964</v>
      </c>
      <c r="W641" s="16">
        <f t="shared" si="152"/>
        <v>1.4</v>
      </c>
      <c r="X641" s="16" t="s">
        <v>89</v>
      </c>
      <c r="Z641" s="20" t="str">
        <f t="shared" si="154"/>
        <v>Nein</v>
      </c>
      <c r="AA641" s="19"/>
      <c r="AC641" s="19"/>
      <c r="AE641" s="9">
        <f t="shared" si="149"/>
        <v>2026</v>
      </c>
      <c r="AF641" s="17" t="str">
        <f t="shared" si="150"/>
        <v>02.2026</v>
      </c>
      <c r="AG641" s="17" t="str">
        <f t="shared" si="151"/>
        <v>Ute Ahnert</v>
      </c>
      <c r="AH641" s="17" t="str">
        <f>IFERROR(VLOOKUP(B641,[1]Kundenübersicht!$E$4:$F$85,2,FALSE),"")</f>
        <v>Maria Löscher</v>
      </c>
      <c r="AI641" s="17" t="str">
        <f t="shared" si="158"/>
        <v>Hauswirtschaft</v>
      </c>
      <c r="AJ641" s="17" t="str">
        <f t="shared" si="158"/>
        <v>Entlastungsleistung</v>
      </c>
      <c r="AL641" s="18">
        <f t="shared" ref="AL641:AL651" si="159">IF(I641="Hauswirtschaft",38,42)</f>
        <v>38</v>
      </c>
      <c r="AM641" s="18">
        <f t="shared" ref="AM641:AM651" si="160">AL641*F641</f>
        <v>37.999999999999964</v>
      </c>
      <c r="AN641" s="18">
        <f t="shared" ref="AN641:AN651" si="161">G641*0.35</f>
        <v>1.4</v>
      </c>
    </row>
    <row r="642" spans="1:40" x14ac:dyDescent="0.25">
      <c r="A642" s="39"/>
      <c r="B642" s="30" t="s">
        <v>91</v>
      </c>
      <c r="C642" s="31">
        <v>46069</v>
      </c>
      <c r="D642" s="32">
        <v>0.58333333333333337</v>
      </c>
      <c r="E642" s="32">
        <v>0.625</v>
      </c>
      <c r="F642" s="12">
        <f t="shared" si="156"/>
        <v>0.99999999999999911</v>
      </c>
      <c r="G642" s="12">
        <v>4</v>
      </c>
      <c r="H642" s="30" t="s">
        <v>92</v>
      </c>
      <c r="I642" s="30" t="s">
        <v>27</v>
      </c>
      <c r="J642" s="30" t="s">
        <v>28</v>
      </c>
      <c r="K642" s="9" t="str">
        <f>IFERROR(VLOOKUP($B642,[1]Kundenübersicht!$E$4:$AC$1003,MATCH(K$3,[1]Kundenübersicht!$E$3:$BA$3,FALSE),FALSE),"")</f>
        <v>IKK Classic</v>
      </c>
      <c r="L642" s="13">
        <f>IFERROR(VLOOKUP(B642,[1]Kundenübersicht!$E$4:$AC$1003,MATCH(L$3,[1]Kundenübersicht!$E$3:$BA$3,FALSE),FALSE),"")</f>
        <v>187202793</v>
      </c>
      <c r="M642" s="13" t="str">
        <f>IFERROR(VLOOKUP(B642,[1]Kundenübersicht!$E$4:$AC$1003,MATCH(M$3,[1]Kundenübersicht!$E$3:$BA$3,FALSE),FALSE),"")</f>
        <v>Z291375506</v>
      </c>
      <c r="N642" s="13" t="str">
        <f>IFERROR(VLOOKUP(B642,[1]Kundenübersicht!$E$4:$AC$1003,MATCH(N$3,[1]Kundenübersicht!$E$3:$BA$3,FALSE),FALSE),"")</f>
        <v>PG 3</v>
      </c>
      <c r="P642" s="9" t="s">
        <v>29</v>
      </c>
      <c r="R642" s="9" t="str">
        <f t="shared" si="155"/>
        <v>Fehlt</v>
      </c>
      <c r="S642" s="14"/>
      <c r="U642" s="15">
        <f>IF(YEAR(C642)&lt;=2025,IFERROR(IF(I642="Hauswirtschaft",VLOOKUP($B642,[1]Kundenübersicht!$E$4:$BA$1003,MATCH("Hauswirtschaft [€/Stunde]",[1]Kundenübersicht!$E$3:$BA$3,FALSE),FALSE),VLOOKUP($B642,[1]Kundenübersicht!$E$4:$BA$1003,MATCH("Alltagsbegleitung [€/Stunde]",[1]Kundenübersicht!$E$3:$BA$3,FALSE),FALSE)),0),IFERROR(IF(I642="Hauswirtschaft",VLOOKUP($B642,[1]Kundenübersicht!$E$4:$BA$1003,MATCH("HW ab 2026 [€/Stunde]",[1]Kundenübersicht!$E$3:$BA$3,FALSE),FALSE),VLOOKUP($B642,[1]Kundenübersicht!$E$4:$BA$1003,MATCH("Alltagsbegleitung [€/Stunde]",[1]Kundenübersicht!$E$3:$BA$3,FALSE),FALSE)),0))</f>
        <v>38</v>
      </c>
      <c r="V642" s="16">
        <f t="shared" si="157"/>
        <v>37.999999999999964</v>
      </c>
      <c r="W642" s="16">
        <f t="shared" si="152"/>
        <v>1.4</v>
      </c>
      <c r="X642" s="16" t="s">
        <v>89</v>
      </c>
      <c r="Z642" s="20" t="str">
        <f t="shared" si="154"/>
        <v>Nein</v>
      </c>
      <c r="AA642" s="19"/>
      <c r="AC642" s="19"/>
      <c r="AE642" s="9">
        <f t="shared" si="149"/>
        <v>2026</v>
      </c>
      <c r="AF642" s="17" t="str">
        <f t="shared" si="150"/>
        <v>02.2026</v>
      </c>
      <c r="AG642" s="17" t="str">
        <f t="shared" si="151"/>
        <v>Ute Ahnert</v>
      </c>
      <c r="AH642" s="17" t="str">
        <f>IFERROR(VLOOKUP(B642,[1]Kundenübersicht!$E$4:$F$85,2,FALSE),"")</f>
        <v>Maria Löscher</v>
      </c>
      <c r="AI642" s="17" t="str">
        <f t="shared" si="158"/>
        <v>Hauswirtschaft</v>
      </c>
      <c r="AJ642" s="17" t="str">
        <f t="shared" si="158"/>
        <v>Entlastungsleistung</v>
      </c>
      <c r="AL642" s="18">
        <f t="shared" si="159"/>
        <v>38</v>
      </c>
      <c r="AM642" s="18">
        <f t="shared" si="160"/>
        <v>37.999999999999964</v>
      </c>
      <c r="AN642" s="18">
        <f t="shared" si="161"/>
        <v>1.4</v>
      </c>
    </row>
    <row r="643" spans="1:40" x14ac:dyDescent="0.25">
      <c r="A643" s="39"/>
      <c r="B643" s="30" t="s">
        <v>91</v>
      </c>
      <c r="C643" s="31">
        <v>46076</v>
      </c>
      <c r="D643" s="32">
        <v>0.58333333333333337</v>
      </c>
      <c r="E643" s="32">
        <v>0.625</v>
      </c>
      <c r="F643" s="12">
        <f t="shared" si="156"/>
        <v>0.99999999999999911</v>
      </c>
      <c r="G643" s="12">
        <v>4</v>
      </c>
      <c r="H643" s="30" t="s">
        <v>92</v>
      </c>
      <c r="I643" s="30" t="s">
        <v>27</v>
      </c>
      <c r="J643" s="30" t="s">
        <v>28</v>
      </c>
      <c r="K643" s="9" t="str">
        <f>IFERROR(VLOOKUP($B643,[1]Kundenübersicht!$E$4:$AC$1003,MATCH(K$3,[1]Kundenübersicht!$E$3:$BA$3,FALSE),FALSE),"")</f>
        <v>IKK Classic</v>
      </c>
      <c r="L643" s="13">
        <f>IFERROR(VLOOKUP(B643,[1]Kundenübersicht!$E$4:$AC$1003,MATCH(L$3,[1]Kundenübersicht!$E$3:$BA$3,FALSE),FALSE),"")</f>
        <v>187202793</v>
      </c>
      <c r="M643" s="13" t="str">
        <f>IFERROR(VLOOKUP(B643,[1]Kundenübersicht!$E$4:$AC$1003,MATCH(M$3,[1]Kundenübersicht!$E$3:$BA$3,FALSE),FALSE),"")</f>
        <v>Z291375506</v>
      </c>
      <c r="N643" s="13" t="str">
        <f>IFERROR(VLOOKUP(B643,[1]Kundenübersicht!$E$4:$AC$1003,MATCH(N$3,[1]Kundenübersicht!$E$3:$BA$3,FALSE),FALSE),"")</f>
        <v>PG 3</v>
      </c>
      <c r="P643" s="9" t="s">
        <v>29</v>
      </c>
      <c r="R643" s="9" t="str">
        <f t="shared" si="155"/>
        <v>Fehlt</v>
      </c>
      <c r="S643" s="14"/>
      <c r="U643" s="15">
        <f>IF(YEAR(C643)&lt;=2025,IFERROR(IF(I643="Hauswirtschaft",VLOOKUP($B643,[1]Kundenübersicht!$E$4:$BA$1003,MATCH("Hauswirtschaft [€/Stunde]",[1]Kundenübersicht!$E$3:$BA$3,FALSE),FALSE),VLOOKUP($B643,[1]Kundenübersicht!$E$4:$BA$1003,MATCH("Alltagsbegleitung [€/Stunde]",[1]Kundenübersicht!$E$3:$BA$3,FALSE),FALSE)),0),IFERROR(IF(I643="Hauswirtschaft",VLOOKUP($B643,[1]Kundenübersicht!$E$4:$BA$1003,MATCH("HW ab 2026 [€/Stunde]",[1]Kundenübersicht!$E$3:$BA$3,FALSE),FALSE),VLOOKUP($B643,[1]Kundenübersicht!$E$4:$BA$1003,MATCH("Alltagsbegleitung [€/Stunde]",[1]Kundenübersicht!$E$3:$BA$3,FALSE),FALSE)),0))</f>
        <v>38</v>
      </c>
      <c r="V643" s="16">
        <f t="shared" si="157"/>
        <v>37.999999999999964</v>
      </c>
      <c r="W643" s="16">
        <f t="shared" si="152"/>
        <v>1.4</v>
      </c>
      <c r="X643" s="16" t="s">
        <v>89</v>
      </c>
      <c r="Z643" s="20" t="str">
        <f t="shared" si="154"/>
        <v>Nein</v>
      </c>
      <c r="AA643" s="19"/>
      <c r="AC643" s="19"/>
      <c r="AE643" s="9">
        <f t="shared" si="149"/>
        <v>2026</v>
      </c>
      <c r="AF643" s="17" t="str">
        <f t="shared" si="150"/>
        <v>02.2026</v>
      </c>
      <c r="AG643" s="17" t="str">
        <f t="shared" si="151"/>
        <v>Ute Ahnert</v>
      </c>
      <c r="AH643" s="17" t="str">
        <f>IFERROR(VLOOKUP(B643,[1]Kundenübersicht!$E$4:$F$85,2,FALSE),"")</f>
        <v>Maria Löscher</v>
      </c>
      <c r="AI643" s="17" t="str">
        <f t="shared" si="158"/>
        <v>Hauswirtschaft</v>
      </c>
      <c r="AJ643" s="17" t="str">
        <f t="shared" si="158"/>
        <v>Entlastungsleistung</v>
      </c>
      <c r="AL643" s="18">
        <f t="shared" si="159"/>
        <v>38</v>
      </c>
      <c r="AM643" s="18">
        <f t="shared" si="160"/>
        <v>37.999999999999964</v>
      </c>
      <c r="AN643" s="18">
        <f t="shared" si="161"/>
        <v>1.4</v>
      </c>
    </row>
    <row r="644" spans="1:40" x14ac:dyDescent="0.25">
      <c r="A644" s="39"/>
      <c r="B644" s="30" t="s">
        <v>93</v>
      </c>
      <c r="C644" s="31">
        <v>46055</v>
      </c>
      <c r="D644" s="32">
        <v>0.52083333333333337</v>
      </c>
      <c r="E644" s="32">
        <v>0.5625</v>
      </c>
      <c r="F644" s="12">
        <f t="shared" si="156"/>
        <v>0.99999999999999911</v>
      </c>
      <c r="G644" s="12"/>
      <c r="H644" s="30" t="s">
        <v>92</v>
      </c>
      <c r="I644" s="30" t="s">
        <v>27</v>
      </c>
      <c r="J644" s="30" t="s">
        <v>28</v>
      </c>
      <c r="K644" s="9" t="str">
        <f>IFERROR(VLOOKUP($B644,[1]Kundenübersicht!$E$4:$AC$1003,MATCH(K$3,[1]Kundenübersicht!$E$3:$BA$3,FALSE),FALSE),"")</f>
        <v>AOK PLUS</v>
      </c>
      <c r="L644" s="13">
        <f>IFERROR(VLOOKUP(B644,[1]Kundenübersicht!$E$4:$AC$1003,MATCH(L$3,[1]Kundenübersicht!$E$3:$BA$3,FALSE),FALSE),"")</f>
        <v>107299005</v>
      </c>
      <c r="M644" s="13" t="str">
        <f>IFERROR(VLOOKUP(B644,[1]Kundenübersicht!$E$4:$AC$1003,MATCH(M$3,[1]Kundenübersicht!$E$3:$BA$3,FALSE),FALSE),"")</f>
        <v>B111217515</v>
      </c>
      <c r="N644" s="13" t="str">
        <f>IFERROR(VLOOKUP(B644,[1]Kundenübersicht!$E$4:$AC$1003,MATCH(N$3,[1]Kundenübersicht!$E$3:$BA$3,FALSE),FALSE),"")</f>
        <v>PG 1</v>
      </c>
      <c r="P644" s="9" t="s">
        <v>29</v>
      </c>
      <c r="R644" s="9" t="str">
        <f t="shared" si="155"/>
        <v>Fehlt</v>
      </c>
      <c r="S644" s="14"/>
      <c r="U644" s="15">
        <f>IF(YEAR(C644)&lt;=2025,IFERROR(IF(I644="Hauswirtschaft",VLOOKUP($B644,[1]Kundenübersicht!$E$4:$BA$1003,MATCH("Hauswirtschaft [€/Stunde]",[1]Kundenübersicht!$E$3:$BA$3,FALSE),FALSE),VLOOKUP($B644,[1]Kundenübersicht!$E$4:$BA$1003,MATCH("Alltagsbegleitung [€/Stunde]",[1]Kundenübersicht!$E$3:$BA$3,FALSE),FALSE)),0),IFERROR(IF(I644="Hauswirtschaft",VLOOKUP($B644,[1]Kundenübersicht!$E$4:$BA$1003,MATCH("HW ab 2026 [€/Stunde]",[1]Kundenübersicht!$E$3:$BA$3,FALSE),FALSE),VLOOKUP($B644,[1]Kundenübersicht!$E$4:$BA$1003,MATCH("Alltagsbegleitung [€/Stunde]",[1]Kundenübersicht!$E$3:$BA$3,FALSE),FALSE)),0))</f>
        <v>38</v>
      </c>
      <c r="V644" s="16">
        <f t="shared" si="157"/>
        <v>37.999999999999964</v>
      </c>
      <c r="W644" s="16">
        <f t="shared" si="152"/>
        <v>0</v>
      </c>
      <c r="X644" s="16" t="s">
        <v>89</v>
      </c>
      <c r="Z644" s="20" t="str">
        <f t="shared" si="154"/>
        <v>Nein</v>
      </c>
      <c r="AA644" s="19"/>
      <c r="AC644" s="19"/>
      <c r="AE644" s="9">
        <f t="shared" si="149"/>
        <v>2026</v>
      </c>
      <c r="AF644" s="17" t="str">
        <f t="shared" si="150"/>
        <v>02.2026</v>
      </c>
      <c r="AG644" s="17" t="str">
        <f t="shared" si="151"/>
        <v>Ute Ahnert</v>
      </c>
      <c r="AH644" s="17" t="str">
        <f>IFERROR(VLOOKUP(B644,[1]Kundenübersicht!$E$4:$F$85,2,FALSE),"")</f>
        <v>Sieglinde Jacobi</v>
      </c>
      <c r="AI644" s="17" t="str">
        <f t="shared" si="158"/>
        <v>Hauswirtschaft</v>
      </c>
      <c r="AJ644" s="17" t="str">
        <f t="shared" si="158"/>
        <v>Entlastungsleistung</v>
      </c>
      <c r="AL644" s="18">
        <f t="shared" si="159"/>
        <v>38</v>
      </c>
      <c r="AM644" s="18">
        <f t="shared" si="160"/>
        <v>37.999999999999964</v>
      </c>
      <c r="AN644" s="18">
        <f t="shared" si="161"/>
        <v>0</v>
      </c>
    </row>
    <row r="645" spans="1:40" x14ac:dyDescent="0.25">
      <c r="A645" s="39"/>
      <c r="B645" s="30" t="s">
        <v>93</v>
      </c>
      <c r="C645" s="31">
        <v>46062</v>
      </c>
      <c r="D645" s="32">
        <v>0.52083333333333337</v>
      </c>
      <c r="E645" s="32">
        <v>0.5625</v>
      </c>
      <c r="F645" s="12">
        <f t="shared" si="156"/>
        <v>0.99999999999999911</v>
      </c>
      <c r="G645" s="12"/>
      <c r="H645" s="30" t="s">
        <v>92</v>
      </c>
      <c r="I645" s="30" t="s">
        <v>27</v>
      </c>
      <c r="J645" s="30" t="s">
        <v>28</v>
      </c>
      <c r="K645" s="9" t="str">
        <f>IFERROR(VLOOKUP($B645,[1]Kundenübersicht!$E$4:$AC$1003,MATCH(K$3,[1]Kundenübersicht!$E$3:$BA$3,FALSE),FALSE),"")</f>
        <v>AOK PLUS</v>
      </c>
      <c r="L645" s="13">
        <f>IFERROR(VLOOKUP(B645,[1]Kundenübersicht!$E$4:$AC$1003,MATCH(L$3,[1]Kundenübersicht!$E$3:$BA$3,FALSE),FALSE),"")</f>
        <v>107299005</v>
      </c>
      <c r="M645" s="13" t="str">
        <f>IFERROR(VLOOKUP(B645,[1]Kundenübersicht!$E$4:$AC$1003,MATCH(M$3,[1]Kundenübersicht!$E$3:$BA$3,FALSE),FALSE),"")</f>
        <v>B111217515</v>
      </c>
      <c r="N645" s="13" t="str">
        <f>IFERROR(VLOOKUP(B645,[1]Kundenübersicht!$E$4:$AC$1003,MATCH(N$3,[1]Kundenübersicht!$E$3:$BA$3,FALSE),FALSE),"")</f>
        <v>PG 1</v>
      </c>
      <c r="P645" s="9" t="s">
        <v>29</v>
      </c>
      <c r="R645" s="9" t="str">
        <f t="shared" si="155"/>
        <v>Fehlt</v>
      </c>
      <c r="S645" s="14"/>
      <c r="U645" s="15">
        <f>IF(YEAR(C645)&lt;=2025,IFERROR(IF(I645="Hauswirtschaft",VLOOKUP($B645,[1]Kundenübersicht!$E$4:$BA$1003,MATCH("Hauswirtschaft [€/Stunde]",[1]Kundenübersicht!$E$3:$BA$3,FALSE),FALSE),VLOOKUP($B645,[1]Kundenübersicht!$E$4:$BA$1003,MATCH("Alltagsbegleitung [€/Stunde]",[1]Kundenübersicht!$E$3:$BA$3,FALSE),FALSE)),0),IFERROR(IF(I645="Hauswirtschaft",VLOOKUP($B645,[1]Kundenübersicht!$E$4:$BA$1003,MATCH("HW ab 2026 [€/Stunde]",[1]Kundenübersicht!$E$3:$BA$3,FALSE),FALSE),VLOOKUP($B645,[1]Kundenübersicht!$E$4:$BA$1003,MATCH("Alltagsbegleitung [€/Stunde]",[1]Kundenübersicht!$E$3:$BA$3,FALSE),FALSE)),0))</f>
        <v>38</v>
      </c>
      <c r="V645" s="16">
        <f t="shared" si="157"/>
        <v>37.999999999999964</v>
      </c>
      <c r="W645" s="16">
        <f t="shared" si="152"/>
        <v>0</v>
      </c>
      <c r="X645" s="16" t="s">
        <v>89</v>
      </c>
      <c r="Z645" s="20" t="str">
        <f t="shared" si="154"/>
        <v>Nein</v>
      </c>
      <c r="AA645" s="19"/>
      <c r="AC645" s="19"/>
      <c r="AE645" s="9">
        <f t="shared" si="149"/>
        <v>2026</v>
      </c>
      <c r="AF645" s="17" t="str">
        <f t="shared" si="150"/>
        <v>02.2026</v>
      </c>
      <c r="AG645" s="17" t="str">
        <f t="shared" si="151"/>
        <v>Ute Ahnert</v>
      </c>
      <c r="AH645" s="17" t="str">
        <f>IFERROR(VLOOKUP(B645,[1]Kundenübersicht!$E$4:$F$85,2,FALSE),"")</f>
        <v>Sieglinde Jacobi</v>
      </c>
      <c r="AI645" s="17" t="str">
        <f t="shared" si="158"/>
        <v>Hauswirtschaft</v>
      </c>
      <c r="AJ645" s="17" t="str">
        <f t="shared" si="158"/>
        <v>Entlastungsleistung</v>
      </c>
      <c r="AL645" s="18">
        <f t="shared" si="159"/>
        <v>38</v>
      </c>
      <c r="AM645" s="18">
        <f t="shared" si="160"/>
        <v>37.999999999999964</v>
      </c>
      <c r="AN645" s="18">
        <f t="shared" si="161"/>
        <v>0</v>
      </c>
    </row>
    <row r="646" spans="1:40" x14ac:dyDescent="0.25">
      <c r="A646" s="39"/>
      <c r="B646" s="30" t="s">
        <v>93</v>
      </c>
      <c r="C646" s="31">
        <v>46076</v>
      </c>
      <c r="D646" s="32">
        <v>0.52083333333333337</v>
      </c>
      <c r="E646" s="32">
        <v>0.5625</v>
      </c>
      <c r="F646" s="12">
        <f t="shared" si="156"/>
        <v>0.99999999999999911</v>
      </c>
      <c r="G646" s="12"/>
      <c r="H646" s="30" t="s">
        <v>92</v>
      </c>
      <c r="I646" s="30" t="s">
        <v>27</v>
      </c>
      <c r="J646" s="30" t="s">
        <v>28</v>
      </c>
      <c r="K646" s="9" t="str">
        <f>IFERROR(VLOOKUP($B646,[1]Kundenübersicht!$E$4:$AC$1003,MATCH(K$3,[1]Kundenübersicht!$E$3:$BA$3,FALSE),FALSE),"")</f>
        <v>AOK PLUS</v>
      </c>
      <c r="L646" s="13">
        <f>IFERROR(VLOOKUP(B646,[1]Kundenübersicht!$E$4:$AC$1003,MATCH(L$3,[1]Kundenübersicht!$E$3:$BA$3,FALSE),FALSE),"")</f>
        <v>107299005</v>
      </c>
      <c r="M646" s="13" t="str">
        <f>IFERROR(VLOOKUP(B646,[1]Kundenübersicht!$E$4:$AC$1003,MATCH(M$3,[1]Kundenübersicht!$E$3:$BA$3,FALSE),FALSE),"")</f>
        <v>B111217515</v>
      </c>
      <c r="N646" s="13" t="str">
        <f>IFERROR(VLOOKUP(B646,[1]Kundenübersicht!$E$4:$AC$1003,MATCH(N$3,[1]Kundenübersicht!$E$3:$BA$3,FALSE),FALSE),"")</f>
        <v>PG 1</v>
      </c>
      <c r="P646" s="9" t="s">
        <v>29</v>
      </c>
      <c r="R646" s="9" t="str">
        <f t="shared" si="155"/>
        <v>Fehlt</v>
      </c>
      <c r="S646" s="14"/>
      <c r="U646" s="15">
        <f>IF(YEAR(C646)&lt;=2025,IFERROR(IF(I646="Hauswirtschaft",VLOOKUP($B646,[1]Kundenübersicht!$E$4:$BA$1003,MATCH("Hauswirtschaft [€/Stunde]",[1]Kundenübersicht!$E$3:$BA$3,FALSE),FALSE),VLOOKUP($B646,[1]Kundenübersicht!$E$4:$BA$1003,MATCH("Alltagsbegleitung [€/Stunde]",[1]Kundenübersicht!$E$3:$BA$3,FALSE),FALSE)),0),IFERROR(IF(I646="Hauswirtschaft",VLOOKUP($B646,[1]Kundenübersicht!$E$4:$BA$1003,MATCH("HW ab 2026 [€/Stunde]",[1]Kundenübersicht!$E$3:$BA$3,FALSE),FALSE),VLOOKUP($B646,[1]Kundenübersicht!$E$4:$BA$1003,MATCH("Alltagsbegleitung [€/Stunde]",[1]Kundenübersicht!$E$3:$BA$3,FALSE),FALSE)),0))</f>
        <v>38</v>
      </c>
      <c r="V646" s="16">
        <f t="shared" si="157"/>
        <v>37.999999999999964</v>
      </c>
      <c r="W646" s="16">
        <f t="shared" si="152"/>
        <v>0</v>
      </c>
      <c r="X646" s="16" t="s">
        <v>89</v>
      </c>
      <c r="Z646" s="20" t="str">
        <f t="shared" si="154"/>
        <v>Nein</v>
      </c>
      <c r="AA646" s="19"/>
      <c r="AC646" s="19"/>
      <c r="AE646" s="9">
        <f t="shared" ref="AE646:AE651" si="162">YEAR(C646)</f>
        <v>2026</v>
      </c>
      <c r="AF646" s="17" t="str">
        <f t="shared" ref="AF646:AF651" si="163">IF(MONTH(C646)&lt;=9,"0"&amp;MONTH(C646)&amp;"."&amp;YEAR(C646),MONTH(C646)&amp;"."&amp;YEAR(C646))</f>
        <v>02.2026</v>
      </c>
      <c r="AG646" s="17" t="str">
        <f t="shared" ref="AG646:AG651" si="164">IF(H646="","",H646)</f>
        <v>Ute Ahnert</v>
      </c>
      <c r="AH646" s="17" t="str">
        <f>IFERROR(VLOOKUP(B646,[1]Kundenübersicht!$E$4:$F$85,2,FALSE),"")</f>
        <v>Sieglinde Jacobi</v>
      </c>
      <c r="AI646" s="17" t="str">
        <f t="shared" si="158"/>
        <v>Hauswirtschaft</v>
      </c>
      <c r="AJ646" s="17" t="str">
        <f t="shared" si="158"/>
        <v>Entlastungsleistung</v>
      </c>
      <c r="AL646" s="18">
        <f t="shared" si="159"/>
        <v>38</v>
      </c>
      <c r="AM646" s="18">
        <f t="shared" si="160"/>
        <v>37.999999999999964</v>
      </c>
      <c r="AN646" s="18">
        <f t="shared" si="161"/>
        <v>0</v>
      </c>
    </row>
    <row r="647" spans="1:40" x14ac:dyDescent="0.25">
      <c r="A647" s="39"/>
      <c r="B647" s="30" t="s">
        <v>94</v>
      </c>
      <c r="C647" s="31">
        <v>46056</v>
      </c>
      <c r="D647" s="32">
        <v>0.41666666666666669</v>
      </c>
      <c r="E647" s="32">
        <v>0.5</v>
      </c>
      <c r="F647" s="12">
        <f t="shared" si="156"/>
        <v>1.9999999999999996</v>
      </c>
      <c r="G647" s="12">
        <v>6</v>
      </c>
      <c r="H647" s="30" t="s">
        <v>92</v>
      </c>
      <c r="I647" s="30" t="s">
        <v>27</v>
      </c>
      <c r="J647" s="30" t="s">
        <v>28</v>
      </c>
      <c r="K647" s="9" t="str">
        <f>IFERROR(VLOOKUP($B647,[1]Kundenübersicht!$E$4:$AC$1003,MATCH(K$3,[1]Kundenübersicht!$E$3:$BA$3,FALSE),FALSE),"")</f>
        <v>AOK PLUS</v>
      </c>
      <c r="L647" s="13">
        <f>IFERROR(VLOOKUP(B647,[1]Kundenübersicht!$E$4:$AC$1003,MATCH(L$3,[1]Kundenübersicht!$E$3:$BA$3,FALSE),FALSE),"")</f>
        <v>107299005</v>
      </c>
      <c r="M647" s="13" t="str">
        <f>IFERROR(VLOOKUP(B647,[1]Kundenübersicht!$E$4:$AC$1003,MATCH(M$3,[1]Kundenübersicht!$E$3:$BA$3,FALSE),FALSE),"")</f>
        <v>T152854691</v>
      </c>
      <c r="N647" s="13" t="str">
        <f>IFERROR(VLOOKUP(B647,[1]Kundenübersicht!$E$4:$AC$1003,MATCH(N$3,[1]Kundenübersicht!$E$3:$BA$3,FALSE),FALSE),"")</f>
        <v>PG 2</v>
      </c>
      <c r="P647" s="9" t="s">
        <v>29</v>
      </c>
      <c r="R647" s="9" t="str">
        <f t="shared" si="155"/>
        <v>Fehlt</v>
      </c>
      <c r="S647" s="14"/>
      <c r="U647" s="15">
        <f>IF(YEAR(C647)&lt;=2025,IFERROR(IF(I647="Hauswirtschaft",VLOOKUP($B647,[1]Kundenübersicht!$E$4:$BA$1003,MATCH("Hauswirtschaft [€/Stunde]",[1]Kundenübersicht!$E$3:$BA$3,FALSE),FALSE),VLOOKUP($B647,[1]Kundenübersicht!$E$4:$BA$1003,MATCH("Alltagsbegleitung [€/Stunde]",[1]Kundenübersicht!$E$3:$BA$3,FALSE),FALSE)),0),IFERROR(IF(I647="Hauswirtschaft",VLOOKUP($B647,[1]Kundenübersicht!$E$4:$BA$1003,MATCH("HW ab 2026 [€/Stunde]",[1]Kundenübersicht!$E$3:$BA$3,FALSE),FALSE),VLOOKUP($B647,[1]Kundenübersicht!$E$4:$BA$1003,MATCH("Alltagsbegleitung [€/Stunde]",[1]Kundenübersicht!$E$3:$BA$3,FALSE),FALSE)),0))</f>
        <v>38</v>
      </c>
      <c r="V647" s="16">
        <f t="shared" si="157"/>
        <v>75.999999999999986</v>
      </c>
      <c r="W647" s="16">
        <f t="shared" si="152"/>
        <v>2.0999999999999996</v>
      </c>
      <c r="X647" s="16" t="s">
        <v>89</v>
      </c>
      <c r="Z647" s="20" t="str">
        <f t="shared" si="154"/>
        <v>Nein</v>
      </c>
      <c r="AA647" s="19"/>
      <c r="AC647" s="19"/>
      <c r="AE647" s="9">
        <f t="shared" si="162"/>
        <v>2026</v>
      </c>
      <c r="AF647" s="17" t="str">
        <f t="shared" si="163"/>
        <v>02.2026</v>
      </c>
      <c r="AG647" s="17" t="str">
        <f t="shared" si="164"/>
        <v>Ute Ahnert</v>
      </c>
      <c r="AH647" s="17" t="str">
        <f>IFERROR(VLOOKUP(B647,[1]Kundenübersicht!$E$4:$F$85,2,FALSE),"")</f>
        <v>Katrin Vavrin</v>
      </c>
      <c r="AI647" s="17" t="str">
        <f t="shared" si="158"/>
        <v>Hauswirtschaft</v>
      </c>
      <c r="AJ647" s="17" t="str">
        <f t="shared" si="158"/>
        <v>Entlastungsleistung</v>
      </c>
      <c r="AL647" s="18">
        <f t="shared" si="159"/>
        <v>38</v>
      </c>
      <c r="AM647" s="18">
        <f t="shared" si="160"/>
        <v>75.999999999999986</v>
      </c>
      <c r="AN647" s="18">
        <f t="shared" si="161"/>
        <v>2.0999999999999996</v>
      </c>
    </row>
    <row r="648" spans="1:40" x14ac:dyDescent="0.25">
      <c r="A648" s="39"/>
      <c r="B648" s="30" t="s">
        <v>94</v>
      </c>
      <c r="C648" s="31">
        <v>46063</v>
      </c>
      <c r="D648" s="32">
        <v>0.41666666666666669</v>
      </c>
      <c r="E648" s="32">
        <v>0.5</v>
      </c>
      <c r="F648" s="12">
        <f t="shared" si="156"/>
        <v>1.9999999999999996</v>
      </c>
      <c r="G648" s="12">
        <v>6</v>
      </c>
      <c r="H648" s="30" t="s">
        <v>92</v>
      </c>
      <c r="I648" s="30" t="s">
        <v>27</v>
      </c>
      <c r="J648" s="30" t="s">
        <v>28</v>
      </c>
      <c r="K648" s="9" t="str">
        <f>IFERROR(VLOOKUP($B648,[1]Kundenübersicht!$E$4:$AC$1003,MATCH(K$3,[1]Kundenübersicht!$E$3:$BA$3,FALSE),FALSE),"")</f>
        <v>AOK PLUS</v>
      </c>
      <c r="L648" s="13">
        <f>IFERROR(VLOOKUP(B648,[1]Kundenübersicht!$E$4:$AC$1003,MATCH(L$3,[1]Kundenübersicht!$E$3:$BA$3,FALSE),FALSE),"")</f>
        <v>107299005</v>
      </c>
      <c r="M648" s="13" t="str">
        <f>IFERROR(VLOOKUP(B648,[1]Kundenübersicht!$E$4:$AC$1003,MATCH(M$3,[1]Kundenübersicht!$E$3:$BA$3,FALSE),FALSE),"")</f>
        <v>T152854691</v>
      </c>
      <c r="N648" s="13" t="str">
        <f>IFERROR(VLOOKUP(B648,[1]Kundenübersicht!$E$4:$AC$1003,MATCH(N$3,[1]Kundenübersicht!$E$3:$BA$3,FALSE),FALSE),"")</f>
        <v>PG 2</v>
      </c>
      <c r="P648" s="9" t="s">
        <v>29</v>
      </c>
      <c r="R648" s="9" t="str">
        <f t="shared" si="155"/>
        <v>Fehlt</v>
      </c>
      <c r="S648" s="14"/>
      <c r="U648" s="15">
        <f>IF(YEAR(C648)&lt;=2025,IFERROR(IF(I648="Hauswirtschaft",VLOOKUP($B648,[1]Kundenübersicht!$E$4:$BA$1003,MATCH("Hauswirtschaft [€/Stunde]",[1]Kundenübersicht!$E$3:$BA$3,FALSE),FALSE),VLOOKUP($B648,[1]Kundenübersicht!$E$4:$BA$1003,MATCH("Alltagsbegleitung [€/Stunde]",[1]Kundenübersicht!$E$3:$BA$3,FALSE),FALSE)),0),IFERROR(IF(I648="Hauswirtschaft",VLOOKUP($B648,[1]Kundenübersicht!$E$4:$BA$1003,MATCH("HW ab 2026 [€/Stunde]",[1]Kundenübersicht!$E$3:$BA$3,FALSE),FALSE),VLOOKUP($B648,[1]Kundenübersicht!$E$4:$BA$1003,MATCH("Alltagsbegleitung [€/Stunde]",[1]Kundenübersicht!$E$3:$BA$3,FALSE),FALSE)),0))</f>
        <v>38</v>
      </c>
      <c r="V648" s="16">
        <f t="shared" si="157"/>
        <v>75.999999999999986</v>
      </c>
      <c r="W648" s="16">
        <f t="shared" si="152"/>
        <v>2.0999999999999996</v>
      </c>
      <c r="X648" s="16" t="s">
        <v>89</v>
      </c>
      <c r="Z648" s="20" t="str">
        <f t="shared" si="154"/>
        <v>Nein</v>
      </c>
      <c r="AA648" s="19"/>
      <c r="AC648" s="19"/>
      <c r="AE648" s="9">
        <f t="shared" si="162"/>
        <v>2026</v>
      </c>
      <c r="AF648" s="17" t="str">
        <f t="shared" si="163"/>
        <v>02.2026</v>
      </c>
      <c r="AG648" s="17" t="str">
        <f t="shared" si="164"/>
        <v>Ute Ahnert</v>
      </c>
      <c r="AH648" s="17" t="str">
        <f>IFERROR(VLOOKUP(B648,[1]Kundenübersicht!$E$4:$F$85,2,FALSE),"")</f>
        <v>Katrin Vavrin</v>
      </c>
      <c r="AI648" s="17" t="str">
        <f t="shared" si="158"/>
        <v>Hauswirtschaft</v>
      </c>
      <c r="AJ648" s="17" t="str">
        <f t="shared" si="158"/>
        <v>Entlastungsleistung</v>
      </c>
      <c r="AL648" s="18">
        <f t="shared" si="159"/>
        <v>38</v>
      </c>
      <c r="AM648" s="18">
        <f t="shared" si="160"/>
        <v>75.999999999999986</v>
      </c>
      <c r="AN648" s="18">
        <f t="shared" si="161"/>
        <v>2.0999999999999996</v>
      </c>
    </row>
    <row r="649" spans="1:40" x14ac:dyDescent="0.25">
      <c r="A649" s="39"/>
      <c r="B649" s="30" t="s">
        <v>94</v>
      </c>
      <c r="C649" s="31">
        <v>46070</v>
      </c>
      <c r="D649" s="32">
        <v>0.41666666666666669</v>
      </c>
      <c r="E649" s="32">
        <v>0.5</v>
      </c>
      <c r="F649" s="12">
        <f t="shared" si="156"/>
        <v>1.9999999999999996</v>
      </c>
      <c r="G649" s="12">
        <v>6</v>
      </c>
      <c r="H649" s="30" t="s">
        <v>92</v>
      </c>
      <c r="I649" s="30" t="s">
        <v>27</v>
      </c>
      <c r="J649" s="30" t="s">
        <v>28</v>
      </c>
      <c r="K649" s="9" t="str">
        <f>IFERROR(VLOOKUP($B649,[1]Kundenübersicht!$E$4:$AC$1003,MATCH(K$3,[1]Kundenübersicht!$E$3:$BA$3,FALSE),FALSE),"")</f>
        <v>AOK PLUS</v>
      </c>
      <c r="L649" s="13">
        <f>IFERROR(VLOOKUP(B649,[1]Kundenübersicht!$E$4:$AC$1003,MATCH(L$3,[1]Kundenübersicht!$E$3:$BA$3,FALSE),FALSE),"")</f>
        <v>107299005</v>
      </c>
      <c r="M649" s="13" t="str">
        <f>IFERROR(VLOOKUP(B649,[1]Kundenübersicht!$E$4:$AC$1003,MATCH(M$3,[1]Kundenübersicht!$E$3:$BA$3,FALSE),FALSE),"")</f>
        <v>T152854691</v>
      </c>
      <c r="N649" s="13" t="str">
        <f>IFERROR(VLOOKUP(B649,[1]Kundenübersicht!$E$4:$AC$1003,MATCH(N$3,[1]Kundenübersicht!$E$3:$BA$3,FALSE),FALSE),"")</f>
        <v>PG 2</v>
      </c>
      <c r="P649" s="9" t="s">
        <v>29</v>
      </c>
      <c r="R649" s="9" t="str">
        <f t="shared" si="155"/>
        <v>Fehlt</v>
      </c>
      <c r="S649" s="14"/>
      <c r="U649" s="15">
        <f>IF(YEAR(C649)&lt;=2025,IFERROR(IF(I649="Hauswirtschaft",VLOOKUP($B649,[1]Kundenübersicht!$E$4:$BA$1003,MATCH("Hauswirtschaft [€/Stunde]",[1]Kundenübersicht!$E$3:$BA$3,FALSE),FALSE),VLOOKUP($B649,[1]Kundenübersicht!$E$4:$BA$1003,MATCH("Alltagsbegleitung [€/Stunde]",[1]Kundenübersicht!$E$3:$BA$3,FALSE),FALSE)),0),IFERROR(IF(I649="Hauswirtschaft",VLOOKUP($B649,[1]Kundenübersicht!$E$4:$BA$1003,MATCH("HW ab 2026 [€/Stunde]",[1]Kundenübersicht!$E$3:$BA$3,FALSE),FALSE),VLOOKUP($B649,[1]Kundenübersicht!$E$4:$BA$1003,MATCH("Alltagsbegleitung [€/Stunde]",[1]Kundenübersicht!$E$3:$BA$3,FALSE),FALSE)),0))</f>
        <v>38</v>
      </c>
      <c r="V649" s="16">
        <f t="shared" si="157"/>
        <v>75.999999999999986</v>
      </c>
      <c r="W649" s="16">
        <f t="shared" si="152"/>
        <v>2.0999999999999996</v>
      </c>
      <c r="X649" s="16" t="s">
        <v>89</v>
      </c>
      <c r="Z649" s="20" t="str">
        <f t="shared" si="154"/>
        <v>Nein</v>
      </c>
      <c r="AA649" s="19"/>
      <c r="AC649" s="19"/>
      <c r="AE649" s="9">
        <f t="shared" si="162"/>
        <v>2026</v>
      </c>
      <c r="AF649" s="17" t="str">
        <f t="shared" si="163"/>
        <v>02.2026</v>
      </c>
      <c r="AG649" s="17" t="str">
        <f t="shared" si="164"/>
        <v>Ute Ahnert</v>
      </c>
      <c r="AH649" s="17" t="str">
        <f>IFERROR(VLOOKUP(B649,[1]Kundenübersicht!$E$4:$F$85,2,FALSE),"")</f>
        <v>Katrin Vavrin</v>
      </c>
      <c r="AI649" s="17" t="str">
        <f t="shared" si="158"/>
        <v>Hauswirtschaft</v>
      </c>
      <c r="AJ649" s="17" t="str">
        <f t="shared" si="158"/>
        <v>Entlastungsleistung</v>
      </c>
      <c r="AL649" s="18">
        <f t="shared" si="159"/>
        <v>38</v>
      </c>
      <c r="AM649" s="18">
        <f t="shared" si="160"/>
        <v>75.999999999999986</v>
      </c>
      <c r="AN649" s="18">
        <f t="shared" si="161"/>
        <v>2.0999999999999996</v>
      </c>
    </row>
    <row r="650" spans="1:40" x14ac:dyDescent="0.25">
      <c r="A650" s="39"/>
      <c r="B650" s="30" t="s">
        <v>94</v>
      </c>
      <c r="C650" s="31">
        <v>46077</v>
      </c>
      <c r="D650" s="32">
        <v>0.41666666666666669</v>
      </c>
      <c r="E650" s="32">
        <v>0.5</v>
      </c>
      <c r="F650" s="12">
        <f t="shared" si="156"/>
        <v>1.9999999999999996</v>
      </c>
      <c r="G650" s="12">
        <v>6</v>
      </c>
      <c r="H650" s="30" t="s">
        <v>92</v>
      </c>
      <c r="I650" s="30" t="s">
        <v>27</v>
      </c>
      <c r="J650" s="30" t="s">
        <v>28</v>
      </c>
      <c r="K650" s="9" t="str">
        <f>IFERROR(VLOOKUP($B650,[1]Kundenübersicht!$E$4:$AC$1003,MATCH(K$3,[1]Kundenübersicht!$E$3:$BA$3,FALSE),FALSE),"")</f>
        <v>AOK PLUS</v>
      </c>
      <c r="L650" s="13">
        <f>IFERROR(VLOOKUP(B650,[1]Kundenübersicht!$E$4:$AC$1003,MATCH(L$3,[1]Kundenübersicht!$E$3:$BA$3,FALSE),FALSE),"")</f>
        <v>107299005</v>
      </c>
      <c r="M650" s="13" t="str">
        <f>IFERROR(VLOOKUP(B650,[1]Kundenübersicht!$E$4:$AC$1003,MATCH(M$3,[1]Kundenübersicht!$E$3:$BA$3,FALSE),FALSE),"")</f>
        <v>T152854691</v>
      </c>
      <c r="N650" s="13" t="str">
        <f>IFERROR(VLOOKUP(B650,[1]Kundenübersicht!$E$4:$AC$1003,MATCH(N$3,[1]Kundenübersicht!$E$3:$BA$3,FALSE),FALSE),"")</f>
        <v>PG 2</v>
      </c>
      <c r="P650" s="9" t="s">
        <v>29</v>
      </c>
      <c r="R650" s="9" t="str">
        <f t="shared" si="155"/>
        <v>Fehlt</v>
      </c>
      <c r="S650" s="14"/>
      <c r="U650" s="15">
        <f>IF(YEAR(C650)&lt;=2025,IFERROR(IF(I650="Hauswirtschaft",VLOOKUP($B650,[1]Kundenübersicht!$E$4:$BA$1003,MATCH("Hauswirtschaft [€/Stunde]",[1]Kundenübersicht!$E$3:$BA$3,FALSE),FALSE),VLOOKUP($B650,[1]Kundenübersicht!$E$4:$BA$1003,MATCH("Alltagsbegleitung [€/Stunde]",[1]Kundenübersicht!$E$3:$BA$3,FALSE),FALSE)),0),IFERROR(IF(I650="Hauswirtschaft",VLOOKUP($B650,[1]Kundenübersicht!$E$4:$BA$1003,MATCH("HW ab 2026 [€/Stunde]",[1]Kundenübersicht!$E$3:$BA$3,FALSE),FALSE),VLOOKUP($B650,[1]Kundenübersicht!$E$4:$BA$1003,MATCH("Alltagsbegleitung [€/Stunde]",[1]Kundenübersicht!$E$3:$BA$3,FALSE),FALSE)),0))</f>
        <v>38</v>
      </c>
      <c r="V650" s="16">
        <f t="shared" si="157"/>
        <v>75.999999999999986</v>
      </c>
      <c r="W650" s="16">
        <f t="shared" si="152"/>
        <v>2.0999999999999996</v>
      </c>
      <c r="X650" s="16" t="s">
        <v>89</v>
      </c>
      <c r="Z650" s="20" t="str">
        <f t="shared" si="154"/>
        <v>Nein</v>
      </c>
      <c r="AA650" s="19"/>
      <c r="AC650" s="19"/>
      <c r="AE650" s="9">
        <f t="shared" si="162"/>
        <v>2026</v>
      </c>
      <c r="AF650" s="17" t="str">
        <f t="shared" si="163"/>
        <v>02.2026</v>
      </c>
      <c r="AG650" s="17" t="str">
        <f t="shared" si="164"/>
        <v>Ute Ahnert</v>
      </c>
      <c r="AH650" s="17" t="str">
        <f>IFERROR(VLOOKUP(B650,[1]Kundenübersicht!$E$4:$F$85,2,FALSE),"")</f>
        <v>Katrin Vavrin</v>
      </c>
      <c r="AI650" s="17" t="str">
        <f t="shared" si="158"/>
        <v>Hauswirtschaft</v>
      </c>
      <c r="AJ650" s="17" t="str">
        <f t="shared" si="158"/>
        <v>Entlastungsleistung</v>
      </c>
      <c r="AL650" s="18">
        <f t="shared" si="159"/>
        <v>38</v>
      </c>
      <c r="AM650" s="18">
        <f t="shared" si="160"/>
        <v>75.999999999999986</v>
      </c>
      <c r="AN650" s="18">
        <f t="shared" si="161"/>
        <v>2.0999999999999996</v>
      </c>
    </row>
    <row r="651" spans="1:40" x14ac:dyDescent="0.25">
      <c r="A651" s="39"/>
      <c r="B651" s="30" t="s">
        <v>94</v>
      </c>
      <c r="C651" s="31">
        <v>46080</v>
      </c>
      <c r="D651" s="32">
        <v>0.54166666666666663</v>
      </c>
      <c r="E651" s="32">
        <v>0.625</v>
      </c>
      <c r="F651" s="12">
        <f t="shared" si="156"/>
        <v>2.0000000000000009</v>
      </c>
      <c r="G651" s="12">
        <v>6</v>
      </c>
      <c r="H651" s="30" t="s">
        <v>92</v>
      </c>
      <c r="I651" s="30" t="s">
        <v>41</v>
      </c>
      <c r="J651" s="30" t="s">
        <v>28</v>
      </c>
      <c r="K651" s="9" t="str">
        <f>IFERROR(VLOOKUP($B651,[1]Kundenübersicht!$E$4:$AC$1003,MATCH(K$3,[1]Kundenübersicht!$E$3:$BA$3,FALSE),FALSE),"")</f>
        <v>AOK PLUS</v>
      </c>
      <c r="L651" s="13">
        <f>IFERROR(VLOOKUP(B651,[1]Kundenübersicht!$E$4:$AC$1003,MATCH(L$3,[1]Kundenübersicht!$E$3:$BA$3,FALSE),FALSE),"")</f>
        <v>107299005</v>
      </c>
      <c r="M651" s="13" t="str">
        <f>IFERROR(VLOOKUP(B651,[1]Kundenübersicht!$E$4:$AC$1003,MATCH(M$3,[1]Kundenübersicht!$E$3:$BA$3,FALSE),FALSE),"")</f>
        <v>T152854691</v>
      </c>
      <c r="N651" s="13" t="str">
        <f>IFERROR(VLOOKUP(B651,[1]Kundenübersicht!$E$4:$AC$1003,MATCH(N$3,[1]Kundenübersicht!$E$3:$BA$3,FALSE),FALSE),"")</f>
        <v>PG 2</v>
      </c>
      <c r="P651" s="9" t="s">
        <v>29</v>
      </c>
      <c r="R651" s="9" t="str">
        <f t="shared" si="155"/>
        <v>Fehlt</v>
      </c>
      <c r="S651" s="14"/>
      <c r="U651" s="15">
        <f>IF(YEAR(C651)&lt;=2025,IFERROR(IF(I651="Hauswirtschaft",VLOOKUP($B651,[1]Kundenübersicht!$E$4:$BA$1003,MATCH("Hauswirtschaft [€/Stunde]",[1]Kundenübersicht!$E$3:$BA$3,FALSE),FALSE),VLOOKUP($B651,[1]Kundenübersicht!$E$4:$BA$1003,MATCH("Alltagsbegleitung [€/Stunde]",[1]Kundenübersicht!$E$3:$BA$3,FALSE),FALSE)),0),IFERROR(IF(I651="Hauswirtschaft",VLOOKUP($B651,[1]Kundenübersicht!$E$4:$BA$1003,MATCH("HW ab 2026 [€/Stunde]",[1]Kundenübersicht!$E$3:$BA$3,FALSE),FALSE),VLOOKUP($B651,[1]Kundenübersicht!$E$4:$BA$1003,MATCH("Alltagsbegleitung [€/Stunde]",[1]Kundenübersicht!$E$3:$BA$3,FALSE),FALSE)),0))</f>
        <v>42</v>
      </c>
      <c r="V651" s="16">
        <f t="shared" si="157"/>
        <v>84.000000000000043</v>
      </c>
      <c r="W651" s="16">
        <f t="shared" si="152"/>
        <v>2.0999999999999996</v>
      </c>
      <c r="X651" s="16" t="s">
        <v>89</v>
      </c>
      <c r="Z651" s="20" t="str">
        <f t="shared" si="154"/>
        <v>Nein</v>
      </c>
      <c r="AA651" s="19"/>
      <c r="AC651" s="19"/>
      <c r="AE651" s="9">
        <f t="shared" si="162"/>
        <v>2026</v>
      </c>
      <c r="AF651" s="17" t="str">
        <f t="shared" si="163"/>
        <v>02.2026</v>
      </c>
      <c r="AG651" s="17" t="str">
        <f t="shared" si="164"/>
        <v>Ute Ahnert</v>
      </c>
      <c r="AH651" s="17" t="str">
        <f>IFERROR(VLOOKUP(B651,[1]Kundenübersicht!$E$4:$F$85,2,FALSE),"")</f>
        <v>Katrin Vavrin</v>
      </c>
      <c r="AI651" s="17" t="str">
        <f t="shared" si="158"/>
        <v>Alltagsbegleitung</v>
      </c>
      <c r="AJ651" s="17" t="str">
        <f t="shared" si="158"/>
        <v>Entlastungsleistung</v>
      </c>
      <c r="AL651" s="18">
        <f t="shared" si="159"/>
        <v>42</v>
      </c>
      <c r="AM651" s="18">
        <f t="shared" si="160"/>
        <v>84.000000000000043</v>
      </c>
      <c r="AN651" s="18">
        <f t="shared" si="161"/>
        <v>2.0999999999999996</v>
      </c>
    </row>
  </sheetData>
  <conditionalFormatting sqref="R4:S95 R97:S386 R530:S531 S504:S529 R502:R529 R532:R651 S557:S631">
    <cfRule type="cellIs" dxfId="135" priority="133" operator="equal">
      <formula>"Unterschrieben"</formula>
    </cfRule>
    <cfRule type="cellIs" dxfId="134" priority="134" operator="equal">
      <formula>"Fehlt"</formula>
    </cfRule>
  </conditionalFormatting>
  <conditionalFormatting sqref="S94:S99 R96">
    <cfRule type="cellIs" dxfId="133" priority="135" operator="equal">
      <formula>"Unterschrieben"</formula>
    </cfRule>
    <cfRule type="cellIs" dxfId="132" priority="136" operator="equal">
      <formula>"Fehlt"</formula>
    </cfRule>
  </conditionalFormatting>
  <conditionalFormatting sqref="R387 S420:S445 R388:S419 R420:R460">
    <cfRule type="cellIs" dxfId="131" priority="131" operator="equal">
      <formula>"Unterschrieben"</formula>
    </cfRule>
    <cfRule type="cellIs" dxfId="130" priority="132" operator="equal">
      <formula>"Fehlt"</formula>
    </cfRule>
  </conditionalFormatting>
  <conditionalFormatting sqref="S387">
    <cfRule type="cellIs" dxfId="129" priority="129" operator="equal">
      <formula>"Unterschrieben"</formula>
    </cfRule>
    <cfRule type="cellIs" dxfId="128" priority="130" operator="equal">
      <formula>"Fehlt"</formula>
    </cfRule>
  </conditionalFormatting>
  <conditionalFormatting sqref="S450:S470">
    <cfRule type="cellIs" dxfId="127" priority="127" operator="equal">
      <formula>"Unterschrieben"</formula>
    </cfRule>
    <cfRule type="cellIs" dxfId="126" priority="128" operator="equal">
      <formula>"Fehlt"</formula>
    </cfRule>
  </conditionalFormatting>
  <conditionalFormatting sqref="S446">
    <cfRule type="cellIs" dxfId="125" priority="125" operator="equal">
      <formula>"Unterschrieben"</formula>
    </cfRule>
    <cfRule type="cellIs" dxfId="124" priority="126" operator="equal">
      <formula>"Fehlt"</formula>
    </cfRule>
  </conditionalFormatting>
  <conditionalFormatting sqref="S447">
    <cfRule type="cellIs" dxfId="123" priority="123" operator="equal">
      <formula>"Unterschrieben"</formula>
    </cfRule>
    <cfRule type="cellIs" dxfId="122" priority="124" operator="equal">
      <formula>"Fehlt"</formula>
    </cfRule>
  </conditionalFormatting>
  <conditionalFormatting sqref="S448">
    <cfRule type="cellIs" dxfId="121" priority="121" operator="equal">
      <formula>"Unterschrieben"</formula>
    </cfRule>
    <cfRule type="cellIs" dxfId="120" priority="122" operator="equal">
      <formula>"Fehlt"</formula>
    </cfRule>
  </conditionalFormatting>
  <conditionalFormatting sqref="S449">
    <cfRule type="cellIs" dxfId="119" priority="119" operator="equal">
      <formula>"Unterschrieben"</formula>
    </cfRule>
    <cfRule type="cellIs" dxfId="118" priority="120" operator="equal">
      <formula>"Fehlt"</formula>
    </cfRule>
  </conditionalFormatting>
  <conditionalFormatting sqref="S471">
    <cfRule type="cellIs" dxfId="117" priority="117" operator="equal">
      <formula>"Unterschrieben"</formula>
    </cfRule>
    <cfRule type="cellIs" dxfId="116" priority="118" operator="equal">
      <formula>"Fehlt"</formula>
    </cfRule>
  </conditionalFormatting>
  <conditionalFormatting sqref="S472">
    <cfRule type="cellIs" dxfId="115" priority="115" operator="equal">
      <formula>"Unterschrieben"</formula>
    </cfRule>
    <cfRule type="cellIs" dxfId="114" priority="116" operator="equal">
      <formula>"Fehlt"</formula>
    </cfRule>
  </conditionalFormatting>
  <conditionalFormatting sqref="S473">
    <cfRule type="cellIs" dxfId="113" priority="113" operator="equal">
      <formula>"Unterschrieben"</formula>
    </cfRule>
    <cfRule type="cellIs" dxfId="112" priority="114" operator="equal">
      <formula>"Fehlt"</formula>
    </cfRule>
  </conditionalFormatting>
  <conditionalFormatting sqref="S474">
    <cfRule type="cellIs" dxfId="111" priority="111" operator="equal">
      <formula>"Unterschrieben"</formula>
    </cfRule>
    <cfRule type="cellIs" dxfId="110" priority="112" operator="equal">
      <formula>"Fehlt"</formula>
    </cfRule>
  </conditionalFormatting>
  <conditionalFormatting sqref="S475">
    <cfRule type="cellIs" dxfId="109" priority="109" operator="equal">
      <formula>"Unterschrieben"</formula>
    </cfRule>
    <cfRule type="cellIs" dxfId="108" priority="110" operator="equal">
      <formula>"Fehlt"</formula>
    </cfRule>
  </conditionalFormatting>
  <conditionalFormatting sqref="S476">
    <cfRule type="cellIs" dxfId="107" priority="107" operator="equal">
      <formula>"Unterschrieben"</formula>
    </cfRule>
    <cfRule type="cellIs" dxfId="106" priority="108" operator="equal">
      <formula>"Fehlt"</formula>
    </cfRule>
  </conditionalFormatting>
  <conditionalFormatting sqref="S477">
    <cfRule type="cellIs" dxfId="105" priority="105" operator="equal">
      <formula>"Unterschrieben"</formula>
    </cfRule>
    <cfRule type="cellIs" dxfId="104" priority="106" operator="equal">
      <formula>"Fehlt"</formula>
    </cfRule>
  </conditionalFormatting>
  <conditionalFormatting sqref="S478">
    <cfRule type="cellIs" dxfId="103" priority="103" operator="equal">
      <formula>"Unterschrieben"</formula>
    </cfRule>
    <cfRule type="cellIs" dxfId="102" priority="104" operator="equal">
      <formula>"Fehlt"</formula>
    </cfRule>
  </conditionalFormatting>
  <conditionalFormatting sqref="S479">
    <cfRule type="cellIs" dxfId="101" priority="101" operator="equal">
      <formula>"Unterschrieben"</formula>
    </cfRule>
    <cfRule type="cellIs" dxfId="100" priority="102" operator="equal">
      <formula>"Fehlt"</formula>
    </cfRule>
  </conditionalFormatting>
  <conditionalFormatting sqref="S480">
    <cfRule type="cellIs" dxfId="99" priority="99" operator="equal">
      <formula>"Unterschrieben"</formula>
    </cfRule>
    <cfRule type="cellIs" dxfId="98" priority="100" operator="equal">
      <formula>"Fehlt"</formula>
    </cfRule>
  </conditionalFormatting>
  <conditionalFormatting sqref="S481">
    <cfRule type="cellIs" dxfId="97" priority="97" operator="equal">
      <formula>"Unterschrieben"</formula>
    </cfRule>
    <cfRule type="cellIs" dxfId="96" priority="98" operator="equal">
      <formula>"Fehlt"</formula>
    </cfRule>
  </conditionalFormatting>
  <conditionalFormatting sqref="S482">
    <cfRule type="cellIs" dxfId="95" priority="95" operator="equal">
      <formula>"Unterschrieben"</formula>
    </cfRule>
    <cfRule type="cellIs" dxfId="94" priority="96" operator="equal">
      <formula>"Fehlt"</formula>
    </cfRule>
  </conditionalFormatting>
  <conditionalFormatting sqref="S483">
    <cfRule type="cellIs" dxfId="93" priority="93" operator="equal">
      <formula>"Unterschrieben"</formula>
    </cfRule>
    <cfRule type="cellIs" dxfId="92" priority="94" operator="equal">
      <formula>"Fehlt"</formula>
    </cfRule>
  </conditionalFormatting>
  <conditionalFormatting sqref="S484">
    <cfRule type="cellIs" dxfId="91" priority="91" operator="equal">
      <formula>"Unterschrieben"</formula>
    </cfRule>
    <cfRule type="cellIs" dxfId="90" priority="92" operator="equal">
      <formula>"Fehlt"</formula>
    </cfRule>
  </conditionalFormatting>
  <conditionalFormatting sqref="S485">
    <cfRule type="cellIs" dxfId="89" priority="89" operator="equal">
      <formula>"Unterschrieben"</formula>
    </cfRule>
    <cfRule type="cellIs" dxfId="88" priority="90" operator="equal">
      <formula>"Fehlt"</formula>
    </cfRule>
  </conditionalFormatting>
  <conditionalFormatting sqref="S486">
    <cfRule type="cellIs" dxfId="87" priority="87" operator="equal">
      <formula>"Unterschrieben"</formula>
    </cfRule>
    <cfRule type="cellIs" dxfId="86" priority="88" operator="equal">
      <formula>"Fehlt"</formula>
    </cfRule>
  </conditionalFormatting>
  <conditionalFormatting sqref="S487">
    <cfRule type="cellIs" dxfId="85" priority="85" operator="equal">
      <formula>"Unterschrieben"</formula>
    </cfRule>
    <cfRule type="cellIs" dxfId="84" priority="86" operator="equal">
      <formula>"Fehlt"</formula>
    </cfRule>
  </conditionalFormatting>
  <conditionalFormatting sqref="S488">
    <cfRule type="cellIs" dxfId="83" priority="83" operator="equal">
      <formula>"Unterschrieben"</formula>
    </cfRule>
    <cfRule type="cellIs" dxfId="82" priority="84" operator="equal">
      <formula>"Fehlt"</formula>
    </cfRule>
  </conditionalFormatting>
  <conditionalFormatting sqref="S489">
    <cfRule type="cellIs" dxfId="81" priority="81" operator="equal">
      <formula>"Unterschrieben"</formula>
    </cfRule>
    <cfRule type="cellIs" dxfId="80" priority="82" operator="equal">
      <formula>"Fehlt"</formula>
    </cfRule>
  </conditionalFormatting>
  <conditionalFormatting sqref="S490">
    <cfRule type="cellIs" dxfId="79" priority="79" operator="equal">
      <formula>"Unterschrieben"</formula>
    </cfRule>
    <cfRule type="cellIs" dxfId="78" priority="80" operator="equal">
      <formula>"Fehlt"</formula>
    </cfRule>
  </conditionalFormatting>
  <conditionalFormatting sqref="S491">
    <cfRule type="cellIs" dxfId="77" priority="77" operator="equal">
      <formula>"Unterschrieben"</formula>
    </cfRule>
    <cfRule type="cellIs" dxfId="76" priority="78" operator="equal">
      <formula>"Fehlt"</formula>
    </cfRule>
  </conditionalFormatting>
  <conditionalFormatting sqref="S492">
    <cfRule type="cellIs" dxfId="75" priority="75" operator="equal">
      <formula>"Unterschrieben"</formula>
    </cfRule>
    <cfRule type="cellIs" dxfId="74" priority="76" operator="equal">
      <formula>"Fehlt"</formula>
    </cfRule>
  </conditionalFormatting>
  <conditionalFormatting sqref="S493">
    <cfRule type="cellIs" dxfId="73" priority="73" operator="equal">
      <formula>"Unterschrieben"</formula>
    </cfRule>
    <cfRule type="cellIs" dxfId="72" priority="74" operator="equal">
      <formula>"Fehlt"</formula>
    </cfRule>
  </conditionalFormatting>
  <conditionalFormatting sqref="S494">
    <cfRule type="cellIs" dxfId="71" priority="71" operator="equal">
      <formula>"Unterschrieben"</formula>
    </cfRule>
    <cfRule type="cellIs" dxfId="70" priority="72" operator="equal">
      <formula>"Fehlt"</formula>
    </cfRule>
  </conditionalFormatting>
  <conditionalFormatting sqref="S495">
    <cfRule type="cellIs" dxfId="69" priority="69" operator="equal">
      <formula>"Unterschrieben"</formula>
    </cfRule>
    <cfRule type="cellIs" dxfId="68" priority="70" operator="equal">
      <formula>"Fehlt"</formula>
    </cfRule>
  </conditionalFormatting>
  <conditionalFormatting sqref="S496">
    <cfRule type="cellIs" dxfId="67" priority="67" operator="equal">
      <formula>"Unterschrieben"</formula>
    </cfRule>
    <cfRule type="cellIs" dxfId="66" priority="68" operator="equal">
      <formula>"Fehlt"</formula>
    </cfRule>
  </conditionalFormatting>
  <conditionalFormatting sqref="S497">
    <cfRule type="cellIs" dxfId="65" priority="65" operator="equal">
      <formula>"Unterschrieben"</formula>
    </cfRule>
    <cfRule type="cellIs" dxfId="64" priority="66" operator="equal">
      <formula>"Fehlt"</formula>
    </cfRule>
  </conditionalFormatting>
  <conditionalFormatting sqref="S498">
    <cfRule type="cellIs" dxfId="63" priority="63" operator="equal">
      <formula>"Unterschrieben"</formula>
    </cfRule>
    <cfRule type="cellIs" dxfId="62" priority="64" operator="equal">
      <formula>"Fehlt"</formula>
    </cfRule>
  </conditionalFormatting>
  <conditionalFormatting sqref="S499">
    <cfRule type="cellIs" dxfId="61" priority="61" operator="equal">
      <formula>"Unterschrieben"</formula>
    </cfRule>
    <cfRule type="cellIs" dxfId="60" priority="62" operator="equal">
      <formula>"Fehlt"</formula>
    </cfRule>
  </conditionalFormatting>
  <conditionalFormatting sqref="S500">
    <cfRule type="cellIs" dxfId="59" priority="59" operator="equal">
      <formula>"Unterschrieben"</formula>
    </cfRule>
    <cfRule type="cellIs" dxfId="58" priority="60" operator="equal">
      <formula>"Fehlt"</formula>
    </cfRule>
  </conditionalFormatting>
  <conditionalFormatting sqref="R501:S501">
    <cfRule type="cellIs" dxfId="57" priority="57" operator="equal">
      <formula>"Unterschrieben"</formula>
    </cfRule>
    <cfRule type="cellIs" dxfId="56" priority="58" operator="equal">
      <formula>"Fehlt"</formula>
    </cfRule>
  </conditionalFormatting>
  <conditionalFormatting sqref="R461:R500">
    <cfRule type="cellIs" dxfId="55" priority="55" operator="equal">
      <formula>"Unterschrieben"</formula>
    </cfRule>
    <cfRule type="cellIs" dxfId="54" priority="56" operator="equal">
      <formula>"Fehlt"</formula>
    </cfRule>
  </conditionalFormatting>
  <conditionalFormatting sqref="S502:S503">
    <cfRule type="cellIs" dxfId="53" priority="53" operator="equal">
      <formula>"Unterschrieben"</formula>
    </cfRule>
    <cfRule type="cellIs" dxfId="52" priority="54" operator="equal">
      <formula>"Fehlt"</formula>
    </cfRule>
  </conditionalFormatting>
  <conditionalFormatting sqref="R532:S532">
    <cfRule type="cellIs" dxfId="51" priority="51" operator="equal">
      <formula>"Unterschrieben"</formula>
    </cfRule>
    <cfRule type="cellIs" dxfId="50" priority="52" operator="equal">
      <formula>"Fehlt"</formula>
    </cfRule>
  </conditionalFormatting>
  <conditionalFormatting sqref="R533:S533">
    <cfRule type="cellIs" dxfId="49" priority="49" operator="equal">
      <formula>"Unterschrieben"</formula>
    </cfRule>
    <cfRule type="cellIs" dxfId="48" priority="50" operator="equal">
      <formula>"Fehlt"</formula>
    </cfRule>
  </conditionalFormatting>
  <conditionalFormatting sqref="R534:S534">
    <cfRule type="cellIs" dxfId="47" priority="47" operator="equal">
      <formula>"Unterschrieben"</formula>
    </cfRule>
    <cfRule type="cellIs" dxfId="46" priority="48" operator="equal">
      <formula>"Fehlt"</formula>
    </cfRule>
  </conditionalFormatting>
  <conditionalFormatting sqref="R535:S555">
    <cfRule type="cellIs" dxfId="45" priority="45" operator="equal">
      <formula>"Unterschrieben"</formula>
    </cfRule>
    <cfRule type="cellIs" dxfId="44" priority="46" operator="equal">
      <formula>"Fehlt"</formula>
    </cfRule>
  </conditionalFormatting>
  <conditionalFormatting sqref="R558:S558">
    <cfRule type="cellIs" dxfId="43" priority="43" operator="equal">
      <formula>"Unterschrieben"</formula>
    </cfRule>
    <cfRule type="cellIs" dxfId="42" priority="44" operator="equal">
      <formula>"Fehlt"</formula>
    </cfRule>
  </conditionalFormatting>
  <conditionalFormatting sqref="R556:S556">
    <cfRule type="cellIs" dxfId="41" priority="41" operator="equal">
      <formula>"Unterschrieben"</formula>
    </cfRule>
    <cfRule type="cellIs" dxfId="40" priority="42" operator="equal">
      <formula>"Fehlt"</formula>
    </cfRule>
  </conditionalFormatting>
  <conditionalFormatting sqref="R632:S632">
    <cfRule type="cellIs" dxfId="39" priority="39" operator="equal">
      <formula>"Unterschrieben"</formula>
    </cfRule>
    <cfRule type="cellIs" dxfId="38" priority="40" operator="equal">
      <formula>"Fehlt"</formula>
    </cfRule>
  </conditionalFormatting>
  <conditionalFormatting sqref="R633:S633">
    <cfRule type="cellIs" dxfId="37" priority="37" operator="equal">
      <formula>"Unterschrieben"</formula>
    </cfRule>
    <cfRule type="cellIs" dxfId="36" priority="38" operator="equal">
      <formula>"Fehlt"</formula>
    </cfRule>
  </conditionalFormatting>
  <conditionalFormatting sqref="R634:S634">
    <cfRule type="cellIs" dxfId="35" priority="35" operator="equal">
      <formula>"Unterschrieben"</formula>
    </cfRule>
    <cfRule type="cellIs" dxfId="34" priority="36" operator="equal">
      <formula>"Fehlt"</formula>
    </cfRule>
  </conditionalFormatting>
  <conditionalFormatting sqref="R635:S635">
    <cfRule type="cellIs" dxfId="33" priority="33" operator="equal">
      <formula>"Unterschrieben"</formula>
    </cfRule>
    <cfRule type="cellIs" dxfId="32" priority="34" operator="equal">
      <formula>"Fehlt"</formula>
    </cfRule>
  </conditionalFormatting>
  <conditionalFormatting sqref="R636:S636">
    <cfRule type="cellIs" dxfId="31" priority="31" operator="equal">
      <formula>"Unterschrieben"</formula>
    </cfRule>
    <cfRule type="cellIs" dxfId="30" priority="32" operator="equal">
      <formula>"Fehlt"</formula>
    </cfRule>
  </conditionalFormatting>
  <conditionalFormatting sqref="R637:S637">
    <cfRule type="cellIs" dxfId="29" priority="29" operator="equal">
      <formula>"Unterschrieben"</formula>
    </cfRule>
    <cfRule type="cellIs" dxfId="28" priority="30" operator="equal">
      <formula>"Fehlt"</formula>
    </cfRule>
  </conditionalFormatting>
  <conditionalFormatting sqref="R638:S638">
    <cfRule type="cellIs" dxfId="27" priority="27" operator="equal">
      <formula>"Unterschrieben"</formula>
    </cfRule>
    <cfRule type="cellIs" dxfId="26" priority="28" operator="equal">
      <formula>"Fehlt"</formula>
    </cfRule>
  </conditionalFormatting>
  <conditionalFormatting sqref="R639:S639">
    <cfRule type="cellIs" dxfId="25" priority="25" operator="equal">
      <formula>"Unterschrieben"</formula>
    </cfRule>
    <cfRule type="cellIs" dxfId="24" priority="26" operator="equal">
      <formula>"Fehlt"</formula>
    </cfRule>
  </conditionalFormatting>
  <conditionalFormatting sqref="R640:S640">
    <cfRule type="cellIs" dxfId="23" priority="23" operator="equal">
      <formula>"Unterschrieben"</formula>
    </cfRule>
    <cfRule type="cellIs" dxfId="22" priority="24" operator="equal">
      <formula>"Fehlt"</formula>
    </cfRule>
  </conditionalFormatting>
  <conditionalFormatting sqref="R641:S641">
    <cfRule type="cellIs" dxfId="21" priority="21" operator="equal">
      <formula>"Unterschrieben"</formula>
    </cfRule>
    <cfRule type="cellIs" dxfId="20" priority="22" operator="equal">
      <formula>"Fehlt"</formula>
    </cfRule>
  </conditionalFormatting>
  <conditionalFormatting sqref="R642:S642">
    <cfRule type="cellIs" dxfId="19" priority="19" operator="equal">
      <formula>"Unterschrieben"</formula>
    </cfRule>
    <cfRule type="cellIs" dxfId="18" priority="20" operator="equal">
      <formula>"Fehlt"</formula>
    </cfRule>
  </conditionalFormatting>
  <conditionalFormatting sqref="R643:S643">
    <cfRule type="cellIs" dxfId="17" priority="17" operator="equal">
      <formula>"Unterschrieben"</formula>
    </cfRule>
    <cfRule type="cellIs" dxfId="16" priority="18" operator="equal">
      <formula>"Fehlt"</formula>
    </cfRule>
  </conditionalFormatting>
  <conditionalFormatting sqref="R644:S644">
    <cfRule type="cellIs" dxfId="15" priority="15" operator="equal">
      <formula>"Unterschrieben"</formula>
    </cfRule>
    <cfRule type="cellIs" dxfId="14" priority="16" operator="equal">
      <formula>"Fehlt"</formula>
    </cfRule>
  </conditionalFormatting>
  <conditionalFormatting sqref="R645:S645">
    <cfRule type="cellIs" dxfId="13" priority="13" operator="equal">
      <formula>"Unterschrieben"</formula>
    </cfRule>
    <cfRule type="cellIs" dxfId="12" priority="14" operator="equal">
      <formula>"Fehlt"</formula>
    </cfRule>
  </conditionalFormatting>
  <conditionalFormatting sqref="R646:S646">
    <cfRule type="cellIs" dxfId="11" priority="11" operator="equal">
      <formula>"Unterschrieben"</formula>
    </cfRule>
    <cfRule type="cellIs" dxfId="10" priority="12" operator="equal">
      <formula>"Fehlt"</formula>
    </cfRule>
  </conditionalFormatting>
  <conditionalFormatting sqref="R647:S647">
    <cfRule type="cellIs" dxfId="9" priority="9" operator="equal">
      <formula>"Unterschrieben"</formula>
    </cfRule>
    <cfRule type="cellIs" dxfId="8" priority="10" operator="equal">
      <formula>"Fehlt"</formula>
    </cfRule>
  </conditionalFormatting>
  <conditionalFormatting sqref="R648:S648">
    <cfRule type="cellIs" dxfId="7" priority="7" operator="equal">
      <formula>"Unterschrieben"</formula>
    </cfRule>
    <cfRule type="cellIs" dxfId="6" priority="8" operator="equal">
      <formula>"Fehlt"</formula>
    </cfRule>
  </conditionalFormatting>
  <conditionalFormatting sqref="R649:S649">
    <cfRule type="cellIs" dxfId="5" priority="5" operator="equal">
      <formula>"Unterschrieben"</formula>
    </cfRule>
    <cfRule type="cellIs" dxfId="4" priority="6" operator="equal">
      <formula>"Fehlt"</formula>
    </cfRule>
  </conditionalFormatting>
  <conditionalFormatting sqref="R650:S650">
    <cfRule type="cellIs" dxfId="3" priority="3" operator="equal">
      <formula>"Unterschrieben"</formula>
    </cfRule>
    <cfRule type="cellIs" dxfId="2" priority="4" operator="equal">
      <formula>"Fehlt"</formula>
    </cfRule>
  </conditionalFormatting>
  <conditionalFormatting sqref="R651:S651">
    <cfRule type="cellIs" dxfId="1" priority="1" operator="equal">
      <formula>"Unterschrieben"</formula>
    </cfRule>
    <cfRule type="cellIs" dxfId="0" priority="2" operator="equal">
      <formula>"Fehlt"</formula>
    </cfRule>
  </conditionalFormatting>
  <dataValidations count="2">
    <dataValidation type="list" allowBlank="1" showInputMessage="1" showErrorMessage="1" sqref="R4:R651" xr:uid="{F3CEA8F3-5B04-4E82-8274-47CC97C4A5BD}">
      <formula1>"Unterschrieben,Fehlt"</formula1>
    </dataValidation>
    <dataValidation type="list" allowBlank="1" showInputMessage="1" showErrorMessage="1" sqref="B241:B289" xr:uid="{548B8161-7252-4AC5-B9D0-00EA51F42AD9}">
      <formula1>ListeKunden</formula1>
    </dataValidation>
  </dataValidations>
  <hyperlinks>
    <hyperlink ref="S8" r:id="rId1" xr:uid="{6F363EF7-4884-4BA0-9C12-3166E651A622}"/>
    <hyperlink ref="S13" r:id="rId2" xr:uid="{E14D14F2-4F21-4BC1-803E-64F9F8D9DDEE}"/>
    <hyperlink ref="S18" r:id="rId3" xr:uid="{F163C71C-37FE-4D7F-BFD5-47E5344EB5A1}"/>
    <hyperlink ref="S15" r:id="rId4" xr:uid="{8AB4E07C-FCDD-4168-909F-6718DD6989F7}"/>
    <hyperlink ref="S9" r:id="rId5" xr:uid="{135432D8-EA3F-489A-B82E-2B074A0FA2FB}"/>
    <hyperlink ref="S12" r:id="rId6" xr:uid="{21397089-64D7-45C2-99BC-144B8D789D5A}"/>
    <hyperlink ref="S19" r:id="rId7" xr:uid="{C67D8599-FF28-49C5-8567-D70B08AB8DA2}"/>
    <hyperlink ref="S20" r:id="rId8" xr:uid="{D140C8B6-7BDF-406F-8008-CA314E788AC8}"/>
    <hyperlink ref="S21" r:id="rId9" xr:uid="{FC3998E1-2623-4348-A1DA-4540CBD67EDF}"/>
    <hyperlink ref="S25" r:id="rId10" xr:uid="{FC461B2C-0910-412B-BF07-B6F45FEE01DA}"/>
    <hyperlink ref="S42" r:id="rId11" xr:uid="{95442236-42A9-4C4A-BB35-2343DBDD60A8}"/>
    <hyperlink ref="S50" r:id="rId12" xr:uid="{63377352-869E-4064-961B-F60D927C5C01}"/>
    <hyperlink ref="S38" r:id="rId13" xr:uid="{6F0E3B5F-6EE8-4DEE-8424-61293E90A628}"/>
    <hyperlink ref="S26" r:id="rId14" xr:uid="{9A3AE965-A075-4DE0-9B83-108142784502}"/>
    <hyperlink ref="S43" r:id="rId15" xr:uid="{8BC20A8C-BB37-45C4-85C1-8BB570668B66}"/>
    <hyperlink ref="S31" r:id="rId16" xr:uid="{7ECD1DA8-D048-4D9D-A9FF-7A89D3573F2F}"/>
    <hyperlink ref="S32" r:id="rId17" xr:uid="{E8CEB57F-FDA7-4849-B09C-B8EB00092168}"/>
    <hyperlink ref="S37" r:id="rId18" xr:uid="{CD4A4C07-372F-4F2A-8D34-7AB8883B6314}"/>
    <hyperlink ref="S22" r:id="rId19" xr:uid="{093B5134-512C-4985-9484-70A7DD08E954}"/>
    <hyperlink ref="S27" r:id="rId20" xr:uid="{A8A00004-5A63-422F-ADE8-668C3D7D4BB2}"/>
    <hyperlink ref="S49" r:id="rId21" xr:uid="{280F4E26-FF9C-45E9-AFBF-553E38FAF2B9}"/>
    <hyperlink ref="S55" r:id="rId22" xr:uid="{F2015EE2-DC98-4012-A44F-5C05738C1BB0}"/>
    <hyperlink ref="S28" r:id="rId23" xr:uid="{3E1C431F-3EB7-4173-8BF4-4EE4BF2DD91E}"/>
    <hyperlink ref="S39" r:id="rId24" xr:uid="{83E6DA11-1748-4E23-9CC6-588E721BCED8}"/>
    <hyperlink ref="S56" r:id="rId25" xr:uid="{144EE080-E4DD-44EA-9D62-653B56B8DB0D}"/>
    <hyperlink ref="S30" r:id="rId26" xr:uid="{5DCA0E5A-7867-444F-B692-285AED6CE50E}"/>
    <hyperlink ref="S40" r:id="rId27" xr:uid="{A232933F-D7CE-47BE-A82C-49CDF1741695}"/>
    <hyperlink ref="S52" r:id="rId28" xr:uid="{B1AE1AFC-D6CA-4B3A-94AE-A31D35D70F37}"/>
    <hyperlink ref="S41" r:id="rId29" xr:uid="{CA5DE43F-85E9-460F-A45A-8BC1F3797A67}"/>
    <hyperlink ref="S35" r:id="rId30" xr:uid="{ABB43704-1564-4AA6-86C6-FED823487DFC}"/>
    <hyperlink ref="S29" r:id="rId31" xr:uid="{36471FAB-D17C-4C21-8997-963171BFD2C9}"/>
    <hyperlink ref="S51" r:id="rId32" xr:uid="{7A70C49C-914D-4B85-9CE4-CE6073D5E84B}"/>
    <hyperlink ref="S46" r:id="rId33" xr:uid="{99230400-2A40-4C82-9999-50943549E343}"/>
    <hyperlink ref="S75" r:id="rId34" xr:uid="{EAD13A4A-E332-4B03-BC51-8CEA5EA525CF}"/>
    <hyperlink ref="S82" r:id="rId35" xr:uid="{2DC2E9F3-54AB-4315-BED5-D63A7B47C5B2}"/>
    <hyperlink ref="S74" r:id="rId36" xr:uid="{00843278-1A15-4BAA-9D54-8B2B451859D6}"/>
    <hyperlink ref="S84" r:id="rId37" xr:uid="{5E157906-C13B-4C7B-B675-3D5873CA5ACE}"/>
    <hyperlink ref="S73" r:id="rId38" xr:uid="{40B93804-7CFD-4297-9555-AF9788EAFD44}"/>
    <hyperlink ref="S83" r:id="rId39" xr:uid="{A288EEE0-17A9-4BFC-9F69-EAEEA85FADDF}"/>
    <hyperlink ref="S93" r:id="rId40" xr:uid="{E1E21320-1AFF-4756-B782-E5788CABDB5A}"/>
    <hyperlink ref="S88" r:id="rId41" xr:uid="{C8EED537-83F2-457E-AC2B-2F6342578864}"/>
    <hyperlink ref="S64" r:id="rId42" xr:uid="{DB98E9F9-4421-4461-983E-B4CD231DA875}"/>
    <hyperlink ref="S92" r:id="rId43" xr:uid="{99403A9F-5933-4EB4-9742-3A2E7A4944DF}"/>
    <hyperlink ref="S95" r:id="rId44" xr:uid="{43E80ED7-92C5-41E7-B398-E98453E58D0C}"/>
    <hyperlink ref="S97" r:id="rId45" xr:uid="{AA7C5C2C-079C-49CA-9810-DCEE6739F63A}"/>
    <hyperlink ref="S65" r:id="rId46" xr:uid="{368167B9-F55E-4907-A903-9DE867B75922}"/>
    <hyperlink ref="S78" r:id="rId47" xr:uid="{D05A9C5C-82B1-4E46-A038-DC651CAC4AFF}"/>
    <hyperlink ref="S90" r:id="rId48" xr:uid="{642F5932-EB62-4A1D-8065-E5F5A3F99508}"/>
    <hyperlink ref="S63" r:id="rId49" xr:uid="{0FAC9C63-569E-4B31-A2FF-7F0BC772B414}"/>
    <hyperlink ref="S86" r:id="rId50" xr:uid="{77269F29-1B1C-45DA-A62B-DE6A6D6CB25C}"/>
    <hyperlink ref="S98" r:id="rId51" xr:uid="{C98F97F3-9416-496D-83DD-BE1579621A49}"/>
    <hyperlink ref="S62" r:id="rId52" xr:uid="{6F795190-BED7-4228-9DB3-76212231EE71}"/>
    <hyperlink ref="S85" r:id="rId53" xr:uid="{CB377284-0DBE-4300-8FE2-690EC1143CEA}"/>
    <hyperlink ref="S60" r:id="rId54" xr:uid="{EA7B7E21-6F96-4CB9-98C8-B97FF4A4CC09}"/>
    <hyperlink ref="S77" r:id="rId55" xr:uid="{4F589B09-6C97-474A-9442-D960656EDD98}"/>
    <hyperlink ref="S96" r:id="rId56" xr:uid="{743A1E3B-5365-498A-BEA8-63D54806C644}"/>
    <hyperlink ref="S99" r:id="rId57" xr:uid="{EFD5A168-E69C-4849-A0FF-91BBB59FAABC}"/>
    <hyperlink ref="S91" r:id="rId58" xr:uid="{E3487FFB-6B99-42BE-A12E-075CD34C3213}"/>
    <hyperlink ref="S72" r:id="rId59" xr:uid="{C6DD50DE-A218-4D78-8786-3A7B3E8E27EE}"/>
    <hyperlink ref="S89" r:id="rId60" xr:uid="{81EDC1E9-5ABC-4703-B6BA-A7DA4A76A3D6}"/>
    <hyperlink ref="S76" r:id="rId61" xr:uid="{DFFD77E7-3786-4E4A-8459-7AE3FEB5971E}"/>
    <hyperlink ref="S68" r:id="rId62" xr:uid="{CCCA2FF0-D700-4E14-8F42-0429FA61185E}"/>
    <hyperlink ref="S80" r:id="rId63" xr:uid="{D4173DCA-37EC-4A5D-8698-F4D50B509D30}"/>
    <hyperlink ref="S81" r:id="rId64" xr:uid="{6D4DB255-4B58-44D0-A551-E208F8D497AD}"/>
    <hyperlink ref="S58" r:id="rId65" xr:uid="{E2E1C07A-223E-43DF-8C70-7112EA2A374A}"/>
    <hyperlink ref="S59" r:id="rId66" xr:uid="{B4434EF7-A881-4EF6-AF1E-CE7D60C72273}"/>
    <hyperlink ref="S67" r:id="rId67" xr:uid="{E3F9680B-2B9B-4E6A-B902-65F5BA98052A}"/>
    <hyperlink ref="S69" r:id="rId68" xr:uid="{70809E0B-AC69-45E0-92BF-0A36928687A7}"/>
    <hyperlink ref="S71" r:id="rId69" xr:uid="{C8A87698-F681-4F37-809B-AA1D92ADA6E7}"/>
    <hyperlink ref="S87" r:id="rId70" xr:uid="{8A0030A6-F79D-48AC-B7DA-BD098B791865}"/>
    <hyperlink ref="S66" r:id="rId71" xr:uid="{61A79EB0-8809-4F7D-B96F-9032737CA1AA}"/>
    <hyperlink ref="S6" r:id="rId72" xr:uid="{3BF7F4B7-D0B1-455B-9926-DE0E978E2319}"/>
    <hyperlink ref="S23" r:id="rId73" xr:uid="{BEDAB197-0801-4D13-9112-0CA7521ED3B2}"/>
    <hyperlink ref="S24" r:id="rId74" xr:uid="{80285D0B-FD8D-4B9F-B168-5751A4C3A31E}"/>
    <hyperlink ref="S33" r:id="rId75" xr:uid="{53826F04-623C-4636-80AE-AD7EB25CC33B}"/>
    <hyperlink ref="S34" r:id="rId76" xr:uid="{B36B923E-F47D-4318-96C7-94099E2B542A}"/>
    <hyperlink ref="S44" r:id="rId77" xr:uid="{98A4E7C9-9185-4E74-A5A5-D07041CEEFDD}"/>
    <hyperlink ref="S45" r:id="rId78" xr:uid="{4C632364-BD69-4411-8FA6-401C48386B9A}"/>
    <hyperlink ref="S53" r:id="rId79" xr:uid="{43980B54-87E8-4D8B-A558-B48C7739A80D}"/>
    <hyperlink ref="S54" r:id="rId80" xr:uid="{7057DC27-F205-4A9C-9789-0F729B05A456}"/>
    <hyperlink ref="S61" r:id="rId81" xr:uid="{506BD581-6330-4C8A-B065-BCA5DC5BE06D}"/>
    <hyperlink ref="S94" r:id="rId82" xr:uid="{69B2AC07-9A0F-4FAF-B16F-057D72187DA7}"/>
    <hyperlink ref="S57" r:id="rId83" xr:uid="{260F78C5-2C36-4D04-AEE9-A9D8A57F7813}"/>
    <hyperlink ref="S36" r:id="rId84" xr:uid="{16838115-5FF0-4A47-A63D-5891730D4376}"/>
    <hyperlink ref="S14" r:id="rId85" xr:uid="{A6F110B7-719C-443B-908E-3F7C59B9D10F}"/>
    <hyperlink ref="S7" r:id="rId86" xr:uid="{8258DF16-BAAF-42D8-A425-63CE1D25010E}"/>
    <hyperlink ref="S5" r:id="rId87" xr:uid="{A5A59407-76DC-4945-AAFD-1C08EE158FED}"/>
    <hyperlink ref="S4" r:id="rId88" xr:uid="{CFF8B132-90A4-4138-888F-0AF5020E427B}"/>
    <hyperlink ref="S112" r:id="rId89" xr:uid="{43FCA77C-F194-4AEE-8AA2-BF044C8C630C}"/>
    <hyperlink ref="S131" r:id="rId90" xr:uid="{512F8DD1-1379-4F99-AC57-C83A9E5ACF0D}"/>
    <hyperlink ref="S100" r:id="rId91" xr:uid="{7B8E1099-5339-4DB6-97B9-EFA9C7EBA0AA}"/>
    <hyperlink ref="S122" r:id="rId92" xr:uid="{BAE6CDB7-6E8D-4DD0-B67A-F53DA5A2E90F}"/>
    <hyperlink ref="S156" r:id="rId93" xr:uid="{7ADBF466-4E42-4F92-8EA0-27F425F721B9}"/>
    <hyperlink ref="S101" r:id="rId94" xr:uid="{BF554321-C7DD-4865-8C43-B1B8075ED861}"/>
    <hyperlink ref="S113" r:id="rId95" xr:uid="{666C2280-F73F-4B10-844B-2B418279E517}"/>
    <hyperlink ref="S129" r:id="rId96" xr:uid="{CCE91B4B-C343-4BE1-9CC3-8E9D7DA1910B}"/>
    <hyperlink ref="S145" r:id="rId97" xr:uid="{AF8B962D-18B8-4011-8237-A2C996B3C74D}"/>
    <hyperlink ref="S161" r:id="rId98" xr:uid="{440BF96C-2BA3-4AF8-A4C5-F9EAA9FD9EF1}"/>
    <hyperlink ref="S70" r:id="rId99" xr:uid="{C1ED7732-3235-42D7-91D4-56CD03820768}"/>
    <hyperlink ref="S110" r:id="rId100" xr:uid="{FEF09FBE-470D-4387-841F-9C2367C4E029}"/>
    <hyperlink ref="S124" r:id="rId101" xr:uid="{26DCE2EA-8D43-42FD-883E-07329C5B96B6}"/>
    <hyperlink ref="S155" r:id="rId102" xr:uid="{10E23F09-802C-4DB6-A7AC-3B1C541A5223}"/>
    <hyperlink ref="S106" r:id="rId103" xr:uid="{604F8E8F-7E78-4D1F-B1DC-46D2BF8C8DF8}"/>
    <hyperlink ref="S117" r:id="rId104" xr:uid="{952A573D-8C34-4A53-A0F7-E7FABF698931}"/>
    <hyperlink ref="S135" r:id="rId105" xr:uid="{5C2DB93A-6492-4715-857E-5632E5C9A8CA}"/>
    <hyperlink ref="S151" r:id="rId106" xr:uid="{64D7D867-D5E4-48C1-8794-02434572359E}"/>
    <hyperlink ref="S128" r:id="rId107" xr:uid="{F9F401A9-F379-4613-B7B9-F81513FD35B7}"/>
    <hyperlink ref="S127" r:id="rId108" xr:uid="{35CA8901-F67B-4EB5-AA5D-13D3A372CB76}"/>
    <hyperlink ref="S159" r:id="rId109" xr:uid="{3B92F657-775C-4623-A572-CE2DE3F388C2}"/>
    <hyperlink ref="S132" r:id="rId110" xr:uid="{2F4A32B0-68A4-4971-AEC8-25DB10232167}"/>
    <hyperlink ref="S107" r:id="rId111" xr:uid="{D1DABEED-46E2-4D99-9584-B4E65ACEB87C}"/>
    <hyperlink ref="S138" r:id="rId112" xr:uid="{044A1A5D-FEAF-4370-BFCD-53745B6834DD}"/>
    <hyperlink ref="S149" r:id="rId113" xr:uid="{AF9C7F91-ED03-4983-924F-D236007334C7}"/>
    <hyperlink ref="S158" r:id="rId114" xr:uid="{68339785-D245-4512-B32C-E61B90019CBE}"/>
    <hyperlink ref="S109" r:id="rId115" xr:uid="{6D223607-A573-48F9-A960-E93E0F6E827F}"/>
    <hyperlink ref="S154" r:id="rId116" xr:uid="{CBCF2917-7999-4640-BFCE-B19611118E35}"/>
    <hyperlink ref="S157" r:id="rId117" xr:uid="{7F10C885-CF78-450C-A061-42024FCDB9EA}"/>
    <hyperlink ref="S111" r:id="rId118" xr:uid="{6C64926F-6AE9-4496-989F-08D05CE20788}"/>
    <hyperlink ref="S139" r:id="rId119" xr:uid="{B8813BAA-B08E-4FCA-867A-B6151995B1CF}"/>
    <hyperlink ref="S104" r:id="rId120" xr:uid="{2AE10A99-47B2-4D22-9B9E-D6B663946185}"/>
    <hyperlink ref="S140" r:id="rId121" xr:uid="{AEE44615-0302-4B8F-A85D-6981593B97E6}"/>
    <hyperlink ref="S164" r:id="rId122" xr:uid="{0B348CA9-3661-46A7-9B0F-C26426541A15}"/>
    <hyperlink ref="S103" r:id="rId123" xr:uid="{48D1D01B-826D-438B-91D6-BD7DB9602E4B}"/>
    <hyperlink ref="S116" r:id="rId124" xr:uid="{A0CC1876-07C7-4B61-9287-7624A9D83B09}"/>
    <hyperlink ref="S163" r:id="rId125" xr:uid="{8B1BEE2D-1619-4A27-9A5E-A16C87467AF6}"/>
    <hyperlink ref="S102" r:id="rId126" xr:uid="{2FBBA4E1-0699-4DED-85CE-A1C7D81E5108}"/>
    <hyperlink ref="S119" r:id="rId127" xr:uid="{185E7C84-5171-44D7-AF48-6E5CD1CE205C}"/>
    <hyperlink ref="S115" r:id="rId128" xr:uid="{67CA64E6-847D-4687-AC03-261D7DDAE75E}"/>
    <hyperlink ref="S146" r:id="rId129" xr:uid="{EB24E967-9C72-4F31-BB07-17F7B66C0286}"/>
    <hyperlink ref="S126" r:id="rId130" xr:uid="{F37F5CAE-9DE5-42F2-8533-B45AAFCC2D68}"/>
    <hyperlink ref="S153" r:id="rId131" xr:uid="{0C0A6245-B602-4EF5-A74A-86C4E0ABE037}"/>
    <hyperlink ref="S105" r:id="rId132" xr:uid="{D03D3723-C9D1-40EF-929F-F026D8E09A1C}"/>
    <hyperlink ref="S130" r:id="rId133" xr:uid="{EBA2A446-B1BF-4D30-99DE-272870A0F1AB}"/>
    <hyperlink ref="S165" r:id="rId134" xr:uid="{DD511249-9A1C-4493-92D2-72E3E2E2FDF4}"/>
    <hyperlink ref="S121" r:id="rId135" xr:uid="{819C3794-FD1A-47BC-8462-B9DD0E784A59}"/>
    <hyperlink ref="S133" r:id="rId136" xr:uid="{5574E7BD-113F-4AE0-84CA-ED10F06970F6}"/>
    <hyperlink ref="S120" r:id="rId137" xr:uid="{95DEC079-1003-49B5-97EC-82EC3D3462A8}"/>
    <hyperlink ref="S150" r:id="rId138" xr:uid="{E2F90922-EEC7-4CF0-884B-78971CAD4E14}"/>
    <hyperlink ref="S123" r:id="rId139" xr:uid="{D4AB55C7-D2F7-40E6-A1EF-62FAE165F8F1}"/>
    <hyperlink ref="S134" r:id="rId140" xr:uid="{C654B729-D8B1-4CEA-A76C-84BD9CE61F67}"/>
    <hyperlink ref="S141" r:id="rId141" xr:uid="{67A621B5-2B19-4384-A76E-D67AEAE1728A}"/>
    <hyperlink ref="S142" r:id="rId142" xr:uid="{F0B68BA4-A8CE-4DD4-8DB8-5A20248A5A3F}"/>
    <hyperlink ref="S147" r:id="rId143" xr:uid="{93F54A6B-FE6A-4FD1-B3F3-B118FA4870FF}"/>
    <hyperlink ref="S162" r:id="rId144" xr:uid="{61D383F5-B3FE-4D34-81E8-8B7A36E2FAA1}"/>
    <hyperlink ref="S118" r:id="rId145" xr:uid="{2DB0764A-0FC4-47E1-B86F-569B0D21267E}"/>
    <hyperlink ref="S144" r:id="rId146" xr:uid="{C220ECE1-883D-4E7E-B406-F46FF9B93932}"/>
    <hyperlink ref="S79" r:id="rId147" xr:uid="{42D8F76F-3AB2-42D9-A9C3-4E6B1D3F79E3}"/>
    <hyperlink ref="S152" r:id="rId148" xr:uid="{8069E948-05BB-4FA9-AE4E-B9121B131D4A}"/>
    <hyperlink ref="S166" r:id="rId149" xr:uid="{3FBAA173-AFF1-4FA6-A3E8-D10043DFD5E2}"/>
    <hyperlink ref="S108" r:id="rId150" xr:uid="{1AB04792-3180-4579-9C23-7DF68F51A910}"/>
    <hyperlink ref="S148" r:id="rId151" xr:uid="{76C3C23B-45C0-454C-9010-910A0222931F}"/>
    <hyperlink ref="S114" r:id="rId152" xr:uid="{CEACA800-99B0-47B2-8123-34C249621D75}"/>
    <hyperlink ref="S125" r:id="rId153" xr:uid="{0F5E0CB1-80D3-40F6-9803-5F968028DDBB}"/>
    <hyperlink ref="S143" r:id="rId154" xr:uid="{9D892F5B-4381-4DE9-BCA5-D630377A707C}"/>
    <hyperlink ref="S160" r:id="rId155" xr:uid="{4D8559E3-623F-407F-A542-AECB23C738EC}"/>
    <hyperlink ref="S176" r:id="rId156" xr:uid="{92707F82-5082-40C0-AF71-8589C0D66DE9}"/>
    <hyperlink ref="S199" r:id="rId157" xr:uid="{A811E413-2CD6-40CD-91C7-B9F3E78DB7E7}"/>
    <hyperlink ref="S216" r:id="rId158" xr:uid="{D7A33620-CD78-4A63-95F1-A0CC84A3B34A}"/>
    <hyperlink ref="S235" r:id="rId159" xr:uid="{9A74DB39-3066-490B-986C-AAFEEC8AC41F}"/>
    <hyperlink ref="S175" r:id="rId160" xr:uid="{BDE85B84-9477-4104-BA70-D651D18CD749}"/>
    <hyperlink ref="S194" r:id="rId161" xr:uid="{9805340E-9E37-47E5-9084-F900967E846A}"/>
    <hyperlink ref="S212" r:id="rId162" xr:uid="{4CA8AA41-8948-4303-871B-2705CDB9FA37}"/>
    <hyperlink ref="S204" r:id="rId163" xr:uid="{EFF17694-52AD-4763-93A8-7A64D5F437E8}"/>
    <hyperlink ref="S219" r:id="rId164" xr:uid="{DDB226C0-4EA1-4B92-902B-52F21E466A7F}"/>
    <hyperlink ref="S177" r:id="rId165" xr:uid="{69A4EF17-896D-49F3-B6D4-F406EBACA00F}"/>
    <hyperlink ref="S198" r:id="rId166" xr:uid="{6CE0ECB8-4FFB-4712-AE65-269F386A714E}"/>
    <hyperlink ref="S207" r:id="rId167" xr:uid="{9B6B22E4-07EF-4AB8-BF26-8BD16DFCEDA0}"/>
    <hyperlink ref="S217" r:id="rId168" xr:uid="{5820E4A6-A8C6-4C58-99F4-AC9F41878D29}"/>
    <hyperlink ref="S200" r:id="rId169" xr:uid="{ADCBCABD-BC08-471C-8E89-B3DC2CA321BF}"/>
    <hyperlink ref="S238" r:id="rId170" xr:uid="{D8C0D9D1-486D-43D7-A021-F4BA871F5AA3}"/>
    <hyperlink ref="S184" r:id="rId171" xr:uid="{36980F5B-56E0-4161-AE3A-6AA211FF8766}"/>
    <hyperlink ref="S202" r:id="rId172" xr:uid="{1C21E131-0D08-45B6-BAB4-C68AADDD7303}"/>
    <hyperlink ref="S236" r:id="rId173" xr:uid="{B3FA7E9B-0156-4AF9-8149-3D3CAAE8E8F4}"/>
    <hyperlink ref="S182" r:id="rId174" xr:uid="{B3EF1B13-A829-435D-AF98-98A586B41A29}"/>
    <hyperlink ref="S195" r:id="rId175" xr:uid="{108FA173-9774-4341-9AAB-0349AE412D42}"/>
    <hyperlink ref="S214" r:id="rId176" xr:uid="{AAEE243D-9468-492D-93A9-2D6608A13B95}"/>
    <hyperlink ref="S240" r:id="rId177" xr:uid="{BB77BDD4-FBDF-46E9-87AE-7BFDD23918DC}"/>
    <hyperlink ref="S186" r:id="rId178" xr:uid="{2C4C9F76-0568-49A5-8839-E46B9E84A67D}"/>
    <hyperlink ref="S230" r:id="rId179" xr:uid="{C877A089-9427-45B4-A992-BE0C9997D0BA}"/>
    <hyperlink ref="S180" r:id="rId180" xr:uid="{2FF33393-CA67-4A23-A118-E878220D1BEC}"/>
    <hyperlink ref="S190" r:id="rId181" xr:uid="{D984D8E8-DD8D-44B1-9B2D-E2B05D29E251}"/>
    <hyperlink ref="S210" r:id="rId182" xr:uid="{65892E62-57BB-4815-890A-7D02648560DF}"/>
    <hyperlink ref="S233" r:id="rId183" xr:uid="{3658EA8B-7C76-4442-9C08-B5258E72C188}"/>
    <hyperlink ref="S191" r:id="rId184" xr:uid="{864987D7-E57D-42BE-8621-B309F141E270}"/>
    <hyperlink ref="S234" r:id="rId185" xr:uid="{588C2D18-7E82-4CFE-873D-DAD95FE93277}"/>
    <hyperlink ref="S178" r:id="rId186" xr:uid="{4C53E7DD-A9F2-417B-A62A-8D78B542D1E5}"/>
    <hyperlink ref="S225" r:id="rId187" xr:uid="{0606373F-C189-4CD2-9080-6D6B9CFC298D}"/>
    <hyperlink ref="S227" r:id="rId188" xr:uid="{C2424637-457E-402C-A58D-CDCE8D0F79D3}"/>
    <hyperlink ref="S221" r:id="rId189" xr:uid="{3B05CB8F-A863-401D-BF59-F6C6A0445FB2}"/>
    <hyperlink ref="S187" r:id="rId190" xr:uid="{E1C914CA-E008-4B79-9930-5DBD88870DAF}"/>
    <hyperlink ref="S181" r:id="rId191" xr:uid="{1DB08A34-162F-42F2-A7CB-EBA252426AD7}"/>
    <hyperlink ref="S211" r:id="rId192" xr:uid="{C622FAB8-20B6-4AFE-8195-35AE8417CB42}"/>
    <hyperlink ref="S174" r:id="rId193" xr:uid="{17ED1789-9293-49F2-8A78-7546CA20BC6F}"/>
    <hyperlink ref="S179" r:id="rId194" xr:uid="{9EDB1515-1C58-444C-8FF2-35517C0D36DF}"/>
    <hyperlink ref="S173" r:id="rId195" xr:uid="{0E835903-0787-42F7-9AD5-0F2461D1C5B5}"/>
    <hyperlink ref="S203" r:id="rId196" xr:uid="{429D3B1A-18F9-4D19-A775-BB42DEF4B678}"/>
    <hyperlink ref="S205" r:id="rId197" xr:uid="{89F354AA-EC9D-4B07-8ED6-D97FED67FC36}"/>
    <hyperlink ref="S206" r:id="rId198" xr:uid="{D91BABCF-CD3F-47F2-97F4-C8C423C58B9B}"/>
    <hyperlink ref="S208" r:id="rId199" xr:uid="{A1A0FE0A-61E8-4260-9DD1-AE96F49D390B}"/>
    <hyperlink ref="S209" r:id="rId200" xr:uid="{D6AE867E-83B1-45B5-8188-7ADF597A2833}"/>
    <hyperlink ref="S218" r:id="rId201" xr:uid="{1D4EAF17-D8F9-42FC-AE77-ECC0352C2644}"/>
    <hyperlink ref="S220" r:id="rId202" xr:uid="{392E7002-EB98-4B5E-B6A8-E1421F8FED05}"/>
    <hyperlink ref="S222" r:id="rId203" xr:uid="{1C011999-20B8-4019-BA38-6F763E4B74B9}"/>
    <hyperlink ref="S197" r:id="rId204" xr:uid="{84009702-DFFD-47AF-A7AF-787AE45C22DC}"/>
    <hyperlink ref="S201" r:id="rId205" xr:uid="{93728386-FA8B-4C6D-AF05-CCA1F20C3061}"/>
    <hyperlink ref="S237" r:id="rId206" xr:uid="{DC02216F-891A-4B69-8AB0-499E594C5EBD}"/>
    <hyperlink ref="S239" r:id="rId207" xr:uid="{D74BBB09-DFFB-48EF-AC0D-ABEB2C9AF8F8}"/>
    <hyperlink ref="S192" r:id="rId208" xr:uid="{45BEC7B5-16B1-49DD-BFB1-271158D2408D}"/>
    <hyperlink ref="S196" r:id="rId209" xr:uid="{C5CA3A18-5B3C-479C-917B-FC63460D6FD6}"/>
    <hyperlink ref="S215" r:id="rId210" xr:uid="{752A396B-BEDE-440B-B274-F5615295E17E}"/>
    <hyperlink ref="S223" r:id="rId211" xr:uid="{CF5305BB-ECA9-47BB-8ED6-4229CC35F572}"/>
    <hyperlink ref="S224" r:id="rId212" xr:uid="{C2650C6B-9581-4BB5-A88D-268CA2B2A7FA}"/>
    <hyperlink ref="S226" r:id="rId213" xr:uid="{A979021C-F5F7-4049-97B3-1D828A0242E5}"/>
    <hyperlink ref="S228" r:id="rId214" xr:uid="{B6011B2C-4F5D-4E0A-BA8F-CF174A4549CB}"/>
    <hyperlink ref="S231" r:id="rId215" xr:uid="{BFB11716-AF3E-4910-84F3-F9DB8E9FDF76}"/>
    <hyperlink ref="S232" r:id="rId216" xr:uid="{87BAD8AF-EB50-4FA3-A73A-02C2512B0FA4}"/>
    <hyperlink ref="S183" r:id="rId217" xr:uid="{5D3A3F43-736B-4794-9C8B-EC78C63CE1C4}"/>
    <hyperlink ref="S185" r:id="rId218" xr:uid="{691F560B-3C39-499F-A8F8-441CD4B46761}"/>
    <hyperlink ref="S188" r:id="rId219" xr:uid="{1F5291CD-354E-4358-A77D-086A1A8CCC4D}"/>
    <hyperlink ref="S189" r:id="rId220" xr:uid="{160F3D0C-3230-4B4C-A982-00422A12487D}"/>
    <hyperlink ref="S193" r:id="rId221" xr:uid="{84E19FFD-98B0-4510-ADDA-A2C5B580D6E7}"/>
    <hyperlink ref="S213" r:id="rId222" xr:uid="{2FE10B99-6770-45DB-962B-B3F77FF6125D}"/>
    <hyperlink ref="S10" r:id="rId223" xr:uid="{6F17A93C-A761-421A-A8E6-2B8D9C4103B3}"/>
    <hyperlink ref="S16" r:id="rId224" xr:uid="{CBCD23AD-958D-4708-8746-81254810C973}"/>
    <hyperlink ref="S11" r:id="rId225" xr:uid="{73F75903-F8BB-4D58-B9CB-4EF2461D579E}"/>
    <hyperlink ref="S17" r:id="rId226" xr:uid="{E2CF1E71-D05A-4AFE-A570-CB51F3438EC8}"/>
    <hyperlink ref="S47" r:id="rId227" xr:uid="{EEB706F1-4411-4220-92BE-69F3C9E3E42B}"/>
    <hyperlink ref="S48" r:id="rId228" xr:uid="{B5861C16-00D0-461E-A2A0-B1187CC5D5F2}"/>
    <hyperlink ref="S241" r:id="rId229" xr:uid="{C06E5962-A80B-4209-B945-62ADCE4F2411}"/>
    <hyperlink ref="S242" r:id="rId230" xr:uid="{7985474F-2689-4F6B-9F95-A448359751C5}"/>
    <hyperlink ref="S243" r:id="rId231" xr:uid="{4972DA60-AB99-45A5-B110-56E3C4B66706}"/>
    <hyperlink ref="S244" r:id="rId232" xr:uid="{CAB732CA-203F-4B50-8BD1-F3477A692051}"/>
    <hyperlink ref="S257" r:id="rId233" xr:uid="{2FB13E71-0569-4B76-B757-DD9653E262E4}"/>
    <hyperlink ref="S297" r:id="rId234" xr:uid="{6885BC42-9F41-4192-A105-EDB5DEF78B1E}"/>
    <hyperlink ref="S298" r:id="rId235" xr:uid="{767EFE53-7AF1-482F-AB29-26476609A820}"/>
    <hyperlink ref="S293" r:id="rId236" xr:uid="{73A939FC-42F9-4F7A-B0F6-EB717F92C98E}"/>
    <hyperlink ref="S247" r:id="rId237" xr:uid="{7CDA2DFE-3D27-45F9-819C-557F625D85EA}"/>
    <hyperlink ref="S292" r:id="rId238" xr:uid="{2F27EDA4-4162-40A8-9F6C-99CB872A5FF1}"/>
    <hyperlink ref="S264" r:id="rId239" xr:uid="{2F41E0DB-E4B3-46AC-BB2E-A6236B5663EE}"/>
    <hyperlink ref="S265" r:id="rId240" xr:uid="{599348DF-39C7-49CF-B252-E1EC1662E8D1}"/>
    <hyperlink ref="S281" r:id="rId241" xr:uid="{B3EB08C6-2D11-4BB9-8600-8CBA203773DB}"/>
    <hyperlink ref="S276" r:id="rId242" xr:uid="{218802E9-0DDB-469C-880A-4771F6DF0FA0}"/>
    <hyperlink ref="S275" r:id="rId243" xr:uid="{A89618EE-6EBE-44A6-B9E2-D5052D70FFB7}"/>
    <hyperlink ref="S274" r:id="rId244" xr:uid="{C74C3414-7F8D-41AE-8114-7A66D69379E4}"/>
    <hyperlink ref="S273" r:id="rId245" xr:uid="{F6929942-8C58-4058-8E5C-F725A2E4F360}"/>
    <hyperlink ref="S272" r:id="rId246" xr:uid="{AEE109E0-79E6-469A-8653-87402623AA22}"/>
    <hyperlink ref="S255" r:id="rId247" xr:uid="{87ABE003-228B-484D-BE73-55B28E25A33A}"/>
    <hyperlink ref="S256" r:id="rId248" xr:uid="{EE01E63D-C0D1-4A80-B16C-BD867A0B51D6}"/>
    <hyperlink ref="S310" r:id="rId249" xr:uid="{E2EA694C-3B44-4847-86E5-B582C2420ACF}"/>
    <hyperlink ref="S311" r:id="rId250" xr:uid="{7C33578F-B6FE-41FC-8827-0E3F08597A81}"/>
    <hyperlink ref="S282" r:id="rId251" xr:uid="{DB9CA786-75DD-41F0-B14B-C372BD2961E4}"/>
    <hyperlink ref="S283" r:id="rId252" xr:uid="{6B12BB59-8E34-43BD-AB7F-D9307821FE80}"/>
    <hyperlink ref="S299" r:id="rId253" xr:uid="{024B8762-2710-4B70-8352-8706BE27844C}"/>
    <hyperlink ref="S300" r:id="rId254" xr:uid="{8E2A903A-8DA6-46D3-AFA3-D478F5BF7A23}"/>
    <hyperlink ref="S301" r:id="rId255" xr:uid="{9BE2E688-BA95-4822-AE3F-E6DA97F850BE}"/>
    <hyperlink ref="S302" r:id="rId256" xr:uid="{68E5B511-C730-414D-99E9-22FBC69F1EE1}"/>
    <hyperlink ref="S303" r:id="rId257" xr:uid="{566AAC62-DDFD-452A-A5C5-66A7D0326C74}"/>
    <hyperlink ref="S270" r:id="rId258" xr:uid="{96F53988-077E-4814-9348-33605553C20E}"/>
    <hyperlink ref="S271" r:id="rId259" xr:uid="{5BEB67C0-2908-46D3-926B-7DC57100C8EB}"/>
    <hyperlink ref="S304" r:id="rId260" xr:uid="{D62309DB-C97C-4FE3-B295-7ABA50343E77}"/>
    <hyperlink ref="S305" r:id="rId261" xr:uid="{EC3BDF49-7901-486A-ACAF-766B9BE2FFF5}"/>
    <hyperlink ref="S306" r:id="rId262" xr:uid="{6C70429B-281A-406E-BEDA-1EF87A316AB7}"/>
    <hyperlink ref="S251" r:id="rId263" xr:uid="{31F723B2-4CA7-4A27-9D84-26D94549A9FB}"/>
    <hyperlink ref="S250" r:id="rId264" xr:uid="{7ACBF2C4-7EC1-48F3-88C1-E6A5AF3F2FBC}"/>
    <hyperlink ref="S291" r:id="rId265" xr:uid="{B05BE764-1FCA-49B7-930D-7888D0906D3D}"/>
    <hyperlink ref="S286" r:id="rId266" xr:uid="{AAA8D890-4049-4FB0-B9B4-C5C9333E006F}"/>
    <hyperlink ref="S287" r:id="rId267" xr:uid="{6CECB6F5-F854-4CBB-9F7C-59E864BB0459}"/>
    <hyperlink ref="S288" r:id="rId268" xr:uid="{C4739629-C2E6-4B2D-80CC-FB4E9D392F3A}"/>
    <hyperlink ref="S289" r:id="rId269" xr:uid="{5BACB808-A4C8-4445-BCCF-0F5B8B7436A2}"/>
    <hyperlink ref="S248" r:id="rId270" xr:uid="{EE818B74-07BC-442B-9CB1-6CFDD0E8F095}"/>
    <hyperlink ref="S249" r:id="rId271" xr:uid="{171353E7-3BBB-474F-BA26-BF1F104EA2F9}"/>
    <hyperlink ref="S254" r:id="rId272" xr:uid="{12A7C8C5-E299-4E7F-91A1-0522B7C5A46F}"/>
    <hyperlink ref="S260" r:id="rId273" xr:uid="{C3484ED8-A5B2-4B49-88BB-6806750AC453}"/>
    <hyperlink ref="S261" r:id="rId274" xr:uid="{533D63BA-4F77-49C6-9E57-EF7D2B55FF6F}"/>
    <hyperlink ref="S258" r:id="rId275" xr:uid="{450754D0-7FA8-4FD4-BFD1-B4DBACA63488}"/>
    <hyperlink ref="S259" r:id="rId276" xr:uid="{5F131C2A-82EB-44DA-9903-CE6756A1ECFB}"/>
    <hyperlink ref="S290" r:id="rId277" xr:uid="{333EFF16-9600-4387-A3AA-B0545D3F75FA}"/>
    <hyperlink ref="S252" r:id="rId278" xr:uid="{C1BF9E75-BAA0-4A48-91FB-0A69078DA205}"/>
    <hyperlink ref="S280" r:id="rId279" xr:uid="{8644D3BD-C938-473E-8C73-1B6312A7B4A8}"/>
    <hyperlink ref="S307" r:id="rId280" xr:uid="{968EAB63-CC08-4F05-813D-0D809E98130D}"/>
    <hyperlink ref="S308" r:id="rId281" xr:uid="{B56D274B-8E7A-4500-BE97-3AD643DB6632}"/>
    <hyperlink ref="S309" r:id="rId282" xr:uid="{2F3243DD-BEFA-4FC7-8C77-4E1CDDB61187}"/>
    <hyperlink ref="S277" r:id="rId283" xr:uid="{C593242F-73A8-4B65-93E8-165FD6538177}"/>
    <hyperlink ref="S266" r:id="rId284" xr:uid="{577F340F-528A-4574-8F0F-6332185C95E4}"/>
    <hyperlink ref="S267" r:id="rId285" xr:uid="{883C7BC8-9548-4600-AFEB-899FC04449CE}"/>
    <hyperlink ref="S268" r:id="rId286" xr:uid="{7AE2DE36-03BA-46DA-864E-86473E985E1C}"/>
    <hyperlink ref="S269" r:id="rId287" xr:uid="{8AA4D8DC-ED8D-408F-9787-D504B6789433}"/>
    <hyperlink ref="S294" r:id="rId288" xr:uid="{66BDCF3B-53E7-4D84-BBFE-6F19CE334A05}"/>
    <hyperlink ref="S262" r:id="rId289" xr:uid="{1963F319-38FD-450B-A354-3AEE5C1E910C}"/>
    <hyperlink ref="S263" r:id="rId290" xr:uid="{A37D8615-264E-4655-8FE4-7D1FBE890928}"/>
    <hyperlink ref="S284" r:id="rId291" xr:uid="{DFCA3BF5-62B9-4BE4-AE8E-96BFFCCDF0D4}"/>
    <hyperlink ref="S285" r:id="rId292" xr:uid="{3DCE673D-EB04-465C-AF2D-85F284C699B2}"/>
    <hyperlink ref="S253" r:id="rId293" xr:uid="{C1CDF20E-9ADD-4A0D-8AD2-82DFFACDF909}"/>
    <hyperlink ref="S295" r:id="rId294" xr:uid="{8BCAF132-029E-429B-8FA0-C50E6F677942}"/>
    <hyperlink ref="S296" r:id="rId295" xr:uid="{EEB49FFB-63FC-4D8E-A120-8F5B9342A352}"/>
    <hyperlink ref="S278" r:id="rId296" xr:uid="{0705B293-2F18-4483-9DB5-A371D28633F5}"/>
    <hyperlink ref="S279" r:id="rId297" xr:uid="{6964998B-D156-4365-BE82-A5BECD50333E}"/>
    <hyperlink ref="S312" r:id="rId298" xr:uid="{73A7354B-B3C4-4C63-B3A3-BBABAF866B3E}"/>
    <hyperlink ref="S313" r:id="rId299" xr:uid="{D2098E65-F51D-4DA4-A283-70237E4F3A30}"/>
    <hyperlink ref="S314" r:id="rId300" xr:uid="{A4E69CAC-F7F4-4A46-8C12-F1D38AF3B042}"/>
    <hyperlink ref="S315" r:id="rId301" xr:uid="{65486B1E-E76C-4B46-A351-77CF1D0A2294}"/>
    <hyperlink ref="S316" r:id="rId302" xr:uid="{B0FDFC65-F0B6-45A4-B671-4D97EFBD1FF0}"/>
    <hyperlink ref="S317" r:id="rId303" xr:uid="{B5803E2A-4006-440F-9841-0A37EC61D226}"/>
    <hyperlink ref="S318" r:id="rId304" xr:uid="{F19837A3-E8A2-4C61-85CE-9FF4AE54DB5F}"/>
    <hyperlink ref="S319" r:id="rId305" xr:uid="{E6E48E28-0547-48F1-A2B4-508D323FED30}"/>
    <hyperlink ref="S338" r:id="rId306" xr:uid="{36248597-ACE9-4FBD-936E-E701B6B6AD0F}"/>
    <hyperlink ref="S339" r:id="rId307" xr:uid="{59ABCF47-16B7-4ECD-A0B2-72F7EBD78EB7}"/>
    <hyperlink ref="S340" r:id="rId308" xr:uid="{69941E87-4E2F-4064-8C62-0C152D8A344D}"/>
    <hyperlink ref="S341" r:id="rId309" xr:uid="{6D0EF553-2708-4E0D-89F4-60DDCFB2D471}"/>
    <hyperlink ref="S342" r:id="rId310" xr:uid="{27F6E159-F0B5-470B-BB18-0EACCDB591A5}"/>
    <hyperlink ref="S333" r:id="rId311" xr:uid="{5D27A73C-512C-452F-8878-53E8E501065B}"/>
    <hyperlink ref="S334" r:id="rId312" xr:uid="{AC43FF50-CAFE-46FD-AB81-AAB2DA09E038}"/>
    <hyperlink ref="S335" r:id="rId313" xr:uid="{B5183139-D1CB-49A3-B191-63B27DE592AF}"/>
    <hyperlink ref="S336" r:id="rId314" xr:uid="{9735683C-A86B-43C2-88CA-4BA69D234EDD}"/>
    <hyperlink ref="S337" r:id="rId315" xr:uid="{DC002712-FEA0-4E0B-BE17-C479126C16D0}"/>
    <hyperlink ref="S347" r:id="rId316" xr:uid="{8D6AA921-8376-4F6F-821A-3A0495928477}"/>
    <hyperlink ref="S348" r:id="rId317" xr:uid="{39C6D7B2-E1C8-44C9-A723-FBB6802E1256}"/>
    <hyperlink ref="S351" r:id="rId318" xr:uid="{6AA682E1-9B39-423C-B5A4-A28E40F2CC75}"/>
    <hyperlink ref="S352" r:id="rId319" xr:uid="{6CE16B7D-C048-42A1-82A8-ED7F01CDB5E0}"/>
    <hyperlink ref="S353" r:id="rId320" xr:uid="{1B4BEF28-3B6F-4A82-AFC2-E28BA15BC424}"/>
    <hyperlink ref="S349" r:id="rId321" xr:uid="{0AE20CFF-539D-4ED8-B826-840DE56ECE08}"/>
    <hyperlink ref="S350" r:id="rId322" xr:uid="{867717DF-5879-437E-AF70-AC327D740CB8}"/>
    <hyperlink ref="S354" r:id="rId323" xr:uid="{F7B43667-1722-4185-8F57-75571A51B8E7}"/>
    <hyperlink ref="S355" r:id="rId324" xr:uid="{02E25698-3EE2-4947-99E6-DA8F707BABE6}"/>
    <hyperlink ref="S356" r:id="rId325" xr:uid="{690A2DB5-60F6-47A2-98D6-294B5B4FABEC}"/>
    <hyperlink ref="S357" r:id="rId326" xr:uid="{CCE0F2CF-548F-4745-B056-332D608A390A}"/>
    <hyperlink ref="S358" r:id="rId327" xr:uid="{717BBB12-AFBA-4722-A928-7ECCBA5A2040}"/>
    <hyperlink ref="S359" r:id="rId328" xr:uid="{98CB948C-F692-4E34-B9D3-BCBD3E30A898}"/>
    <hyperlink ref="S360" r:id="rId329" xr:uid="{9F98CF81-CFC1-477A-B3DA-B88766B8F279}"/>
    <hyperlink ref="S361" r:id="rId330" xr:uid="{97663A4B-A8EE-4733-BF6D-BB98E86C1D28}"/>
    <hyperlink ref="S362" r:id="rId331" xr:uid="{B9A5037F-7059-4C9B-A662-DEAF858C971D}"/>
    <hyperlink ref="S365" r:id="rId332" xr:uid="{ACD4B2EA-1855-4B10-9F3D-C27248ACB212}"/>
    <hyperlink ref="S366" r:id="rId333" xr:uid="{DC6BA514-85FC-4EDE-AC7B-9052394DB9F6}"/>
    <hyperlink ref="S363" r:id="rId334" xr:uid="{1D8716D0-70CB-490B-A9C0-82F07904624F}"/>
    <hyperlink ref="S364" r:id="rId335" xr:uid="{8CDF724F-E1B0-4C8C-9665-2A31416DDFB4}"/>
    <hyperlink ref="S367" r:id="rId336" xr:uid="{210689FC-B9A3-495F-9FAF-1A669A2C79EA}"/>
    <hyperlink ref="S343" r:id="rId337" xr:uid="{6755E5B3-624D-46CA-932A-8B6AD8745625}"/>
    <hyperlink ref="S344" r:id="rId338" xr:uid="{DD16D419-2F39-4F02-9652-7DFA4EA0A5DD}"/>
    <hyperlink ref="S345" r:id="rId339" xr:uid="{42E2BBC6-5563-4A85-8A3A-34CF60F22453}"/>
    <hyperlink ref="S346" r:id="rId340" xr:uid="{62FBEF2A-8BAC-49A8-8CAA-01F97872E597}"/>
    <hyperlink ref="S407" r:id="rId341" xr:uid="{0A46E17E-A9DF-4A29-A27F-EC1DA601548B}"/>
    <hyperlink ref="S408" r:id="rId342" xr:uid="{7E6956E2-7605-452C-A8CE-657C19F33B67}"/>
    <hyperlink ref="S409" r:id="rId343" xr:uid="{811E19E7-83BD-4E43-919A-BF9D99F17E93}"/>
    <hyperlink ref="S410" r:id="rId344" xr:uid="{50CDDE88-C65B-4902-A269-5215215B47BB}"/>
    <hyperlink ref="S411" r:id="rId345" xr:uid="{993AA112-5DCB-4A67-9B3F-74A8B2107377}"/>
    <hyperlink ref="S412" r:id="rId346" xr:uid="{7E915D1A-C75B-41F4-81C7-E7FFA4D2D558}"/>
    <hyperlink ref="S413" r:id="rId347" xr:uid="{0601C11E-DAA7-46A4-9FAC-338EEE7F4C7F}"/>
    <hyperlink ref="S414" r:id="rId348" xr:uid="{20088628-55A2-4B37-8EAE-3311E06BE70F}"/>
    <hyperlink ref="S415" r:id="rId349" xr:uid="{1F802D6D-315B-4C6F-BDBA-414755163DA2}"/>
    <hyperlink ref="S416" r:id="rId350" xr:uid="{436F486A-802F-4D8B-A132-46C8BDF4B523}"/>
    <hyperlink ref="S417" r:id="rId351" xr:uid="{7E34FCC2-29A6-4FE0-8CE2-6D47F56ED9C6}"/>
    <hyperlink ref="S418" r:id="rId352" xr:uid="{83725F37-E982-49B6-BF12-8E0FB5AF01BD}"/>
    <hyperlink ref="S419" r:id="rId353" xr:uid="{21D165C8-6EBC-4B64-BC63-3C88226B81BD}"/>
    <hyperlink ref="S420" r:id="rId354" xr:uid="{88EC1A40-E744-4475-883B-E19FB8BDF1A1}"/>
    <hyperlink ref="S421" r:id="rId355" xr:uid="{542BC7D3-F431-4564-9B39-4B2A87B70B12}"/>
    <hyperlink ref="S422" r:id="rId356" xr:uid="{8F321E62-B208-413E-94EB-15F48F8EDF41}"/>
    <hyperlink ref="S423" r:id="rId357" xr:uid="{3E074CDD-979C-4525-BEF7-0839413B687B}"/>
    <hyperlink ref="S373" r:id="rId358" xr:uid="{67CD10F0-71F3-450A-AFF1-9967D154BCB4}"/>
    <hyperlink ref="S374" r:id="rId359" xr:uid="{6D8D99E0-A1CF-41FB-8677-89FB4F0DEA0E}"/>
    <hyperlink ref="S375" r:id="rId360" xr:uid="{3D543C32-6328-4C27-9999-E0D9B8C9CE19}"/>
    <hyperlink ref="S376" r:id="rId361" xr:uid="{E8F43D54-66DA-4F0C-82F1-6FD8150D0C15}"/>
    <hyperlink ref="S377" r:id="rId362" xr:uid="{313FDDE6-9688-4A8F-8F2D-BDB320A70D49}"/>
    <hyperlink ref="S378" r:id="rId363" xr:uid="{75CCAA33-0281-4A5C-8DC7-E03CA755CA18}"/>
    <hyperlink ref="S379" r:id="rId364" xr:uid="{3FBC7129-7142-4945-BB27-2216A08DAED5}"/>
    <hyperlink ref="S380" r:id="rId365" xr:uid="{CEF832F0-7D9D-44E7-9504-BB1FA7DE3404}"/>
    <hyperlink ref="S381" r:id="rId366" xr:uid="{A3B7C197-3E93-4217-B108-9297B7AC32C6}"/>
    <hyperlink ref="S382" r:id="rId367" xr:uid="{6C06C9A9-E388-411B-870C-8A2ABA7861D0}"/>
    <hyperlink ref="S383" r:id="rId368" xr:uid="{92CA3E10-E2DD-4A88-85C9-AC5423CC7837}"/>
    <hyperlink ref="S384" r:id="rId369" xr:uid="{50B03A43-1CFB-41A1-B6F9-441CF43ED05A}"/>
    <hyperlink ref="S385" r:id="rId370" xr:uid="{21308543-174F-4602-9770-E1DD08E36692}"/>
    <hyperlink ref="S386" r:id="rId371" xr:uid="{326A5DFE-AFE4-4C09-9F41-DB2A79685790}"/>
    <hyperlink ref="S387" r:id="rId372" xr:uid="{24D1C4AC-AAC5-4FEC-93EA-13552EAA7B16}"/>
    <hyperlink ref="S388" r:id="rId373" xr:uid="{E0217154-07BB-4E78-8ED6-123523379165}"/>
    <hyperlink ref="S389" r:id="rId374" xr:uid="{67971522-931B-4444-A999-9D6F32BFE0C9}"/>
    <hyperlink ref="S390" r:id="rId375" xr:uid="{467EEE7F-3896-48D0-876D-929AE116B6B7}"/>
    <hyperlink ref="S391" r:id="rId376" xr:uid="{71041A15-0E54-450A-A751-C0F51B30AE71}"/>
    <hyperlink ref="S392" r:id="rId377" xr:uid="{333D7501-75FF-429A-BE0E-8E4A27D430A9}"/>
    <hyperlink ref="S393" r:id="rId378" xr:uid="{591B4E49-36E1-4C93-8D5A-3219E5BED405}"/>
    <hyperlink ref="S394" r:id="rId379" xr:uid="{93AD7FB6-704C-45BC-B84D-1CF2DBD535CD}"/>
    <hyperlink ref="S395" r:id="rId380" xr:uid="{E3553C7D-391F-4A88-BF6A-D104FAF7F815}"/>
    <hyperlink ref="S396" r:id="rId381" xr:uid="{C115EAB9-9300-418F-A6F7-B8E0FDED9CA1}"/>
    <hyperlink ref="S397" r:id="rId382" xr:uid="{8B75A491-4F09-42FF-81F5-8C76C7543156}"/>
    <hyperlink ref="S398" r:id="rId383" xr:uid="{0A72B4DB-CB0D-4D88-8C45-61B61036F53C}"/>
    <hyperlink ref="S399" r:id="rId384" xr:uid="{EAD4FB5D-1D8B-4A1D-B7A7-5B2C51423107}"/>
    <hyperlink ref="S400" r:id="rId385" xr:uid="{3A0AF0CA-EC7F-48B3-8B98-F4C55CEBD19C}"/>
    <hyperlink ref="S401" r:id="rId386" xr:uid="{F861B7C9-8441-4AE2-AE10-55EA469F0386}"/>
    <hyperlink ref="S402" r:id="rId387" xr:uid="{BB4A6803-8187-45A9-A3EA-E0A0AEEAF0F5}"/>
    <hyperlink ref="S403" r:id="rId388" xr:uid="{AAAD06BB-DE87-476F-BD36-D304FCD00FE2}"/>
    <hyperlink ref="S404" r:id="rId389" xr:uid="{DEEC12B5-537B-4F3D-B56B-8593E3BEF6F5}"/>
    <hyperlink ref="S327" r:id="rId390" xr:uid="{A8D71B8B-F018-441C-A6BF-E7E00975A164}"/>
    <hyperlink ref="S328" r:id="rId391" xr:uid="{D6ADF083-0E15-402C-94DC-4023828FE383}"/>
    <hyperlink ref="S329" r:id="rId392" xr:uid="{5F8AF8A8-19AB-4D20-B36E-8636CAE1628F}"/>
    <hyperlink ref="S331" r:id="rId393" xr:uid="{8AE6C577-FFA0-482C-A464-9F8D3943F94D}"/>
    <hyperlink ref="S332" r:id="rId394" xr:uid="{B4BFB5AA-CF54-4813-85A4-DA0C230AFCEF}"/>
    <hyperlink ref="S330" r:id="rId395" xr:uid="{22678DD4-FE2A-41E8-BF57-9B11C7A10863}"/>
    <hyperlink ref="S322" r:id="rId396" xr:uid="{B30F4492-3BE2-4E14-BB48-DCE0AAFA832D}"/>
    <hyperlink ref="S323" r:id="rId397" xr:uid="{51628F80-1B03-4CD5-9E12-3BBF591B8C04}"/>
    <hyperlink ref="S324" r:id="rId398" xr:uid="{C27F1C55-B100-4E02-B5CE-49B4169358A1}"/>
    <hyperlink ref="S325" r:id="rId399" xr:uid="{02E8B9B2-6530-4818-A619-C5FEF81581F1}"/>
    <hyperlink ref="S326" r:id="rId400" xr:uid="{878F7646-B6E5-442D-85F0-CB1DB3FD72A0}"/>
    <hyperlink ref="S169" r:id="rId401" xr:uid="{9E7F1C50-BBE1-4010-8410-70E905BF125D}"/>
    <hyperlink ref="S170" r:id="rId402" xr:uid="{4F7CDE81-7CE7-46C8-AD89-3A5098995546}"/>
    <hyperlink ref="S136" r:id="rId403" xr:uid="{6E9B7CDA-2288-49E6-85FE-84AE35329913}"/>
    <hyperlink ref="S137" r:id="rId404" xr:uid="{6D492337-74EC-465D-A3C3-F653709A462C}"/>
    <hyperlink ref="S245" r:id="rId405" xr:uid="{627C105E-BEBB-4D27-AB33-DA0CDF235D73}"/>
    <hyperlink ref="S246" r:id="rId406" xr:uid="{D6C47E67-9A11-41E3-BEA4-7A12ABA7B7D8}"/>
    <hyperlink ref="S320" r:id="rId407" xr:uid="{DE8A8519-C131-4782-A58F-DD529777EA99}"/>
    <hyperlink ref="S167" r:id="rId408" xr:uid="{A1D69D7F-3D25-42CD-8DDD-D8B8E3B9AA92}"/>
    <hyperlink ref="S168" r:id="rId409" xr:uid="{D991355B-6F6C-408E-8FC1-B9F2C129C78C}"/>
    <hyperlink ref="S321" r:id="rId410" xr:uid="{ACA491ED-7BF2-42E9-86A7-5E9DC51EFFF7}"/>
    <hyperlink ref="S171" r:id="rId411" xr:uid="{D2E94CEC-1B60-4416-AA85-0BB233444F87}"/>
    <hyperlink ref="S172" r:id="rId412" xr:uid="{C6ABF0EA-E572-4149-B09F-AF6FD90218E8}"/>
    <hyperlink ref="S435" r:id="rId413" xr:uid="{C9C0A7B7-BCE6-466E-B9A0-DF9AE0AED4B8}"/>
    <hyperlink ref="S436" r:id="rId414" xr:uid="{8C91DFE4-EF57-44C7-BE1B-E41A58ED20D2}"/>
    <hyperlink ref="S437" r:id="rId415" xr:uid="{54B318FD-76A3-47F2-A549-FF9474360C91}"/>
    <hyperlink ref="S438" r:id="rId416" xr:uid="{1FC4605C-7B96-4068-B9F3-E74D17C79C44}"/>
    <hyperlink ref="S429" r:id="rId417" xr:uid="{28F91B44-EA14-404B-AF11-5DA726F2F9F3}"/>
    <hyperlink ref="S430" r:id="rId418" xr:uid="{3DC03301-B8BC-4DA0-8C5D-05C0775EB9E3}"/>
    <hyperlink ref="S424" r:id="rId419" xr:uid="{1F6F174F-5F96-4700-A41E-0191B4F855FD}"/>
    <hyperlink ref="S425" r:id="rId420" xr:uid="{D97D00A3-DBBA-4774-8A25-7FCAE2865B81}"/>
    <hyperlink ref="S426" r:id="rId421" xr:uid="{3C534A98-93D1-42D6-875A-99A88599AA38}"/>
    <hyperlink ref="S427" r:id="rId422" xr:uid="{DB3EDD1D-1F73-4165-B611-9B746C20730B}"/>
    <hyperlink ref="S428" r:id="rId423" xr:uid="{65A0524F-4515-4F68-A9A8-E9134ABC181B}"/>
    <hyperlink ref="S431" r:id="rId424" xr:uid="{5E42862A-01CD-4F6D-965C-EF4B72E25E7C}"/>
    <hyperlink ref="S432" r:id="rId425" xr:uid="{F0D61F4A-2A2A-41A4-A44D-90DED4360D91}"/>
    <hyperlink ref="S433" r:id="rId426" xr:uid="{0561287B-EB6C-4824-BD3A-1E761F076E33}"/>
    <hyperlink ref="S434" r:id="rId427" xr:uid="{A37678F7-3F87-4F8A-BCF1-F1D92D83398C}"/>
    <hyperlink ref="S439" r:id="rId428" xr:uid="{B3B305ED-302D-49F4-8826-1490A7BE548F}"/>
    <hyperlink ref="S440:S444" r:id="rId429" display="Link" xr:uid="{59B8BC87-CA98-4831-9DD5-6FC00E2E547F}"/>
    <hyperlink ref="S445" r:id="rId430" xr:uid="{EA2F31BE-A416-4AC3-91CD-DEC283F735DC}"/>
    <hyperlink ref="S446" r:id="rId431" xr:uid="{10C2FAD9-08ED-4397-BCA1-622B286C927F}"/>
    <hyperlink ref="S447" r:id="rId432" xr:uid="{62468337-83C3-442F-9469-0C0BB3F6FCB8}"/>
    <hyperlink ref="S448" r:id="rId433" xr:uid="{3D78FF50-2828-45D8-978B-51FD3B6B4C31}"/>
    <hyperlink ref="S449" r:id="rId434" xr:uid="{A52E1500-5BF7-48DB-B11B-5E7E58D2C385}"/>
    <hyperlink ref="S452" r:id="rId435" xr:uid="{7681D540-5E60-4293-A9A5-76E61B269A6F}"/>
    <hyperlink ref="S453" r:id="rId436" xr:uid="{E879CBDD-7B3F-444C-B5DF-0F9E94E1208D}"/>
    <hyperlink ref="S454" r:id="rId437" xr:uid="{73B35DD9-BE48-44FE-B3D6-914FB6FD27E3}"/>
    <hyperlink ref="S455" r:id="rId438" xr:uid="{0C73B389-1ADF-4E1B-A49D-4C36F217C0C3}"/>
    <hyperlink ref="S450" r:id="rId439" xr:uid="{F2739812-D99B-4537-B5FE-97A5C42DF09D}"/>
    <hyperlink ref="S451" r:id="rId440" xr:uid="{92E861D7-B301-470A-92BD-26FDB825E98F}"/>
    <hyperlink ref="S456" r:id="rId441" xr:uid="{DF2BDAC8-C3FC-4275-B1DD-DC695E6D1198}"/>
    <hyperlink ref="S457" r:id="rId442" xr:uid="{7DA7C824-19D4-4187-B576-025EFBABB666}"/>
    <hyperlink ref="S458" r:id="rId443" xr:uid="{EC955087-C11C-48E6-8421-F76B3E1C7BAC}"/>
    <hyperlink ref="S459" r:id="rId444" xr:uid="{5D2C0C3C-13B8-46FD-85C7-EB17D53A7B99}"/>
    <hyperlink ref="S460" r:id="rId445" xr:uid="{62324D82-AEB7-4240-9E8D-F7CDBB0FD7BE}"/>
    <hyperlink ref="S405" r:id="rId446" xr:uid="{7756C263-C049-43BA-8570-2DCD55C6AA2C}"/>
    <hyperlink ref="S406" r:id="rId447" xr:uid="{DBAB8E50-7DD7-48F8-B217-17CF02C7688A}"/>
    <hyperlink ref="S461" r:id="rId448" xr:uid="{4DB97032-9417-42BA-A397-D2C87F6A23F5}"/>
    <hyperlink ref="S462" r:id="rId449" xr:uid="{1242BD39-541C-4785-A306-866AC847FED6}"/>
    <hyperlink ref="S463" r:id="rId450" xr:uid="{EBADF384-7D27-4389-8C3D-D5A5DC7D399D}"/>
    <hyperlink ref="S464" r:id="rId451" xr:uid="{7F181E12-2002-42A4-A001-8D858B86D597}"/>
    <hyperlink ref="S502" r:id="rId452" xr:uid="{505B015D-75B3-4633-B592-5CF14D1F12AE}"/>
    <hyperlink ref="S503" r:id="rId453" xr:uid="{C0DDDCB0-84B4-41B2-85F5-CF502B38ECB1}"/>
    <hyperlink ref="S504" r:id="rId454" xr:uid="{C5D6BF20-0DAF-4733-9B9A-643EC0C23129}"/>
    <hyperlink ref="S505" r:id="rId455" xr:uid="{E0196102-872B-4446-B6FF-B3F0FB533078}"/>
    <hyperlink ref="S506" r:id="rId456" xr:uid="{963DB4FF-ACD3-41F9-A097-DE58B2AE4E6D}"/>
    <hyperlink ref="S507" r:id="rId457" xr:uid="{C71C5C3E-5A4C-4544-858C-ECCA00ABA893}"/>
    <hyperlink ref="S508" r:id="rId458" xr:uid="{D5D0EACC-9F59-450B-876C-2D7388917AEB}"/>
    <hyperlink ref="S509" r:id="rId459" xr:uid="{F642FC8E-E1BD-4816-AEBE-D7C960FF9D98}"/>
    <hyperlink ref="S510" r:id="rId460" xr:uid="{51CDDD3D-3528-4028-A64E-D32CF1051F1F}"/>
    <hyperlink ref="S511" r:id="rId461" xr:uid="{85AE59E9-84D0-44B7-8F81-89787F437B70}"/>
    <hyperlink ref="S512" r:id="rId462" xr:uid="{3D65B070-ABFA-4EEA-B530-D0F7F37664BC}"/>
    <hyperlink ref="S513" r:id="rId463" xr:uid="{F3DBC370-1220-457A-8697-1CB1F938800B}"/>
    <hyperlink ref="S514" r:id="rId464" xr:uid="{7EDCBB44-A6E7-4F7A-934B-38991E633269}"/>
    <hyperlink ref="S515" r:id="rId465" xr:uid="{1B3EE20C-D7FF-4FBE-A716-287E3B64E4A8}"/>
    <hyperlink ref="S516" r:id="rId466" xr:uid="{7901A2FA-7651-4DE0-A607-F82405636DE8}"/>
    <hyperlink ref="S517" r:id="rId467" xr:uid="{FE3FBCFA-B1F9-4AF4-82DA-E6E8D56A979F}"/>
    <hyperlink ref="S518" r:id="rId468" xr:uid="{AA34BC82-7812-474F-A1ED-6E0C6D70D0C2}"/>
    <hyperlink ref="S519" r:id="rId469" xr:uid="{CECED931-B7A3-45D2-8826-C4D0929BA3E4}"/>
    <hyperlink ref="S520" r:id="rId470" xr:uid="{E4D19E63-4375-469E-A708-BAF7913F72F9}"/>
    <hyperlink ref="S521" r:id="rId471" xr:uid="{1F1A3499-4D10-46F8-8C5D-9A78CD34AB1D}"/>
    <hyperlink ref="S522" r:id="rId472" xr:uid="{18127311-CCD0-4B7B-8B43-FA96E64488E0}"/>
    <hyperlink ref="S523" r:id="rId473" xr:uid="{A5B85EEC-E48A-45DE-8806-6E0D66864863}"/>
    <hyperlink ref="S524" r:id="rId474" xr:uid="{FE92B75F-26FC-4418-92CA-09F6A723CD21}"/>
    <hyperlink ref="S525" r:id="rId475" xr:uid="{F43CE1EC-CC46-413A-9567-85C1B9CFD397}"/>
    <hyperlink ref="S526" r:id="rId476" xr:uid="{3F713634-6F15-4421-8317-DDC5C78B9E87}"/>
    <hyperlink ref="S527" r:id="rId477" xr:uid="{A4FDD7A0-F9EA-401E-8C5B-27292C711867}"/>
    <hyperlink ref="S528" r:id="rId478" xr:uid="{2F7D6BE0-8AC2-4ACA-8B01-AB473690C884}"/>
    <hyperlink ref="S550" r:id="rId479" xr:uid="{FADFDF51-1A7B-41D0-A04C-C9F0E0308F25}"/>
    <hyperlink ref="S549" r:id="rId480" xr:uid="{ACB5756D-41D8-4C49-8F18-331287D4150C}"/>
    <hyperlink ref="S535" r:id="rId481" xr:uid="{9092D901-038B-460B-B10B-DC4A7B3A6795}"/>
    <hyperlink ref="S536" r:id="rId482" xr:uid="{7D8E3713-EEB2-4787-8B5D-0A362C111F6B}"/>
    <hyperlink ref="S537" r:id="rId483" xr:uid="{E1535071-8244-4D31-B702-A4CB85918A84}"/>
    <hyperlink ref="S544" r:id="rId484" xr:uid="{43961814-E060-4A9B-977E-6A4F89FA5783}"/>
    <hyperlink ref="S545" r:id="rId485" xr:uid="{5F621850-3596-417D-8C41-1A45299DE251}"/>
    <hyperlink ref="S546" r:id="rId486" xr:uid="{B117A015-C1CA-403D-86F7-5FE3F305C98F}"/>
    <hyperlink ref="S547" r:id="rId487" xr:uid="{8E470495-34C7-46A7-BA50-D7E728FC8F37}"/>
    <hyperlink ref="S548" r:id="rId488" xr:uid="{D56274D3-E07F-4A69-A3AF-42DAC4437FC8}"/>
    <hyperlink ref="S551" r:id="rId489" xr:uid="{9EC49AA4-5E4A-4488-99D3-2D9A57ECE101}"/>
    <hyperlink ref="S552" r:id="rId490" xr:uid="{04AC342D-B78B-4D8A-96E0-D990921BF973}"/>
    <hyperlink ref="S553" r:id="rId491" xr:uid="{60E505ED-E5A8-4B25-8E54-3FDD57B6E627}"/>
    <hyperlink ref="S556" r:id="rId492" xr:uid="{7860D3D3-3DFE-45E3-A390-54CC0F7D6FDF}"/>
  </hyperlinks>
  <pageMargins left="0.7" right="0.7" top="0.78740157499999996" bottom="0.78740157499999996" header="0.3" footer="0.3"/>
  <legacyDrawing r:id="rId49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2026-03-09T09:16:24Z</dcterms:created>
  <dcterms:modified xsi:type="dcterms:W3CDTF">2026-03-09T09:16:40Z</dcterms:modified>
</cp:coreProperties>
</file>